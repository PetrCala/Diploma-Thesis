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742CAA0B-6B54-48BB-8267-12818E2674DE}" xr6:coauthVersionLast="47" xr6:coauthVersionMax="47" xr10:uidLastSave="{00000000-0000-0000-0000-000000000000}"/>
  <bookViews>
    <workbookView xWindow="-23148" yWindow="-108" windowWidth="23256" windowHeight="12576" activeTab="2" xr2:uid="{C330F97A-2373-4CEE-AA2A-68C136FD4065}"/>
  </bookViews>
  <sheets>
    <sheet name="data_set" sheetId="10" r:id="rId1"/>
    <sheet name="var_list" sheetId="13" r:id="rId2"/>
    <sheet name="country_info" sheetId="14" r:id="rId3"/>
    <sheet name="Sheet3" sheetId="16" r:id="rId4"/>
    <sheet name="legend" sheetId="7" r:id="rId5"/>
    <sheet name="Calculations" sheetId="12" r:id="rId6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838" i="10" l="1"/>
  <c r="Z839" i="10"/>
  <c r="Z840" i="10"/>
  <c r="Z841" i="10"/>
  <c r="Z842" i="10"/>
  <c r="Z843" i="10"/>
  <c r="Z844" i="10"/>
  <c r="Z845" i="10"/>
  <c r="Z846" i="10"/>
  <c r="Z847" i="10"/>
  <c r="Z848" i="10"/>
  <c r="Z837" i="10"/>
  <c r="AT838" i="10"/>
  <c r="AT839" i="10"/>
  <c r="AT840" i="10"/>
  <c r="AT841" i="10"/>
  <c r="AT842" i="10"/>
  <c r="AT843" i="10"/>
  <c r="AT844" i="10"/>
  <c r="AT845" i="10"/>
  <c r="AT846" i="10"/>
  <c r="AT847" i="10"/>
  <c r="AT848" i="10"/>
  <c r="AT837" i="10"/>
  <c r="BB838" i="10"/>
  <c r="BB839" i="10"/>
  <c r="BB840" i="10"/>
  <c r="BB841" i="10"/>
  <c r="BB842" i="10"/>
  <c r="BB843" i="10"/>
  <c r="BB844" i="10"/>
  <c r="BB845" i="10"/>
  <c r="BB846" i="10"/>
  <c r="BB847" i="10"/>
  <c r="BB848" i="10"/>
  <c r="BB837" i="10"/>
  <c r="AW838" i="10"/>
  <c r="AW839" i="10"/>
  <c r="AW840" i="10"/>
  <c r="AW841" i="10"/>
  <c r="AW842" i="10"/>
  <c r="AW843" i="10"/>
  <c r="AW844" i="10"/>
  <c r="AW845" i="10"/>
  <c r="AW846" i="10"/>
  <c r="AW847" i="10"/>
  <c r="AW848" i="10"/>
  <c r="AW837" i="12"/>
  <c r="AW837" i="10"/>
  <c r="G838" i="10"/>
  <c r="H838" i="10"/>
  <c r="I838" i="10"/>
  <c r="J838" i="10" s="1"/>
  <c r="G839" i="10"/>
  <c r="H839" i="10"/>
  <c r="G840" i="10"/>
  <c r="H840" i="10"/>
  <c r="G841" i="10"/>
  <c r="H841" i="10"/>
  <c r="G842" i="10"/>
  <c r="H842" i="10"/>
  <c r="G843" i="10"/>
  <c r="H843" i="10"/>
  <c r="I843" i="10"/>
  <c r="J843" i="10"/>
  <c r="L843" i="10" s="1"/>
  <c r="G844" i="10"/>
  <c r="H844" i="10"/>
  <c r="G845" i="10"/>
  <c r="H845" i="10"/>
  <c r="I845" i="10"/>
  <c r="J845" i="10"/>
  <c r="K845" i="10" s="1"/>
  <c r="G846" i="10"/>
  <c r="H846" i="10"/>
  <c r="G847" i="10"/>
  <c r="H847" i="10"/>
  <c r="G848" i="10"/>
  <c r="H848" i="10"/>
  <c r="H837" i="10"/>
  <c r="G837" i="10"/>
  <c r="W838" i="10"/>
  <c r="W839" i="10"/>
  <c r="I839" i="10" s="1"/>
  <c r="J839" i="10" s="1"/>
  <c r="K839" i="10" s="1"/>
  <c r="W840" i="10"/>
  <c r="I840" i="10" s="1"/>
  <c r="J840" i="10" s="1"/>
  <c r="K840" i="10" s="1"/>
  <c r="W841" i="10"/>
  <c r="I841" i="10" s="1"/>
  <c r="J841" i="10" s="1"/>
  <c r="K841" i="10" s="1"/>
  <c r="W842" i="10"/>
  <c r="I842" i="10" s="1"/>
  <c r="J842" i="10" s="1"/>
  <c r="K842" i="10" s="1"/>
  <c r="W843" i="10"/>
  <c r="W844" i="10"/>
  <c r="I844" i="10" s="1"/>
  <c r="J844" i="10" s="1"/>
  <c r="W845" i="10"/>
  <c r="W846" i="10"/>
  <c r="I846" i="10" s="1"/>
  <c r="J846" i="10" s="1"/>
  <c r="W847" i="10"/>
  <c r="I847" i="10" s="1"/>
  <c r="J847" i="10" s="1"/>
  <c r="K847" i="10" s="1"/>
  <c r="W848" i="10"/>
  <c r="I848" i="10" s="1"/>
  <c r="J848" i="10" s="1"/>
  <c r="K848" i="10" s="1"/>
  <c r="W837" i="10"/>
  <c r="I837" i="10" s="1"/>
  <c r="K529" i="12"/>
  <c r="I539" i="12"/>
  <c r="J539" i="12" s="1"/>
  <c r="O539" i="12" s="1"/>
  <c r="K539" i="12"/>
  <c r="Q539" i="12" s="1"/>
  <c r="I538" i="12"/>
  <c r="J538" i="12"/>
  <c r="O538" i="12" s="1"/>
  <c r="K538" i="12"/>
  <c r="Q538" i="12" s="1"/>
  <c r="I537" i="12"/>
  <c r="J537" i="12" s="1"/>
  <c r="O537" i="12" s="1"/>
  <c r="K537" i="12"/>
  <c r="Q537" i="12" s="1"/>
  <c r="I536" i="12"/>
  <c r="J536" i="12" s="1"/>
  <c r="O536" i="12" s="1"/>
  <c r="K536" i="12"/>
  <c r="Q536" i="12" s="1"/>
  <c r="I535" i="12"/>
  <c r="J535" i="12" s="1"/>
  <c r="O535" i="12" s="1"/>
  <c r="K535" i="12"/>
  <c r="Q535" i="12" s="1"/>
  <c r="I534" i="12"/>
  <c r="J534" i="12"/>
  <c r="O534" i="12" s="1"/>
  <c r="K534" i="12"/>
  <c r="Q534" i="12" s="1"/>
  <c r="I528" i="12"/>
  <c r="J528" i="12" s="1"/>
  <c r="O528" i="12" s="1"/>
  <c r="I531" i="12"/>
  <c r="J531" i="12" s="1"/>
  <c r="O531" i="12" s="1"/>
  <c r="K531" i="12"/>
  <c r="Q531" i="12" s="1"/>
  <c r="I532" i="12"/>
  <c r="J532" i="12" s="1"/>
  <c r="O532" i="12" s="1"/>
  <c r="K532" i="12"/>
  <c r="Q532" i="12" s="1"/>
  <c r="I533" i="12"/>
  <c r="J533" i="12" s="1"/>
  <c r="O533" i="12" s="1"/>
  <c r="K533" i="12"/>
  <c r="Q533" i="12" s="1"/>
  <c r="K530" i="12"/>
  <c r="Q530" i="12" s="1"/>
  <c r="I530" i="12"/>
  <c r="J530" i="12" s="1"/>
  <c r="O530" i="12" s="1"/>
  <c r="Q529" i="12"/>
  <c r="I529" i="12"/>
  <c r="J529" i="12" s="1"/>
  <c r="O529" i="12" s="1"/>
  <c r="K528" i="12"/>
  <c r="Q528" i="12" s="1"/>
  <c r="Z824" i="10"/>
  <c r="Z825" i="10"/>
  <c r="Z826" i="10"/>
  <c r="Z832" i="10"/>
  <c r="Z833" i="10"/>
  <c r="Z834" i="10"/>
  <c r="Y823" i="10"/>
  <c r="Z823" i="10" s="1"/>
  <c r="Y824" i="10"/>
  <c r="Y825" i="10"/>
  <c r="Y826" i="10"/>
  <c r="Y827" i="10"/>
  <c r="Z827" i="10" s="1"/>
  <c r="Y828" i="10"/>
  <c r="Z828" i="10" s="1"/>
  <c r="Y829" i="10"/>
  <c r="Z829" i="10" s="1"/>
  <c r="Y830" i="10"/>
  <c r="Z830" i="10" s="1"/>
  <c r="Y831" i="10"/>
  <c r="Z831" i="10" s="1"/>
  <c r="Y832" i="10"/>
  <c r="Y833" i="10"/>
  <c r="Y834" i="10"/>
  <c r="Y835" i="10"/>
  <c r="Z835" i="10" s="1"/>
  <c r="Y836" i="10"/>
  <c r="Z836" i="10" s="1"/>
  <c r="Y822" i="10"/>
  <c r="Z822" i="10" s="1"/>
  <c r="G822" i="10"/>
  <c r="H822" i="10"/>
  <c r="G823" i="10"/>
  <c r="H823" i="10"/>
  <c r="I823" i="10"/>
  <c r="G824" i="10"/>
  <c r="H824" i="10"/>
  <c r="G825" i="10"/>
  <c r="H825" i="10"/>
  <c r="G826" i="10"/>
  <c r="H826" i="10"/>
  <c r="G827" i="10"/>
  <c r="H827" i="10"/>
  <c r="I827" i="10"/>
  <c r="G828" i="10"/>
  <c r="H828" i="10"/>
  <c r="G829" i="10"/>
  <c r="H829" i="10"/>
  <c r="G830" i="10"/>
  <c r="H830" i="10"/>
  <c r="G831" i="10"/>
  <c r="H831" i="10"/>
  <c r="G832" i="10"/>
  <c r="H832" i="10"/>
  <c r="G833" i="10"/>
  <c r="H833" i="10"/>
  <c r="G834" i="10"/>
  <c r="H834" i="10"/>
  <c r="G835" i="10"/>
  <c r="H835" i="10"/>
  <c r="G836" i="10"/>
  <c r="H836" i="10"/>
  <c r="I836" i="10"/>
  <c r="J836" i="10" s="1"/>
  <c r="K836" i="10" s="1"/>
  <c r="W823" i="10"/>
  <c r="W824" i="10"/>
  <c r="I824" i="10" s="1"/>
  <c r="W825" i="10"/>
  <c r="I825" i="10" s="1"/>
  <c r="J825" i="10" s="1"/>
  <c r="K825" i="10" s="1"/>
  <c r="W826" i="10"/>
  <c r="I826" i="10" s="1"/>
  <c r="W827" i="10"/>
  <c r="W828" i="10"/>
  <c r="I828" i="10" s="1"/>
  <c r="W829" i="10"/>
  <c r="I829" i="10" s="1"/>
  <c r="W830" i="10"/>
  <c r="I830" i="10" s="1"/>
  <c r="J830" i="10" s="1"/>
  <c r="W831" i="10"/>
  <c r="I831" i="10" s="1"/>
  <c r="W832" i="10"/>
  <c r="I832" i="10" s="1"/>
  <c r="J832" i="10" s="1"/>
  <c r="K832" i="10" s="1"/>
  <c r="W833" i="10"/>
  <c r="I833" i="10" s="1"/>
  <c r="J833" i="10" s="1"/>
  <c r="K833" i="10" s="1"/>
  <c r="W834" i="10"/>
  <c r="I834" i="10" s="1"/>
  <c r="W835" i="10"/>
  <c r="I835" i="10" s="1"/>
  <c r="W836" i="10"/>
  <c r="W822" i="10"/>
  <c r="I822" i="10" s="1"/>
  <c r="J822" i="10" s="1"/>
  <c r="H498" i="12"/>
  <c r="I498" i="12" s="1"/>
  <c r="N498" i="12" s="1"/>
  <c r="J498" i="12"/>
  <c r="P498" i="12" s="1"/>
  <c r="H499" i="12"/>
  <c r="I499" i="12" s="1"/>
  <c r="N499" i="12" s="1"/>
  <c r="J499" i="12"/>
  <c r="P499" i="12" s="1"/>
  <c r="H500" i="12"/>
  <c r="I500" i="12" s="1"/>
  <c r="N500" i="12" s="1"/>
  <c r="J500" i="12"/>
  <c r="P500" i="12" s="1"/>
  <c r="H501" i="12"/>
  <c r="I501" i="12" s="1"/>
  <c r="N501" i="12" s="1"/>
  <c r="J501" i="12"/>
  <c r="P501" i="12" s="1"/>
  <c r="H502" i="12"/>
  <c r="I502" i="12" s="1"/>
  <c r="N502" i="12" s="1"/>
  <c r="J502" i="12"/>
  <c r="P502" i="12" s="1"/>
  <c r="H503" i="12"/>
  <c r="I503" i="12" s="1"/>
  <c r="N503" i="12" s="1"/>
  <c r="J503" i="12"/>
  <c r="P503" i="12" s="1"/>
  <c r="H504" i="12"/>
  <c r="I504" i="12" s="1"/>
  <c r="N504" i="12" s="1"/>
  <c r="J504" i="12"/>
  <c r="P504" i="12" s="1"/>
  <c r="H505" i="12"/>
  <c r="I505" i="12" s="1"/>
  <c r="N505" i="12" s="1"/>
  <c r="J505" i="12"/>
  <c r="P505" i="12" s="1"/>
  <c r="H506" i="12"/>
  <c r="I506" i="12" s="1"/>
  <c r="N506" i="12" s="1"/>
  <c r="J506" i="12"/>
  <c r="P506" i="12" s="1"/>
  <c r="H507" i="12"/>
  <c r="I507" i="12" s="1"/>
  <c r="N507" i="12" s="1"/>
  <c r="J507" i="12"/>
  <c r="P507" i="12" s="1"/>
  <c r="H508" i="12"/>
  <c r="I508" i="12" s="1"/>
  <c r="N508" i="12" s="1"/>
  <c r="J508" i="12"/>
  <c r="P508" i="12" s="1"/>
  <c r="H509" i="12"/>
  <c r="I509" i="12" s="1"/>
  <c r="N509" i="12" s="1"/>
  <c r="J509" i="12"/>
  <c r="P509" i="12" s="1"/>
  <c r="H495" i="12"/>
  <c r="I495" i="12" s="1"/>
  <c r="N495" i="12" s="1"/>
  <c r="H496" i="12"/>
  <c r="I496" i="12" s="1"/>
  <c r="N496" i="12" s="1"/>
  <c r="H497" i="12"/>
  <c r="I497" i="12" s="1"/>
  <c r="N497" i="12" s="1"/>
  <c r="J497" i="12"/>
  <c r="P497" i="12" s="1"/>
  <c r="J496" i="12"/>
  <c r="P496" i="12" s="1"/>
  <c r="J495" i="12"/>
  <c r="P495" i="12" s="1"/>
  <c r="Z815" i="10"/>
  <c r="Z816" i="10"/>
  <c r="Z817" i="10"/>
  <c r="Z818" i="10"/>
  <c r="Z819" i="10"/>
  <c r="Z820" i="10"/>
  <c r="Z821" i="10"/>
  <c r="Z814" i="10"/>
  <c r="W821" i="10"/>
  <c r="W818" i="10"/>
  <c r="W819" i="10"/>
  <c r="W820" i="10"/>
  <c r="F821" i="10"/>
  <c r="I821" i="10" s="1"/>
  <c r="J821" i="10" s="1"/>
  <c r="K821" i="10" s="1"/>
  <c r="G821" i="10"/>
  <c r="H821" i="10"/>
  <c r="F820" i="10"/>
  <c r="I820" i="10" s="1"/>
  <c r="G820" i="10"/>
  <c r="H820" i="10"/>
  <c r="F819" i="10"/>
  <c r="I819" i="10" s="1"/>
  <c r="G819" i="10"/>
  <c r="H819" i="10"/>
  <c r="F818" i="10"/>
  <c r="I818" i="10" s="1"/>
  <c r="J818" i="10" s="1"/>
  <c r="K818" i="10" s="1"/>
  <c r="G818" i="10"/>
  <c r="H818" i="10"/>
  <c r="W815" i="10"/>
  <c r="W816" i="10"/>
  <c r="W817" i="10"/>
  <c r="W814" i="10"/>
  <c r="F817" i="10"/>
  <c r="I817" i="10" s="1"/>
  <c r="J817" i="10" s="1"/>
  <c r="K817" i="10" s="1"/>
  <c r="G817" i="10"/>
  <c r="H817" i="10"/>
  <c r="F816" i="10"/>
  <c r="I816" i="10" s="1"/>
  <c r="J816" i="10" s="1"/>
  <c r="K816" i="10" s="1"/>
  <c r="G816" i="10"/>
  <c r="H816" i="10"/>
  <c r="F815" i="10"/>
  <c r="I815" i="10" s="1"/>
  <c r="J815" i="10" s="1"/>
  <c r="K815" i="10" s="1"/>
  <c r="G815" i="10"/>
  <c r="H815" i="10"/>
  <c r="F814" i="10"/>
  <c r="G814" i="10"/>
  <c r="H814" i="10"/>
  <c r="W813" i="10"/>
  <c r="I813" i="10" s="1"/>
  <c r="F813" i="10"/>
  <c r="G813" i="10"/>
  <c r="H813" i="10"/>
  <c r="X815" i="10"/>
  <c r="X814" i="10"/>
  <c r="X813" i="10"/>
  <c r="I812" i="10"/>
  <c r="Z808" i="10"/>
  <c r="Z809" i="10"/>
  <c r="Z810" i="10"/>
  <c r="Z811" i="10"/>
  <c r="Z812" i="10"/>
  <c r="Z807" i="10"/>
  <c r="AM813" i="10"/>
  <c r="AM814" i="10"/>
  <c r="AM815" i="10"/>
  <c r="W808" i="10"/>
  <c r="W809" i="10"/>
  <c r="W810" i="10"/>
  <c r="W811" i="10"/>
  <c r="I811" i="10" s="1"/>
  <c r="W812" i="10"/>
  <c r="W807" i="10"/>
  <c r="F812" i="10"/>
  <c r="G812" i="10"/>
  <c r="H812" i="10"/>
  <c r="F811" i="10"/>
  <c r="G811" i="10"/>
  <c r="H811" i="10"/>
  <c r="F810" i="10"/>
  <c r="I810" i="10" s="1"/>
  <c r="J810" i="10" s="1"/>
  <c r="G810" i="10"/>
  <c r="H810" i="10"/>
  <c r="F809" i="10"/>
  <c r="I809" i="10" s="1"/>
  <c r="J809" i="10" s="1"/>
  <c r="G809" i="10"/>
  <c r="H809" i="10"/>
  <c r="F808" i="10"/>
  <c r="I808" i="10" s="1"/>
  <c r="G808" i="10"/>
  <c r="H808" i="10"/>
  <c r="F807" i="10"/>
  <c r="G807" i="10"/>
  <c r="H807" i="10"/>
  <c r="Z806" i="10"/>
  <c r="Z803" i="10"/>
  <c r="Y804" i="10"/>
  <c r="Z804" i="10" s="1"/>
  <c r="Y805" i="10"/>
  <c r="Z805" i="10" s="1"/>
  <c r="Y806" i="10"/>
  <c r="Y803" i="10"/>
  <c r="BB804" i="10"/>
  <c r="BB805" i="10"/>
  <c r="BB806" i="10"/>
  <c r="BB803" i="10"/>
  <c r="W806" i="10"/>
  <c r="I806" i="10"/>
  <c r="J806" i="10" s="1"/>
  <c r="K806" i="10" s="1"/>
  <c r="W805" i="10"/>
  <c r="W804" i="10"/>
  <c r="W803" i="10"/>
  <c r="I803" i="10"/>
  <c r="J803" i="10" s="1"/>
  <c r="F806" i="10"/>
  <c r="G806" i="10"/>
  <c r="H806" i="10"/>
  <c r="F805" i="10"/>
  <c r="I805" i="10" s="1"/>
  <c r="G805" i="10"/>
  <c r="H805" i="10"/>
  <c r="F804" i="10"/>
  <c r="I804" i="10" s="1"/>
  <c r="G804" i="10"/>
  <c r="H804" i="10"/>
  <c r="F803" i="10"/>
  <c r="G803" i="10"/>
  <c r="H803" i="10"/>
  <c r="J808" i="10" l="1"/>
  <c r="K808" i="10" s="1"/>
  <c r="J831" i="10"/>
  <c r="K831" i="10" s="1"/>
  <c r="J819" i="10"/>
  <c r="K819" i="10" s="1"/>
  <c r="J829" i="10"/>
  <c r="K829" i="10" s="1"/>
  <c r="J828" i="10"/>
  <c r="K828" i="10" s="1"/>
  <c r="J804" i="10"/>
  <c r="K804" i="10" s="1"/>
  <c r="L835" i="10"/>
  <c r="J835" i="10"/>
  <c r="K835" i="10" s="1"/>
  <c r="J820" i="10"/>
  <c r="K820" i="10" s="1"/>
  <c r="J834" i="10"/>
  <c r="K834" i="10" s="1"/>
  <c r="J826" i="10"/>
  <c r="K826" i="10" s="1"/>
  <c r="J811" i="10"/>
  <c r="K811" i="10" s="1"/>
  <c r="J824" i="10"/>
  <c r="K824" i="10" s="1"/>
  <c r="L812" i="10"/>
  <c r="M845" i="10"/>
  <c r="L827" i="10"/>
  <c r="I807" i="10"/>
  <c r="J812" i="10"/>
  <c r="K812" i="10" s="1"/>
  <c r="L836" i="10"/>
  <c r="I814" i="10"/>
  <c r="M836" i="10"/>
  <c r="J827" i="10"/>
  <c r="K827" i="10" s="1"/>
  <c r="J823" i="10"/>
  <c r="K823" i="10" s="1"/>
  <c r="L845" i="10"/>
  <c r="K843" i="10"/>
  <c r="L839" i="10"/>
  <c r="M847" i="10"/>
  <c r="L842" i="10"/>
  <c r="P539" i="12"/>
  <c r="K838" i="10"/>
  <c r="M838" i="10"/>
  <c r="M846" i="10"/>
  <c r="K846" i="10"/>
  <c r="M844" i="10"/>
  <c r="K844" i="10"/>
  <c r="L844" i="10"/>
  <c r="L846" i="10"/>
  <c r="M839" i="10"/>
  <c r="L838" i="10"/>
  <c r="M848" i="10"/>
  <c r="L847" i="10"/>
  <c r="M840" i="10"/>
  <c r="L848" i="10"/>
  <c r="M841" i="10"/>
  <c r="L840" i="10"/>
  <c r="M842" i="10"/>
  <c r="L841" i="10"/>
  <c r="M843" i="10"/>
  <c r="J837" i="10"/>
  <c r="K837" i="10" s="1"/>
  <c r="P530" i="12"/>
  <c r="P529" i="12"/>
  <c r="P536" i="12"/>
  <c r="P537" i="12"/>
  <c r="P535" i="12"/>
  <c r="P538" i="12"/>
  <c r="P534" i="12"/>
  <c r="P532" i="12"/>
  <c r="P533" i="12"/>
  <c r="P531" i="12"/>
  <c r="P528" i="12"/>
  <c r="O504" i="12"/>
  <c r="O502" i="12"/>
  <c r="O498" i="12"/>
  <c r="O506" i="12"/>
  <c r="K830" i="10"/>
  <c r="M830" i="10"/>
  <c r="L830" i="10"/>
  <c r="K822" i="10"/>
  <c r="L822" i="10"/>
  <c r="M822" i="10"/>
  <c r="M823" i="10"/>
  <c r="M832" i="10"/>
  <c r="M824" i="10"/>
  <c r="M833" i="10"/>
  <c r="L832" i="10"/>
  <c r="M825" i="10"/>
  <c r="M834" i="10"/>
  <c r="L833" i="10"/>
  <c r="L825" i="10"/>
  <c r="M835" i="10"/>
  <c r="O509" i="12"/>
  <c r="O505" i="12"/>
  <c r="O501" i="12"/>
  <c r="O508" i="12"/>
  <c r="O507" i="12"/>
  <c r="O500" i="12"/>
  <c r="O503" i="12"/>
  <c r="O499" i="12"/>
  <c r="O495" i="12"/>
  <c r="O496" i="12"/>
  <c r="O497" i="12"/>
  <c r="L819" i="10"/>
  <c r="M818" i="10"/>
  <c r="L821" i="10"/>
  <c r="M821" i="10"/>
  <c r="L818" i="10"/>
  <c r="M816" i="10"/>
  <c r="L816" i="10"/>
  <c r="M817" i="10"/>
  <c r="L817" i="10"/>
  <c r="M815" i="10"/>
  <c r="L815" i="10"/>
  <c r="J814" i="10"/>
  <c r="K814" i="10" s="1"/>
  <c r="J813" i="10"/>
  <c r="K813" i="10" s="1"/>
  <c r="L810" i="10"/>
  <c r="K810" i="10"/>
  <c r="K809" i="10"/>
  <c r="M809" i="10"/>
  <c r="L809" i="10"/>
  <c r="M812" i="10"/>
  <c r="M810" i="10"/>
  <c r="M808" i="10"/>
  <c r="M811" i="10"/>
  <c r="J807" i="10"/>
  <c r="K807" i="10" s="1"/>
  <c r="L804" i="10"/>
  <c r="J805" i="10"/>
  <c r="K805" i="10" s="1"/>
  <c r="M806" i="10"/>
  <c r="L806" i="10"/>
  <c r="K803" i="10"/>
  <c r="M803" i="10"/>
  <c r="L803" i="10"/>
  <c r="L826" i="10" l="1"/>
  <c r="L823" i="10"/>
  <c r="M804" i="10"/>
  <c r="M819" i="10"/>
  <c r="M807" i="10"/>
  <c r="L834" i="10"/>
  <c r="L828" i="10"/>
  <c r="M831" i="10"/>
  <c r="L807" i="10"/>
  <c r="L824" i="10"/>
  <c r="L820" i="10"/>
  <c r="M828" i="10"/>
  <c r="L831" i="10"/>
  <c r="M827" i="10"/>
  <c r="M820" i="10"/>
  <c r="L829" i="10"/>
  <c r="M826" i="10"/>
  <c r="L811" i="10"/>
  <c r="M829" i="10"/>
  <c r="L808" i="10"/>
  <c r="L837" i="10"/>
  <c r="M837" i="10"/>
  <c r="L814" i="10"/>
  <c r="M814" i="10"/>
  <c r="L813" i="10"/>
  <c r="M813" i="10"/>
  <c r="M805" i="10"/>
  <c r="L805" i="10"/>
  <c r="BQ794" i="10" l="1"/>
  <c r="BQ795" i="10"/>
  <c r="BQ796" i="10"/>
  <c r="BQ797" i="10"/>
  <c r="BQ798" i="10"/>
  <c r="BQ799" i="10"/>
  <c r="BQ800" i="10"/>
  <c r="BQ801" i="10"/>
  <c r="BQ802" i="10"/>
  <c r="BQ793" i="10"/>
  <c r="AP794" i="10"/>
  <c r="AP795" i="10"/>
  <c r="AP796" i="10"/>
  <c r="AP797" i="10"/>
  <c r="AP798" i="10"/>
  <c r="AP799" i="10"/>
  <c r="AP800" i="10"/>
  <c r="AP801" i="10"/>
  <c r="AP802" i="10"/>
  <c r="AP793" i="10"/>
  <c r="BB794" i="10"/>
  <c r="BB795" i="10"/>
  <c r="BB796" i="10"/>
  <c r="BB797" i="10"/>
  <c r="BB798" i="10"/>
  <c r="BB799" i="10"/>
  <c r="BB800" i="10"/>
  <c r="BB801" i="10"/>
  <c r="BB802" i="10"/>
  <c r="BB793" i="10"/>
  <c r="AW802" i="10"/>
  <c r="AW801" i="10"/>
  <c r="W802" i="10"/>
  <c r="W801" i="10"/>
  <c r="F802" i="10"/>
  <c r="I802" i="10" s="1"/>
  <c r="G802" i="10"/>
  <c r="H802" i="10"/>
  <c r="F801" i="10"/>
  <c r="G801" i="10"/>
  <c r="H801" i="10"/>
  <c r="AW798" i="10"/>
  <c r="W800" i="10"/>
  <c r="W799" i="10"/>
  <c r="W798" i="10"/>
  <c r="I798" i="10" s="1"/>
  <c r="F800" i="10"/>
  <c r="I800" i="10" s="1"/>
  <c r="G800" i="10"/>
  <c r="H800" i="10"/>
  <c r="F799" i="10"/>
  <c r="I799" i="10" s="1"/>
  <c r="G799" i="10"/>
  <c r="H799" i="10"/>
  <c r="F798" i="10"/>
  <c r="G798" i="10"/>
  <c r="H798" i="10"/>
  <c r="W797" i="10"/>
  <c r="W796" i="10"/>
  <c r="F797" i="10"/>
  <c r="G797" i="10"/>
  <c r="H797" i="10"/>
  <c r="F796" i="10"/>
  <c r="G796" i="10"/>
  <c r="H796" i="10"/>
  <c r="F795" i="10"/>
  <c r="AW793" i="10"/>
  <c r="W795" i="10"/>
  <c r="I795" i="10" s="1"/>
  <c r="W794" i="10"/>
  <c r="W793" i="10"/>
  <c r="I793" i="10"/>
  <c r="J793" i="10" s="1"/>
  <c r="G795" i="10"/>
  <c r="H795" i="10"/>
  <c r="F794" i="10"/>
  <c r="I794" i="10" s="1"/>
  <c r="G794" i="10"/>
  <c r="H794" i="10"/>
  <c r="F793" i="10"/>
  <c r="G793" i="10"/>
  <c r="H793" i="10"/>
  <c r="Z785" i="10"/>
  <c r="Z788" i="10"/>
  <c r="Z784" i="10"/>
  <c r="Y785" i="10"/>
  <c r="Y786" i="10"/>
  <c r="Z786" i="10" s="1"/>
  <c r="Y787" i="10"/>
  <c r="Z787" i="10" s="1"/>
  <c r="Y788" i="10"/>
  <c r="Y789" i="10"/>
  <c r="Z789" i="10" s="1"/>
  <c r="Y790" i="10"/>
  <c r="Z790" i="10" s="1"/>
  <c r="Y791" i="10"/>
  <c r="Z791" i="10" s="1"/>
  <c r="Y792" i="10"/>
  <c r="Z792" i="10" s="1"/>
  <c r="Y784" i="10"/>
  <c r="I789" i="10"/>
  <c r="J789" i="10" s="1"/>
  <c r="AX785" i="10"/>
  <c r="AX786" i="10"/>
  <c r="AX787" i="10"/>
  <c r="AX788" i="10"/>
  <c r="AX789" i="10"/>
  <c r="AX790" i="10"/>
  <c r="AX791" i="10"/>
  <c r="AX792" i="10"/>
  <c r="AX784" i="10"/>
  <c r="BC785" i="10"/>
  <c r="BC786" i="10"/>
  <c r="BC787" i="10"/>
  <c r="BC788" i="10"/>
  <c r="BC789" i="10"/>
  <c r="BC790" i="10"/>
  <c r="BC791" i="10"/>
  <c r="BC792" i="10"/>
  <c r="BC784" i="10"/>
  <c r="AV785" i="10"/>
  <c r="AV786" i="10"/>
  <c r="AV787" i="10"/>
  <c r="AV788" i="10"/>
  <c r="AV789" i="10"/>
  <c r="AV790" i="10"/>
  <c r="AV791" i="10"/>
  <c r="AV792" i="10"/>
  <c r="AV784" i="10"/>
  <c r="W790" i="10"/>
  <c r="W791" i="10"/>
  <c r="W792" i="10"/>
  <c r="F792" i="10"/>
  <c r="I792" i="10" s="1"/>
  <c r="G792" i="10"/>
  <c r="H792" i="10"/>
  <c r="F791" i="10"/>
  <c r="I791" i="10" s="1"/>
  <c r="G791" i="10"/>
  <c r="H791" i="10"/>
  <c r="F790" i="10"/>
  <c r="I790" i="10" s="1"/>
  <c r="J790" i="10" s="1"/>
  <c r="K790" i="10" s="1"/>
  <c r="G790" i="10"/>
  <c r="H790" i="10"/>
  <c r="W789" i="10"/>
  <c r="W788" i="10"/>
  <c r="I788" i="10" s="1"/>
  <c r="J788" i="10" s="1"/>
  <c r="K788" i="10" s="1"/>
  <c r="W787" i="10"/>
  <c r="F789" i="10"/>
  <c r="G789" i="10"/>
  <c r="H789" i="10"/>
  <c r="F788" i="10"/>
  <c r="G788" i="10"/>
  <c r="H788" i="10"/>
  <c r="F787" i="10"/>
  <c r="I787" i="10" s="1"/>
  <c r="J787" i="10" s="1"/>
  <c r="G787" i="10"/>
  <c r="H787" i="10"/>
  <c r="W786" i="10"/>
  <c r="W785" i="10"/>
  <c r="W784" i="10"/>
  <c r="F786" i="10"/>
  <c r="I786" i="10" s="1"/>
  <c r="J786" i="10" s="1"/>
  <c r="G786" i="10"/>
  <c r="H786" i="10"/>
  <c r="F785" i="10"/>
  <c r="I785" i="10" s="1"/>
  <c r="J785" i="10" s="1"/>
  <c r="K785" i="10" s="1"/>
  <c r="G785" i="10"/>
  <c r="H785" i="10"/>
  <c r="F784" i="10"/>
  <c r="G784" i="10"/>
  <c r="H784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70" i="10"/>
  <c r="I776" i="10"/>
  <c r="J776" i="10" s="1"/>
  <c r="I780" i="10"/>
  <c r="J780" i="10"/>
  <c r="K780" i="10" s="1"/>
  <c r="I783" i="10"/>
  <c r="J783" i="10" s="1"/>
  <c r="K783" i="10" s="1"/>
  <c r="F771" i="10"/>
  <c r="I771" i="10" s="1"/>
  <c r="J771" i="10" s="1"/>
  <c r="F772" i="10"/>
  <c r="I772" i="10" s="1"/>
  <c r="F773" i="10"/>
  <c r="I773" i="10" s="1"/>
  <c r="F774" i="10"/>
  <c r="I774" i="10" s="1"/>
  <c r="F775" i="10"/>
  <c r="F776" i="10"/>
  <c r="F777" i="10"/>
  <c r="I777" i="10" s="1"/>
  <c r="J777" i="10" s="1"/>
  <c r="K777" i="10" s="1"/>
  <c r="F778" i="10"/>
  <c r="I778" i="10" s="1"/>
  <c r="F779" i="10"/>
  <c r="I779" i="10" s="1"/>
  <c r="J779" i="10" s="1"/>
  <c r="F780" i="10"/>
  <c r="F781" i="10"/>
  <c r="I781" i="10" s="1"/>
  <c r="F782" i="10"/>
  <c r="I782" i="10" s="1"/>
  <c r="F783" i="10"/>
  <c r="F770" i="10"/>
  <c r="I770" i="10" s="1"/>
  <c r="W783" i="10"/>
  <c r="W782" i="10"/>
  <c r="W781" i="10"/>
  <c r="W780" i="10"/>
  <c r="W779" i="10"/>
  <c r="W778" i="10"/>
  <c r="G783" i="10"/>
  <c r="H783" i="10"/>
  <c r="G782" i="10"/>
  <c r="H782" i="10"/>
  <c r="G781" i="10"/>
  <c r="H781" i="10"/>
  <c r="G780" i="10"/>
  <c r="H780" i="10"/>
  <c r="G779" i="10"/>
  <c r="H779" i="10"/>
  <c r="G778" i="10"/>
  <c r="H778" i="10"/>
  <c r="W777" i="10"/>
  <c r="W776" i="10"/>
  <c r="W775" i="10"/>
  <c r="I775" i="10" s="1"/>
  <c r="J775" i="10" s="1"/>
  <c r="K775" i="10" s="1"/>
  <c r="W774" i="10"/>
  <c r="W773" i="10"/>
  <c r="W772" i="10"/>
  <c r="W771" i="10"/>
  <c r="W770" i="10"/>
  <c r="G777" i="10"/>
  <c r="H777" i="10"/>
  <c r="G776" i="10"/>
  <c r="H776" i="10"/>
  <c r="G775" i="10"/>
  <c r="H775" i="10"/>
  <c r="G774" i="10"/>
  <c r="H774" i="10"/>
  <c r="G773" i="10"/>
  <c r="H773" i="10"/>
  <c r="G772" i="10"/>
  <c r="H772" i="10"/>
  <c r="G771" i="10"/>
  <c r="H771" i="10"/>
  <c r="G770" i="10"/>
  <c r="H770" i="10"/>
  <c r="J799" i="10" l="1"/>
  <c r="K799" i="10" s="1"/>
  <c r="M799" i="10"/>
  <c r="J792" i="10"/>
  <c r="K792" i="10" s="1"/>
  <c r="M792" i="10"/>
  <c r="J794" i="10"/>
  <c r="K794" i="10" s="1"/>
  <c r="J800" i="10"/>
  <c r="K800" i="10" s="1"/>
  <c r="L800" i="10"/>
  <c r="M800" i="10"/>
  <c r="J770" i="10"/>
  <c r="K770" i="10" s="1"/>
  <c r="M776" i="10"/>
  <c r="K776" i="10"/>
  <c r="J782" i="10"/>
  <c r="K782" i="10" s="1"/>
  <c r="J774" i="10"/>
  <c r="K774" i="10" s="1"/>
  <c r="M774" i="10"/>
  <c r="K793" i="10"/>
  <c r="L793" i="10"/>
  <c r="M793" i="10"/>
  <c r="L781" i="10"/>
  <c r="J781" i="10"/>
  <c r="J773" i="10"/>
  <c r="L791" i="10"/>
  <c r="J791" i="10"/>
  <c r="K791" i="10" s="1"/>
  <c r="L786" i="10"/>
  <c r="K786" i="10"/>
  <c r="M772" i="10"/>
  <c r="L772" i="10"/>
  <c r="J772" i="10"/>
  <c r="K772" i="10" s="1"/>
  <c r="M780" i="10"/>
  <c r="I784" i="10"/>
  <c r="J784" i="10" s="1"/>
  <c r="K784" i="10" s="1"/>
  <c r="L776" i="10"/>
  <c r="I801" i="10"/>
  <c r="J801" i="10" s="1"/>
  <c r="K801" i="10" s="1"/>
  <c r="I796" i="10"/>
  <c r="J796" i="10" s="1"/>
  <c r="K796" i="10" s="1"/>
  <c r="L780" i="10"/>
  <c r="I797" i="10"/>
  <c r="J802" i="10"/>
  <c r="K802" i="10" s="1"/>
  <c r="J798" i="10"/>
  <c r="K798" i="10" s="1"/>
  <c r="L797" i="10"/>
  <c r="M797" i="10"/>
  <c r="J797" i="10"/>
  <c r="K797" i="10" s="1"/>
  <c r="J795" i="10"/>
  <c r="K795" i="10" s="1"/>
  <c r="M787" i="10"/>
  <c r="K787" i="10"/>
  <c r="L787" i="10"/>
  <c r="M789" i="10"/>
  <c r="K789" i="10"/>
  <c r="L789" i="10"/>
  <c r="M790" i="10"/>
  <c r="L790" i="10"/>
  <c r="M785" i="10"/>
  <c r="M788" i="10"/>
  <c r="L785" i="10"/>
  <c r="M791" i="10"/>
  <c r="L788" i="10"/>
  <c r="M786" i="10"/>
  <c r="L771" i="10"/>
  <c r="M771" i="10"/>
  <c r="K771" i="10"/>
  <c r="M779" i="10"/>
  <c r="K779" i="10"/>
  <c r="L779" i="10"/>
  <c r="L782" i="10"/>
  <c r="M777" i="10"/>
  <c r="L774" i="10"/>
  <c r="L777" i="10"/>
  <c r="J778" i="10"/>
  <c r="K778" i="10" s="1"/>
  <c r="L783" i="10"/>
  <c r="M778" i="10"/>
  <c r="L775" i="10"/>
  <c r="M783" i="10"/>
  <c r="M775" i="10"/>
  <c r="M794" i="10" l="1"/>
  <c r="M801" i="10"/>
  <c r="L770" i="10"/>
  <c r="L792" i="10"/>
  <c r="M773" i="10"/>
  <c r="K773" i="10"/>
  <c r="L778" i="10"/>
  <c r="M770" i="10"/>
  <c r="L802" i="10"/>
  <c r="L773" i="10"/>
  <c r="M782" i="10"/>
  <c r="L799" i="10"/>
  <c r="M781" i="10"/>
  <c r="K781" i="10"/>
  <c r="L794" i="10"/>
  <c r="M802" i="10"/>
  <c r="L801" i="10"/>
  <c r="M798" i="10"/>
  <c r="L798" i="10"/>
  <c r="L796" i="10"/>
  <c r="M796" i="10"/>
  <c r="M795" i="10"/>
  <c r="L795" i="10"/>
  <c r="M784" i="10"/>
  <c r="L784" i="10"/>
  <c r="BQ741" i="10" l="1"/>
  <c r="BQ742" i="10"/>
  <c r="BQ743" i="10"/>
  <c r="BQ744" i="10"/>
  <c r="BQ745" i="10"/>
  <c r="BQ746" i="10"/>
  <c r="BQ747" i="10"/>
  <c r="BQ748" i="10"/>
  <c r="BQ749" i="10"/>
  <c r="BQ750" i="10"/>
  <c r="BQ751" i="10"/>
  <c r="BQ752" i="10"/>
  <c r="BQ753" i="10"/>
  <c r="BQ754" i="10"/>
  <c r="BQ755" i="10"/>
  <c r="BQ756" i="10"/>
  <c r="BQ757" i="10"/>
  <c r="BQ758" i="10"/>
  <c r="BQ759" i="10"/>
  <c r="BQ760" i="10"/>
  <c r="BQ761" i="10"/>
  <c r="BQ762" i="10"/>
  <c r="BQ763" i="10"/>
  <c r="BQ764" i="10"/>
  <c r="BQ765" i="10"/>
  <c r="BQ766" i="10"/>
  <c r="BQ767" i="10"/>
  <c r="BQ768" i="10"/>
  <c r="BQ769" i="10"/>
  <c r="BQ740" i="10"/>
  <c r="AX769" i="10"/>
  <c r="AX768" i="10"/>
  <c r="AX767" i="10"/>
  <c r="AX766" i="10"/>
  <c r="AX765" i="10"/>
  <c r="AX764" i="10"/>
  <c r="AX763" i="10"/>
  <c r="AX762" i="10"/>
  <c r="AX761" i="10"/>
  <c r="AX760" i="10"/>
  <c r="AX759" i="10"/>
  <c r="AX758" i="10"/>
  <c r="AX757" i="10"/>
  <c r="AX756" i="10"/>
  <c r="AX755" i="10"/>
  <c r="AX754" i="10"/>
  <c r="AX753" i="10"/>
  <c r="AX752" i="10"/>
  <c r="AX751" i="10"/>
  <c r="AX750" i="10"/>
  <c r="AX749" i="10"/>
  <c r="AX748" i="10"/>
  <c r="AX747" i="10"/>
  <c r="AX746" i="10"/>
  <c r="AX745" i="10"/>
  <c r="AX744" i="10"/>
  <c r="AX743" i="10"/>
  <c r="AX742" i="10"/>
  <c r="AX741" i="10"/>
  <c r="AX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40" i="10"/>
  <c r="BB741" i="10"/>
  <c r="BB742" i="10"/>
  <c r="BB743" i="10"/>
  <c r="BB744" i="10"/>
  <c r="BB745" i="10"/>
  <c r="BB746" i="10"/>
  <c r="BB747" i="10"/>
  <c r="BB748" i="10"/>
  <c r="BB749" i="10"/>
  <c r="BB750" i="10"/>
  <c r="BB751" i="10"/>
  <c r="BB752" i="10"/>
  <c r="BB753" i="10"/>
  <c r="BB754" i="10"/>
  <c r="BB755" i="10"/>
  <c r="BB756" i="10"/>
  <c r="BB757" i="10"/>
  <c r="BB758" i="10"/>
  <c r="BB759" i="10"/>
  <c r="BB760" i="10"/>
  <c r="BB761" i="10"/>
  <c r="BB762" i="10"/>
  <c r="BB763" i="10"/>
  <c r="BB764" i="10"/>
  <c r="BB765" i="10"/>
  <c r="BB766" i="10"/>
  <c r="BB767" i="10"/>
  <c r="BB768" i="10"/>
  <c r="BB769" i="10"/>
  <c r="BB740" i="10"/>
  <c r="G740" i="10"/>
  <c r="H740" i="10"/>
  <c r="G741" i="10"/>
  <c r="H741" i="10"/>
  <c r="G742" i="10"/>
  <c r="H742" i="10"/>
  <c r="I742" i="10"/>
  <c r="J742" i="10" s="1"/>
  <c r="K742" i="10" s="1"/>
  <c r="G743" i="10"/>
  <c r="H743" i="10"/>
  <c r="G744" i="10"/>
  <c r="H744" i="10"/>
  <c r="G745" i="10"/>
  <c r="H745" i="10"/>
  <c r="G746" i="10"/>
  <c r="H746" i="10"/>
  <c r="G747" i="10"/>
  <c r="H747" i="10"/>
  <c r="G748" i="10"/>
  <c r="H748" i="10"/>
  <c r="G749" i="10"/>
  <c r="H749" i="10"/>
  <c r="G750" i="10"/>
  <c r="H750" i="10"/>
  <c r="G751" i="10"/>
  <c r="H751" i="10"/>
  <c r="I751" i="10"/>
  <c r="J751" i="10" s="1"/>
  <c r="K751" i="10" s="1"/>
  <c r="G752" i="10"/>
  <c r="H752" i="10"/>
  <c r="G753" i="10"/>
  <c r="H753" i="10"/>
  <c r="G754" i="10"/>
  <c r="H754" i="10"/>
  <c r="G755" i="10"/>
  <c r="H755" i="10"/>
  <c r="G756" i="10"/>
  <c r="H756" i="10"/>
  <c r="G757" i="10"/>
  <c r="H757" i="10"/>
  <c r="G758" i="10"/>
  <c r="H758" i="10"/>
  <c r="G759" i="10"/>
  <c r="H759" i="10"/>
  <c r="G760" i="10"/>
  <c r="H760" i="10"/>
  <c r="G761" i="10"/>
  <c r="H761" i="10"/>
  <c r="G762" i="10"/>
  <c r="H762" i="10"/>
  <c r="G763" i="10"/>
  <c r="H763" i="10"/>
  <c r="G764" i="10"/>
  <c r="H764" i="10"/>
  <c r="G765" i="10"/>
  <c r="H765" i="10"/>
  <c r="I765" i="10"/>
  <c r="J765" i="10" s="1"/>
  <c r="K765" i="10" s="1"/>
  <c r="G766" i="10"/>
  <c r="H766" i="10"/>
  <c r="G767" i="10"/>
  <c r="H767" i="10"/>
  <c r="G768" i="10"/>
  <c r="H768" i="10"/>
  <c r="G769" i="10"/>
  <c r="H769" i="10"/>
  <c r="W756" i="10"/>
  <c r="I756" i="10" s="1"/>
  <c r="W757" i="10"/>
  <c r="I757" i="10" s="1"/>
  <c r="W758" i="10"/>
  <c r="I758" i="10" s="1"/>
  <c r="J758" i="10" s="1"/>
  <c r="W759" i="10"/>
  <c r="I759" i="10" s="1"/>
  <c r="J759" i="10" s="1"/>
  <c r="K759" i="10" s="1"/>
  <c r="W760" i="10"/>
  <c r="I760" i="10" s="1"/>
  <c r="W761" i="10"/>
  <c r="I761" i="10" s="1"/>
  <c r="W762" i="10"/>
  <c r="I762" i="10" s="1"/>
  <c r="W763" i="10"/>
  <c r="I763" i="10" s="1"/>
  <c r="W764" i="10"/>
  <c r="I764" i="10" s="1"/>
  <c r="W765" i="10"/>
  <c r="W766" i="10"/>
  <c r="I766" i="10" s="1"/>
  <c r="J766" i="10" s="1"/>
  <c r="W767" i="10"/>
  <c r="I767" i="10" s="1"/>
  <c r="J767" i="10" s="1"/>
  <c r="K767" i="10" s="1"/>
  <c r="W768" i="10"/>
  <c r="I768" i="10" s="1"/>
  <c r="W769" i="10"/>
  <c r="I769" i="10" s="1"/>
  <c r="W741" i="10"/>
  <c r="I741" i="10" s="1"/>
  <c r="W742" i="10"/>
  <c r="W743" i="10"/>
  <c r="I743" i="10" s="1"/>
  <c r="J743" i="10" s="1"/>
  <c r="K743" i="10" s="1"/>
  <c r="W744" i="10"/>
  <c r="I744" i="10" s="1"/>
  <c r="W745" i="10"/>
  <c r="I745" i="10" s="1"/>
  <c r="W746" i="10"/>
  <c r="I746" i="10" s="1"/>
  <c r="W747" i="10"/>
  <c r="I747" i="10" s="1"/>
  <c r="W748" i="10"/>
  <c r="I748" i="10" s="1"/>
  <c r="W749" i="10"/>
  <c r="I749" i="10" s="1"/>
  <c r="J749" i="10" s="1"/>
  <c r="W750" i="10"/>
  <c r="I750" i="10" s="1"/>
  <c r="J750" i="10" s="1"/>
  <c r="W751" i="10"/>
  <c r="W752" i="10"/>
  <c r="I752" i="10" s="1"/>
  <c r="W753" i="10"/>
  <c r="I753" i="10" s="1"/>
  <c r="W754" i="10"/>
  <c r="I754" i="10" s="1"/>
  <c r="W755" i="10"/>
  <c r="I755" i="10" s="1"/>
  <c r="W740" i="10"/>
  <c r="I740" i="10" s="1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I738" i="10" s="1"/>
  <c r="W737" i="10"/>
  <c r="I737" i="10" s="1"/>
  <c r="J737" i="10" s="1"/>
  <c r="K737" i="10" s="1"/>
  <c r="W736" i="10"/>
  <c r="I736" i="10" s="1"/>
  <c r="J736" i="10" s="1"/>
  <c r="W735" i="10"/>
  <c r="I735" i="10" s="1"/>
  <c r="W734" i="10"/>
  <c r="K484" i="12"/>
  <c r="K485" i="12"/>
  <c r="K486" i="12"/>
  <c r="K487" i="12"/>
  <c r="K488" i="12"/>
  <c r="K483" i="12"/>
  <c r="G484" i="12"/>
  <c r="M484" i="12" s="1"/>
  <c r="G485" i="12"/>
  <c r="M485" i="12" s="1"/>
  <c r="G486" i="12"/>
  <c r="M486" i="12" s="1"/>
  <c r="G487" i="12"/>
  <c r="M487" i="12" s="1"/>
  <c r="G488" i="12"/>
  <c r="I488" i="12" s="1"/>
  <c r="G483" i="12"/>
  <c r="I483" i="12" s="1"/>
  <c r="Z718" i="10"/>
  <c r="Z721" i="10"/>
  <c r="Z722" i="10"/>
  <c r="Z726" i="10"/>
  <c r="Z729" i="10"/>
  <c r="Z730" i="10"/>
  <c r="Z716" i="10"/>
  <c r="Y717" i="10"/>
  <c r="Z717" i="10" s="1"/>
  <c r="Y718" i="10"/>
  <c r="Y719" i="10"/>
  <c r="Z719" i="10" s="1"/>
  <c r="Y720" i="10"/>
  <c r="Z720" i="10" s="1"/>
  <c r="Y721" i="10"/>
  <c r="Y722" i="10"/>
  <c r="Y723" i="10"/>
  <c r="Z723" i="10" s="1"/>
  <c r="Y724" i="10"/>
  <c r="Z724" i="10" s="1"/>
  <c r="Y725" i="10"/>
  <c r="Z725" i="10" s="1"/>
  <c r="Y726" i="10"/>
  <c r="Y727" i="10"/>
  <c r="Z727" i="10" s="1"/>
  <c r="Y728" i="10"/>
  <c r="Z728" i="10" s="1"/>
  <c r="Y729" i="10"/>
  <c r="Y730" i="10"/>
  <c r="Y731" i="10"/>
  <c r="Z731" i="10" s="1"/>
  <c r="Y732" i="10"/>
  <c r="Z732" i="10" s="1"/>
  <c r="Y733" i="10"/>
  <c r="Z733" i="10" s="1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I728" i="10" s="1"/>
  <c r="W729" i="10"/>
  <c r="W730" i="10"/>
  <c r="W731" i="10"/>
  <c r="W732" i="10"/>
  <c r="I732" i="10" s="1"/>
  <c r="J732" i="10" s="1"/>
  <c r="W733" i="10"/>
  <c r="W716" i="10"/>
  <c r="I716" i="10" s="1"/>
  <c r="J716" i="10" s="1"/>
  <c r="G716" i="10"/>
  <c r="H716" i="10"/>
  <c r="G717" i="10"/>
  <c r="H717" i="10"/>
  <c r="I717" i="10"/>
  <c r="J717" i="10" s="1"/>
  <c r="K717" i="10" s="1"/>
  <c r="G718" i="10"/>
  <c r="H718" i="10"/>
  <c r="I718" i="10"/>
  <c r="M718" i="10" s="1"/>
  <c r="J718" i="10"/>
  <c r="K718" i="10" s="1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 s="1"/>
  <c r="K722" i="10" s="1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J731" i="10"/>
  <c r="K731" i="10" s="1"/>
  <c r="G732" i="10"/>
  <c r="H732" i="10"/>
  <c r="G733" i="10"/>
  <c r="H733" i="10"/>
  <c r="I733" i="10"/>
  <c r="J733" i="10" s="1"/>
  <c r="K479" i="12"/>
  <c r="L479" i="12" s="1"/>
  <c r="Q479" i="12" s="1"/>
  <c r="K478" i="12"/>
  <c r="K477" i="12"/>
  <c r="L477" i="12" s="1"/>
  <c r="Q477" i="12" s="1"/>
  <c r="K476" i="12"/>
  <c r="L476" i="12" s="1"/>
  <c r="Q476" i="12" s="1"/>
  <c r="K475" i="12"/>
  <c r="L475" i="12" s="1"/>
  <c r="Q475" i="12" s="1"/>
  <c r="K474" i="12"/>
  <c r="L474" i="12" s="1"/>
  <c r="Q474" i="12" s="1"/>
  <c r="K473" i="12"/>
  <c r="L473" i="12" s="1"/>
  <c r="Q473" i="12" s="1"/>
  <c r="K472" i="12"/>
  <c r="K471" i="12"/>
  <c r="L471" i="12" s="1"/>
  <c r="Q471" i="12" s="1"/>
  <c r="K470" i="12"/>
  <c r="L470" i="12" s="1"/>
  <c r="Q470" i="12" s="1"/>
  <c r="K469" i="12"/>
  <c r="K468" i="12"/>
  <c r="L468" i="12" s="1"/>
  <c r="Q468" i="12" s="1"/>
  <c r="K467" i="12"/>
  <c r="L467" i="12" s="1"/>
  <c r="Q467" i="12" s="1"/>
  <c r="K466" i="12"/>
  <c r="L466" i="12" s="1"/>
  <c r="Q466" i="12" s="1"/>
  <c r="K465" i="12"/>
  <c r="L465" i="12" s="1"/>
  <c r="Q465" i="12" s="1"/>
  <c r="K464" i="12"/>
  <c r="L464" i="12" s="1"/>
  <c r="Q464" i="12" s="1"/>
  <c r="K463" i="12"/>
  <c r="L463" i="12" s="1"/>
  <c r="Q463" i="12" s="1"/>
  <c r="K462" i="12"/>
  <c r="L462" i="12" s="1"/>
  <c r="Q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M479" i="12"/>
  <c r="L478" i="12"/>
  <c r="Q478" i="12" s="1"/>
  <c r="M478" i="12"/>
  <c r="M477" i="12"/>
  <c r="M476" i="12"/>
  <c r="M475" i="12"/>
  <c r="M474" i="12"/>
  <c r="M473" i="12"/>
  <c r="L472" i="12"/>
  <c r="Q472" i="12" s="1"/>
  <c r="M472" i="12"/>
  <c r="M471" i="12"/>
  <c r="M470" i="12"/>
  <c r="L469" i="12"/>
  <c r="Q469" i="12" s="1"/>
  <c r="M469" i="12"/>
  <c r="M468" i="12"/>
  <c r="M467" i="12"/>
  <c r="M466" i="12"/>
  <c r="M465" i="12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G694" i="10"/>
  <c r="H694" i="10"/>
  <c r="I694" i="10"/>
  <c r="J694" i="10" s="1"/>
  <c r="K694" i="10" s="1"/>
  <c r="G695" i="10"/>
  <c r="H695" i="10"/>
  <c r="G696" i="10"/>
  <c r="H696" i="10"/>
  <c r="G697" i="10"/>
  <c r="H697" i="10"/>
  <c r="G698" i="10"/>
  <c r="H698" i="10"/>
  <c r="G699" i="10"/>
  <c r="H699" i="10"/>
  <c r="G700" i="10"/>
  <c r="H700" i="10"/>
  <c r="I700" i="10"/>
  <c r="G701" i="10"/>
  <c r="H701" i="10"/>
  <c r="G702" i="10"/>
  <c r="H702" i="10"/>
  <c r="G703" i="10"/>
  <c r="H703" i="10"/>
  <c r="I703" i="10"/>
  <c r="J703" i="10" s="1"/>
  <c r="K703" i="10" s="1"/>
  <c r="G704" i="10"/>
  <c r="H704" i="10"/>
  <c r="G705" i="10"/>
  <c r="H705" i="10"/>
  <c r="G706" i="10"/>
  <c r="H706" i="10"/>
  <c r="G707" i="10"/>
  <c r="H707" i="10"/>
  <c r="I707" i="10"/>
  <c r="J707" i="10" s="1"/>
  <c r="K707" i="10" s="1"/>
  <c r="G708" i="10"/>
  <c r="H708" i="10"/>
  <c r="G709" i="10"/>
  <c r="H709" i="10"/>
  <c r="G710" i="10"/>
  <c r="H710" i="10"/>
  <c r="G711" i="10"/>
  <c r="H711" i="10"/>
  <c r="G712" i="10"/>
  <c r="H712" i="10"/>
  <c r="I712" i="10"/>
  <c r="G713" i="10"/>
  <c r="H713" i="10"/>
  <c r="I713" i="10"/>
  <c r="J713" i="10" s="1"/>
  <c r="G714" i="10"/>
  <c r="H714" i="10"/>
  <c r="G715" i="10"/>
  <c r="H715" i="10"/>
  <c r="G692" i="10"/>
  <c r="H692" i="10"/>
  <c r="W693" i="10"/>
  <c r="I693" i="10" s="1"/>
  <c r="J693" i="10" s="1"/>
  <c r="W694" i="10"/>
  <c r="W695" i="10"/>
  <c r="I695" i="10" s="1"/>
  <c r="J695" i="10" s="1"/>
  <c r="K695" i="10" s="1"/>
  <c r="W696" i="10"/>
  <c r="I696" i="10" s="1"/>
  <c r="W697" i="10"/>
  <c r="I697" i="10" s="1"/>
  <c r="W698" i="10"/>
  <c r="I698" i="10" s="1"/>
  <c r="J698" i="10" s="1"/>
  <c r="W699" i="10"/>
  <c r="I699" i="10" s="1"/>
  <c r="W700" i="10"/>
  <c r="W701" i="10"/>
  <c r="I701" i="10" s="1"/>
  <c r="J701" i="10" s="1"/>
  <c r="W702" i="10"/>
  <c r="I702" i="10" s="1"/>
  <c r="J702" i="10" s="1"/>
  <c r="K702" i="10" s="1"/>
  <c r="W703" i="10"/>
  <c r="W704" i="10"/>
  <c r="I704" i="10" s="1"/>
  <c r="W705" i="10"/>
  <c r="I705" i="10" s="1"/>
  <c r="W706" i="10"/>
  <c r="I706" i="10" s="1"/>
  <c r="J706" i="10" s="1"/>
  <c r="W707" i="10"/>
  <c r="W708" i="10"/>
  <c r="I708" i="10" s="1"/>
  <c r="W709" i="10"/>
  <c r="I709" i="10" s="1"/>
  <c r="J709" i="10" s="1"/>
  <c r="W710" i="10"/>
  <c r="I710" i="10" s="1"/>
  <c r="J710" i="10" s="1"/>
  <c r="K710" i="10" s="1"/>
  <c r="W711" i="10"/>
  <c r="I711" i="10" s="1"/>
  <c r="J711" i="10" s="1"/>
  <c r="K711" i="10" s="1"/>
  <c r="W712" i="10"/>
  <c r="W713" i="10"/>
  <c r="W714" i="10"/>
  <c r="I714" i="10" s="1"/>
  <c r="J714" i="10" s="1"/>
  <c r="W715" i="10"/>
  <c r="I715" i="10" s="1"/>
  <c r="W692" i="10"/>
  <c r="I692" i="10" s="1"/>
  <c r="J435" i="12"/>
  <c r="K435" i="12" s="1"/>
  <c r="P435" i="12" s="1"/>
  <c r="L435" i="12"/>
  <c r="R435" i="12" s="1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L450" i="12"/>
  <c r="R450" i="12" s="1"/>
  <c r="J451" i="12"/>
  <c r="K451" i="12" s="1"/>
  <c r="P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L454" i="12"/>
  <c r="R454" i="12" s="1"/>
  <c r="J455" i="12"/>
  <c r="K455" i="12" s="1"/>
  <c r="P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J715" i="10" l="1"/>
  <c r="K715" i="10" s="1"/>
  <c r="L715" i="10"/>
  <c r="J699" i="10"/>
  <c r="K699" i="10" s="1"/>
  <c r="J763" i="10"/>
  <c r="K763" i="10" s="1"/>
  <c r="M763" i="10"/>
  <c r="J756" i="10"/>
  <c r="J741" i="10"/>
  <c r="K741" i="10" s="1"/>
  <c r="L741" i="10"/>
  <c r="J705" i="10"/>
  <c r="L705" i="10" s="1"/>
  <c r="J697" i="10"/>
  <c r="J740" i="10"/>
  <c r="M740" i="10"/>
  <c r="J748" i="10"/>
  <c r="M748" i="10" s="1"/>
  <c r="J769" i="10"/>
  <c r="K769" i="10" s="1"/>
  <c r="L761" i="10"/>
  <c r="J761" i="10"/>
  <c r="K761" i="10" s="1"/>
  <c r="J696" i="10"/>
  <c r="K696" i="10" s="1"/>
  <c r="J755" i="10"/>
  <c r="K755" i="10" s="1"/>
  <c r="M747" i="10"/>
  <c r="L747" i="10"/>
  <c r="J747" i="10"/>
  <c r="K747" i="10" s="1"/>
  <c r="J768" i="10"/>
  <c r="K768" i="10" s="1"/>
  <c r="L760" i="10"/>
  <c r="J760" i="10"/>
  <c r="K760" i="10" s="1"/>
  <c r="J764" i="10"/>
  <c r="M764" i="10" s="1"/>
  <c r="M713" i="10"/>
  <c r="K713" i="10"/>
  <c r="J753" i="10"/>
  <c r="K753" i="10" s="1"/>
  <c r="L745" i="10"/>
  <c r="J745" i="10"/>
  <c r="K745" i="10" s="1"/>
  <c r="L708" i="10"/>
  <c r="J708" i="10"/>
  <c r="K708" i="10" s="1"/>
  <c r="M708" i="10"/>
  <c r="J704" i="10"/>
  <c r="K704" i="10" s="1"/>
  <c r="L752" i="10"/>
  <c r="J752" i="10"/>
  <c r="K752" i="10" s="1"/>
  <c r="J744" i="10"/>
  <c r="K744" i="10" s="1"/>
  <c r="J757" i="10"/>
  <c r="K757" i="10" s="1"/>
  <c r="L757" i="10"/>
  <c r="L713" i="10"/>
  <c r="M707" i="10"/>
  <c r="M765" i="10"/>
  <c r="M742" i="10"/>
  <c r="M700" i="10"/>
  <c r="L731" i="10"/>
  <c r="L722" i="10"/>
  <c r="L765" i="10"/>
  <c r="L742" i="10"/>
  <c r="J712" i="10"/>
  <c r="K712" i="10" s="1"/>
  <c r="J700" i="10"/>
  <c r="K700" i="10" s="1"/>
  <c r="Q454" i="12"/>
  <c r="I485" i="12"/>
  <c r="Q450" i="12"/>
  <c r="I484" i="12"/>
  <c r="M488" i="12"/>
  <c r="L488" i="12" s="1"/>
  <c r="L485" i="12"/>
  <c r="Q447" i="12"/>
  <c r="Q439" i="12"/>
  <c r="I487" i="12"/>
  <c r="L484" i="12"/>
  <c r="Q451" i="12"/>
  <c r="Q443" i="12"/>
  <c r="Q435" i="12"/>
  <c r="I486" i="12"/>
  <c r="Q455" i="12"/>
  <c r="R476" i="12"/>
  <c r="L487" i="12"/>
  <c r="R462" i="12"/>
  <c r="L486" i="12"/>
  <c r="M483" i="12"/>
  <c r="L483" i="12" s="1"/>
  <c r="M766" i="10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63" i="10" l="1"/>
  <c r="L764" i="10"/>
  <c r="K764" i="10"/>
  <c r="L769" i="10"/>
  <c r="M705" i="10"/>
  <c r="K705" i="10"/>
  <c r="L723" i="10"/>
  <c r="L744" i="10"/>
  <c r="M755" i="10"/>
  <c r="M741" i="10"/>
  <c r="M699" i="10"/>
  <c r="M697" i="10"/>
  <c r="K697" i="10"/>
  <c r="M744" i="10"/>
  <c r="L700" i="10"/>
  <c r="L755" i="10"/>
  <c r="L748" i="10"/>
  <c r="K748" i="10"/>
  <c r="L712" i="10"/>
  <c r="L753" i="10"/>
  <c r="L768" i="10"/>
  <c r="L696" i="10"/>
  <c r="L740" i="10"/>
  <c r="K740" i="10"/>
  <c r="L756" i="10"/>
  <c r="K756" i="10"/>
  <c r="M757" i="10"/>
  <c r="L704" i="10"/>
  <c r="L697" i="10"/>
  <c r="M756" i="10"/>
  <c r="M715" i="10"/>
  <c r="L754" i="10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I684" i="10" s="1"/>
  <c r="J684" i="10" s="1"/>
  <c r="K684" i="10" s="1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L422" i="12"/>
  <c r="R422" i="12" s="1"/>
  <c r="L423" i="12"/>
  <c r="R423" i="12" s="1"/>
  <c r="L424" i="12"/>
  <c r="R424" i="12" s="1"/>
  <c r="L425" i="12"/>
  <c r="R425" i="12" s="1"/>
  <c r="L426" i="12"/>
  <c r="R426" i="12" s="1"/>
  <c r="L427" i="12"/>
  <c r="R427" i="12" s="1"/>
  <c r="L428" i="12"/>
  <c r="R428" i="12" s="1"/>
  <c r="J428" i="12"/>
  <c r="K428" i="12" s="1"/>
  <c r="P428" i="12" s="1"/>
  <c r="J427" i="12"/>
  <c r="K427" i="12" s="1"/>
  <c r="P427" i="12" s="1"/>
  <c r="Q427" i="12" s="1"/>
  <c r="J426" i="12"/>
  <c r="K426" i="12" s="1"/>
  <c r="P426" i="12" s="1"/>
  <c r="J425" i="12"/>
  <c r="K425" i="12" s="1"/>
  <c r="P425" i="12" s="1"/>
  <c r="J424" i="12"/>
  <c r="K424" i="12" s="1"/>
  <c r="P424" i="12" s="1"/>
  <c r="J423" i="12"/>
  <c r="K423" i="12" s="1"/>
  <c r="P423" i="12" s="1"/>
  <c r="J421" i="12"/>
  <c r="K421" i="12" s="1"/>
  <c r="P421" i="12" s="1"/>
  <c r="J422" i="12"/>
  <c r="K422" i="12" s="1"/>
  <c r="P422" i="12" s="1"/>
  <c r="J419" i="12"/>
  <c r="K419" i="12" s="1"/>
  <c r="P419" i="12" s="1"/>
  <c r="J420" i="12"/>
  <c r="K420" i="12" s="1"/>
  <c r="P420" i="12" s="1"/>
  <c r="L421" i="12"/>
  <c r="R421" i="12" s="1"/>
  <c r="L420" i="12"/>
  <c r="R420" i="12" s="1"/>
  <c r="L419" i="12"/>
  <c r="R419" i="12" s="1"/>
  <c r="K8" i="12"/>
  <c r="M8" i="12" s="1"/>
  <c r="L8" i="12"/>
  <c r="K9" i="12"/>
  <c r="M9" i="12" s="1"/>
  <c r="L9" i="12"/>
  <c r="L10" i="12"/>
  <c r="K11" i="12"/>
  <c r="M11" i="12" s="1"/>
  <c r="L11" i="12"/>
  <c r="K12" i="12"/>
  <c r="M12" i="12" s="1"/>
  <c r="P12" i="12" s="1"/>
  <c r="L12" i="12"/>
  <c r="K13" i="12"/>
  <c r="M13" i="12" s="1"/>
  <c r="L13" i="12"/>
  <c r="L14" i="12"/>
  <c r="K15" i="12"/>
  <c r="M15" i="12" s="1"/>
  <c r="L15" i="12"/>
  <c r="K16" i="12"/>
  <c r="M16" i="12" s="1"/>
  <c r="L16" i="12"/>
  <c r="K17" i="12"/>
  <c r="M17" i="12" s="1"/>
  <c r="P17" i="12" s="1"/>
  <c r="L17" i="12"/>
  <c r="L18" i="12"/>
  <c r="K19" i="12"/>
  <c r="M19" i="12" s="1"/>
  <c r="L19" i="12"/>
  <c r="K20" i="12"/>
  <c r="M20" i="12" s="1"/>
  <c r="L20" i="12"/>
  <c r="K21" i="12"/>
  <c r="M21" i="12" s="1"/>
  <c r="L21" i="12"/>
  <c r="L22" i="12"/>
  <c r="K23" i="12"/>
  <c r="M23" i="12" s="1"/>
  <c r="P23" i="12" s="1"/>
  <c r="L23" i="12"/>
  <c r="K24" i="12"/>
  <c r="M24" i="12" s="1"/>
  <c r="L24" i="12"/>
  <c r="K25" i="12"/>
  <c r="M25" i="12" s="1"/>
  <c r="P25" i="12" s="1"/>
  <c r="L25" i="12"/>
  <c r="L26" i="12"/>
  <c r="K27" i="12"/>
  <c r="M27" i="12" s="1"/>
  <c r="L27" i="12"/>
  <c r="K28" i="12"/>
  <c r="M28" i="12" s="1"/>
  <c r="L28" i="12"/>
  <c r="K29" i="12"/>
  <c r="M29" i="12" s="1"/>
  <c r="L29" i="12"/>
  <c r="L30" i="12"/>
  <c r="K31" i="12"/>
  <c r="M31" i="12" s="1"/>
  <c r="P31" i="12" s="1"/>
  <c r="L31" i="12"/>
  <c r="K32" i="12"/>
  <c r="M32" i="12" s="1"/>
  <c r="L32" i="12"/>
  <c r="K33" i="12"/>
  <c r="M33" i="12" s="1"/>
  <c r="L33" i="12"/>
  <c r="L34" i="12"/>
  <c r="K35" i="12"/>
  <c r="M35" i="12" s="1"/>
  <c r="L35" i="12"/>
  <c r="K36" i="12"/>
  <c r="M36" i="12" s="1"/>
  <c r="P36" i="12" s="1"/>
  <c r="L36" i="12"/>
  <c r="K37" i="12"/>
  <c r="M37" i="12" s="1"/>
  <c r="L37" i="12"/>
  <c r="L38" i="12"/>
  <c r="K39" i="12"/>
  <c r="M39" i="12" s="1"/>
  <c r="L39" i="12"/>
  <c r="K40" i="12"/>
  <c r="M40" i="12" s="1"/>
  <c r="L40" i="12"/>
  <c r="K41" i="12"/>
  <c r="M41" i="12" s="1"/>
  <c r="L41" i="12"/>
  <c r="L42" i="12"/>
  <c r="K43" i="12"/>
  <c r="M43" i="12" s="1"/>
  <c r="L43" i="12"/>
  <c r="K44" i="12"/>
  <c r="M44" i="12" s="1"/>
  <c r="P44" i="12" s="1"/>
  <c r="L44" i="12"/>
  <c r="K45" i="12"/>
  <c r="M45" i="12" s="1"/>
  <c r="P45" i="12" s="1"/>
  <c r="L45" i="12"/>
  <c r="L46" i="12"/>
  <c r="K47" i="12"/>
  <c r="M47" i="12" s="1"/>
  <c r="L47" i="12"/>
  <c r="K48" i="12"/>
  <c r="M48" i="12" s="1"/>
  <c r="L48" i="12"/>
  <c r="K49" i="12"/>
  <c r="M49" i="12" s="1"/>
  <c r="P49" i="12" s="1"/>
  <c r="L49" i="12"/>
  <c r="L50" i="12"/>
  <c r="K51" i="12"/>
  <c r="M51" i="12" s="1"/>
  <c r="P51" i="12" s="1"/>
  <c r="L51" i="12"/>
  <c r="K52" i="12"/>
  <c r="M52" i="12" s="1"/>
  <c r="L52" i="12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J67" i="12" s="1"/>
  <c r="I67" i="12"/>
  <c r="H68" i="12"/>
  <c r="J68" i="12" s="1"/>
  <c r="I68" i="12"/>
  <c r="H69" i="12"/>
  <c r="J69" i="12" s="1"/>
  <c r="N69" i="12" s="1"/>
  <c r="I69" i="12"/>
  <c r="H70" i="12"/>
  <c r="J70" i="12" s="1"/>
  <c r="K70" i="12" s="1"/>
  <c r="O70" i="12" s="1"/>
  <c r="I70" i="12"/>
  <c r="H71" i="12"/>
  <c r="J71" i="12" s="1"/>
  <c r="I71" i="12"/>
  <c r="H72" i="12"/>
  <c r="J72" i="12" s="1"/>
  <c r="N72" i="12" s="1"/>
  <c r="I72" i="12"/>
  <c r="H73" i="12"/>
  <c r="J73" i="12" s="1"/>
  <c r="I73" i="12"/>
  <c r="H74" i="12"/>
  <c r="J74" i="12" s="1"/>
  <c r="N74" i="12" s="1"/>
  <c r="I74" i="12"/>
  <c r="H75" i="12"/>
  <c r="J75" i="12" s="1"/>
  <c r="N75" i="12" s="1"/>
  <c r="I75" i="12"/>
  <c r="H76" i="12"/>
  <c r="J76" i="12" s="1"/>
  <c r="I76" i="12"/>
  <c r="H77" i="12"/>
  <c r="J77" i="12" s="1"/>
  <c r="N77" i="12" s="1"/>
  <c r="I77" i="12"/>
  <c r="H78" i="12"/>
  <c r="J78" i="12" s="1"/>
  <c r="K78" i="12" s="1"/>
  <c r="O78" i="12" s="1"/>
  <c r="I78" i="12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I104" i="12"/>
  <c r="J104" i="12" s="1"/>
  <c r="I105" i="12"/>
  <c r="J105" i="12" s="1"/>
  <c r="K105" i="12" s="1"/>
  <c r="P105" i="12" s="1"/>
  <c r="I106" i="12"/>
  <c r="J106" i="12" s="1"/>
  <c r="K106" i="12" s="1"/>
  <c r="P106" i="12" s="1"/>
  <c r="I107" i="12"/>
  <c r="J107" i="12" s="1"/>
  <c r="O107" i="12" s="1"/>
  <c r="I108" i="12"/>
  <c r="J108" i="12" s="1"/>
  <c r="I109" i="12"/>
  <c r="J109" i="12" s="1"/>
  <c r="I110" i="12"/>
  <c r="J110" i="12" s="1"/>
  <c r="K110" i="12" s="1"/>
  <c r="P110" i="12" s="1"/>
  <c r="I111" i="12"/>
  <c r="J111" i="12" s="1"/>
  <c r="O111" i="12" s="1"/>
  <c r="I112" i="12"/>
  <c r="J112" i="12" s="1"/>
  <c r="O112" i="12" s="1"/>
  <c r="I113" i="12"/>
  <c r="J113" i="12" s="1"/>
  <c r="I114" i="12"/>
  <c r="J114" i="12" s="1"/>
  <c r="K114" i="12" s="1"/>
  <c r="P114" i="12" s="1"/>
  <c r="I115" i="12"/>
  <c r="J115" i="12" s="1"/>
  <c r="O115" i="12" s="1"/>
  <c r="I116" i="12"/>
  <c r="J116" i="12" s="1"/>
  <c r="J121" i="12"/>
  <c r="K121" i="12" s="1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 s="1"/>
  <c r="J125" i="12"/>
  <c r="K125" i="12" s="1"/>
  <c r="J126" i="12"/>
  <c r="K126" i="12" s="1"/>
  <c r="L126" i="12" s="1"/>
  <c r="Q126" i="12" s="1"/>
  <c r="J127" i="12"/>
  <c r="K127" i="12" s="1"/>
  <c r="P127" i="12" s="1"/>
  <c r="J128" i="12"/>
  <c r="K128" i="12" s="1"/>
  <c r="P128" i="12" s="1"/>
  <c r="J129" i="12"/>
  <c r="K129" i="12" s="1"/>
  <c r="L129" i="12" s="1"/>
  <c r="Q129" i="12" s="1"/>
  <c r="J130" i="12"/>
  <c r="K130" i="12" s="1"/>
  <c r="J131" i="12"/>
  <c r="K131" i="12" s="1"/>
  <c r="L131" i="12" s="1"/>
  <c r="Q131" i="12" s="1"/>
  <c r="J132" i="12"/>
  <c r="K132" i="12" s="1"/>
  <c r="P132" i="12" s="1"/>
  <c r="J133" i="12"/>
  <c r="K133" i="12" s="1"/>
  <c r="L133" i="12" s="1"/>
  <c r="Q133" i="12" s="1"/>
  <c r="J134" i="12"/>
  <c r="K134" i="12" s="1"/>
  <c r="J135" i="12"/>
  <c r="K135" i="12" s="1"/>
  <c r="L135" i="12" s="1"/>
  <c r="Q135" i="12" s="1"/>
  <c r="J136" i="12"/>
  <c r="K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J140" i="12"/>
  <c r="K140" i="12" s="1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 s="1"/>
  <c r="P144" i="12" s="1"/>
  <c r="J145" i="12"/>
  <c r="K145" i="12" s="1"/>
  <c r="J146" i="12"/>
  <c r="K146" i="12" s="1"/>
  <c r="J147" i="12"/>
  <c r="K147" i="12" s="1"/>
  <c r="L147" i="12" s="1"/>
  <c r="Q147" i="12" s="1"/>
  <c r="J148" i="12"/>
  <c r="K148" i="12" s="1"/>
  <c r="P148" i="12" s="1"/>
  <c r="J149" i="12"/>
  <c r="K149" i="12" s="1"/>
  <c r="J150" i="12"/>
  <c r="K150" i="12" s="1"/>
  <c r="J151" i="12"/>
  <c r="K151" i="12" s="1"/>
  <c r="L151" i="12" s="1"/>
  <c r="Q151" i="12" s="1"/>
  <c r="J152" i="12"/>
  <c r="K152" i="12" s="1"/>
  <c r="G184" i="12"/>
  <c r="H184" i="12" s="1"/>
  <c r="M184" i="12" s="1"/>
  <c r="I184" i="12"/>
  <c r="O184" i="12" s="1"/>
  <c r="G185" i="12"/>
  <c r="H185" i="12" s="1"/>
  <c r="M185" i="12" s="1"/>
  <c r="I185" i="12"/>
  <c r="O185" i="12" s="1"/>
  <c r="G186" i="12"/>
  <c r="H186" i="12" s="1"/>
  <c r="M186" i="12" s="1"/>
  <c r="I186" i="12"/>
  <c r="O186" i="12" s="1"/>
  <c r="G187" i="12"/>
  <c r="H187" i="12" s="1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 s="1"/>
  <c r="G192" i="12"/>
  <c r="H192" i="12" s="1"/>
  <c r="M192" i="12" s="1"/>
  <c r="I192" i="12"/>
  <c r="O192" i="12" s="1"/>
  <c r="G193" i="12"/>
  <c r="H193" i="12" s="1"/>
  <c r="M193" i="12" s="1"/>
  <c r="I193" i="12"/>
  <c r="O193" i="12" s="1"/>
  <c r="G194" i="12"/>
  <c r="H194" i="12" s="1"/>
  <c r="M194" i="12" s="1"/>
  <c r="I194" i="12"/>
  <c r="O194" i="12" s="1"/>
  <c r="G195" i="12"/>
  <c r="H195" i="12" s="1"/>
  <c r="M195" i="12" s="1"/>
  <c r="I195" i="12"/>
  <c r="O195" i="12" s="1"/>
  <c r="G201" i="12"/>
  <c r="H201" i="12" s="1"/>
  <c r="M201" i="12" s="1"/>
  <c r="I201" i="12"/>
  <c r="O201" i="12" s="1"/>
  <c r="G202" i="12"/>
  <c r="H202" i="12" s="1"/>
  <c r="M202" i="12" s="1"/>
  <c r="I202" i="12"/>
  <c r="O202" i="12" s="1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 s="1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 s="1"/>
  <c r="M209" i="12" s="1"/>
  <c r="I209" i="12"/>
  <c r="O209" i="12" s="1"/>
  <c r="G210" i="12"/>
  <c r="H210" i="12" s="1"/>
  <c r="M210" i="12" s="1"/>
  <c r="I210" i="12"/>
  <c r="O210" i="12" s="1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 s="1"/>
  <c r="O226" i="12" s="1"/>
  <c r="K226" i="12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 s="1"/>
  <c r="O231" i="12" s="1"/>
  <c r="K231" i="12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 s="1"/>
  <c r="O236" i="12" s="1"/>
  <c r="K236" i="12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 s="1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 s="1"/>
  <c r="E260" i="12"/>
  <c r="J260" i="12" s="1"/>
  <c r="K260" i="12" s="1"/>
  <c r="Q260" i="12" s="1"/>
  <c r="M260" i="12"/>
  <c r="S260" i="12" s="1"/>
  <c r="E261" i="12"/>
  <c r="J261" i="12" s="1"/>
  <c r="K261" i="12" s="1"/>
  <c r="Q261" i="12" s="1"/>
  <c r="M261" i="12"/>
  <c r="S261" i="12" s="1"/>
  <c r="E262" i="12"/>
  <c r="J262" i="12" s="1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M264" i="12"/>
  <c r="S264" i="12" s="1"/>
  <c r="E265" i="12"/>
  <c r="E266" i="12"/>
  <c r="J266" i="12" s="1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 s="1"/>
  <c r="K268" i="12" s="1"/>
  <c r="Q268" i="12" s="1"/>
  <c r="M268" i="12"/>
  <c r="S268" i="12" s="1"/>
  <c r="E269" i="12"/>
  <c r="J269" i="12" s="1"/>
  <c r="K269" i="12" s="1"/>
  <c r="Q269" i="12" s="1"/>
  <c r="M269" i="12"/>
  <c r="S269" i="12" s="1"/>
  <c r="E270" i="12"/>
  <c r="J270" i="12" s="1"/>
  <c r="K270" i="12" s="1"/>
  <c r="Q270" i="12" s="1"/>
  <c r="M270" i="12"/>
  <c r="S270" i="12" s="1"/>
  <c r="E271" i="12"/>
  <c r="J271" i="12" s="1"/>
  <c r="K271" i="12" s="1"/>
  <c r="Q271" i="12" s="1"/>
  <c r="M271" i="12"/>
  <c r="S271" i="12" s="1"/>
  <c r="E276" i="12"/>
  <c r="E277" i="12"/>
  <c r="J277" i="12" s="1"/>
  <c r="K277" i="12" s="1"/>
  <c r="Q277" i="12" s="1"/>
  <c r="M277" i="12"/>
  <c r="S277" i="12" s="1"/>
  <c r="E278" i="12"/>
  <c r="J278" i="12" s="1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 s="1"/>
  <c r="E282" i="12"/>
  <c r="J282" i="12" s="1"/>
  <c r="K282" i="12" s="1"/>
  <c r="Q282" i="12" s="1"/>
  <c r="M282" i="12"/>
  <c r="S282" i="12" s="1"/>
  <c r="E283" i="12"/>
  <c r="E284" i="12"/>
  <c r="J284" i="12" s="1"/>
  <c r="K284" i="12" s="1"/>
  <c r="Q284" i="12" s="1"/>
  <c r="M284" i="12"/>
  <c r="S284" i="12" s="1"/>
  <c r="E285" i="12"/>
  <c r="J285" i="12" s="1"/>
  <c r="K285" i="12" s="1"/>
  <c r="Q285" i="12" s="1"/>
  <c r="M285" i="12"/>
  <c r="S285" i="12" s="1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 s="1"/>
  <c r="E288" i="12"/>
  <c r="J288" i="12" s="1"/>
  <c r="K288" i="12" s="1"/>
  <c r="Q288" i="12" s="1"/>
  <c r="M288" i="12"/>
  <c r="S288" i="12" s="1"/>
  <c r="E289" i="12"/>
  <c r="J289" i="12" s="1"/>
  <c r="K289" i="12" s="1"/>
  <c r="Q289" i="12" s="1"/>
  <c r="M289" i="12"/>
  <c r="S289" i="12" s="1"/>
  <c r="J295" i="12"/>
  <c r="K295" i="12"/>
  <c r="J296" i="12"/>
  <c r="K296" i="12"/>
  <c r="J297" i="12"/>
  <c r="K297" i="12"/>
  <c r="J298" i="12"/>
  <c r="K298" i="12"/>
  <c r="K307" i="12"/>
  <c r="L307" i="12" s="1"/>
  <c r="R307" i="12" s="1"/>
  <c r="M307" i="12"/>
  <c r="T307" i="12" s="1"/>
  <c r="K308" i="12"/>
  <c r="L308" i="12" s="1"/>
  <c r="R308" i="12" s="1"/>
  <c r="M308" i="12"/>
  <c r="T308" i="12" s="1"/>
  <c r="K309" i="12"/>
  <c r="L309" i="12" s="1"/>
  <c r="R309" i="12" s="1"/>
  <c r="M309" i="12"/>
  <c r="T309" i="12" s="1"/>
  <c r="K310" i="12"/>
  <c r="L310" i="12" s="1"/>
  <c r="R310" i="12" s="1"/>
  <c r="M310" i="12"/>
  <c r="T310" i="12" s="1"/>
  <c r="K311" i="12"/>
  <c r="L311" i="12" s="1"/>
  <c r="R311" i="12" s="1"/>
  <c r="M311" i="12"/>
  <c r="T311" i="12" s="1"/>
  <c r="K312" i="12"/>
  <c r="L312" i="12" s="1"/>
  <c r="R312" i="12" s="1"/>
  <c r="M312" i="12"/>
  <c r="T312" i="12" s="1"/>
  <c r="K313" i="12"/>
  <c r="L313" i="12" s="1"/>
  <c r="R313" i="12" s="1"/>
  <c r="M313" i="12"/>
  <c r="T313" i="12" s="1"/>
  <c r="K314" i="12"/>
  <c r="L314" i="12" s="1"/>
  <c r="R314" i="12" s="1"/>
  <c r="M314" i="12"/>
  <c r="T314" i="12" s="1"/>
  <c r="K315" i="12"/>
  <c r="L315" i="12" s="1"/>
  <c r="R315" i="12" s="1"/>
  <c r="M315" i="12"/>
  <c r="T315" i="12" s="1"/>
  <c r="K316" i="12"/>
  <c r="L316" i="12" s="1"/>
  <c r="R316" i="12" s="1"/>
  <c r="M316" i="12"/>
  <c r="T316" i="12" s="1"/>
  <c r="K317" i="12"/>
  <c r="L317" i="12" s="1"/>
  <c r="R317" i="12" s="1"/>
  <c r="M317" i="12"/>
  <c r="T317" i="12" s="1"/>
  <c r="K318" i="12"/>
  <c r="L318" i="12" s="1"/>
  <c r="R318" i="12" s="1"/>
  <c r="M318" i="12"/>
  <c r="T318" i="12" s="1"/>
  <c r="K319" i="12"/>
  <c r="L319" i="12" s="1"/>
  <c r="R319" i="12" s="1"/>
  <c r="M319" i="12"/>
  <c r="T319" i="12" s="1"/>
  <c r="K320" i="12"/>
  <c r="L320" i="12" s="1"/>
  <c r="R320" i="12" s="1"/>
  <c r="M320" i="12"/>
  <c r="T320" i="12" s="1"/>
  <c r="K321" i="12"/>
  <c r="L321" i="12" s="1"/>
  <c r="R321" i="12" s="1"/>
  <c r="M321" i="12"/>
  <c r="T321" i="12" s="1"/>
  <c r="K322" i="12"/>
  <c r="L322" i="12" s="1"/>
  <c r="R322" i="12" s="1"/>
  <c r="M322" i="12"/>
  <c r="T322" i="12" s="1"/>
  <c r="K323" i="12"/>
  <c r="L323" i="12" s="1"/>
  <c r="R323" i="12" s="1"/>
  <c r="M323" i="12"/>
  <c r="T323" i="12" s="1"/>
  <c r="K324" i="12"/>
  <c r="L324" i="12" s="1"/>
  <c r="R324" i="12" s="1"/>
  <c r="M324" i="12"/>
  <c r="T324" i="12" s="1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R352" i="12" s="1"/>
  <c r="F353" i="12"/>
  <c r="H353" i="12" s="1"/>
  <c r="K353" i="12"/>
  <c r="M353" i="12" s="1"/>
  <c r="P353" i="12"/>
  <c r="F354" i="12"/>
  <c r="H354" i="12" s="1"/>
  <c r="K354" i="12"/>
  <c r="L354" i="12" s="1"/>
  <c r="P354" i="12"/>
  <c r="Q354" i="12" s="1"/>
  <c r="F355" i="12"/>
  <c r="K355" i="12"/>
  <c r="M355" i="12" s="1"/>
  <c r="P355" i="12"/>
  <c r="R355" i="12" s="1"/>
  <c r="F356" i="12"/>
  <c r="H356" i="12" s="1"/>
  <c r="K356" i="12"/>
  <c r="P356" i="12"/>
  <c r="R356" i="12" s="1"/>
  <c r="F357" i="12"/>
  <c r="G357" i="12" s="1"/>
  <c r="K357" i="12"/>
  <c r="L357" i="12" s="1"/>
  <c r="P357" i="12"/>
  <c r="F358" i="12"/>
  <c r="H358" i="12" s="1"/>
  <c r="K358" i="12"/>
  <c r="M358" i="12" s="1"/>
  <c r="P358" i="12"/>
  <c r="R358" i="12" s="1"/>
  <c r="F359" i="12"/>
  <c r="K359" i="12"/>
  <c r="M359" i="12" s="1"/>
  <c r="P359" i="12"/>
  <c r="Q359" i="12" s="1"/>
  <c r="F364" i="12"/>
  <c r="H364" i="12" s="1"/>
  <c r="K364" i="12"/>
  <c r="M364" i="12" s="1"/>
  <c r="P364" i="12"/>
  <c r="R364" i="12" s="1"/>
  <c r="F365" i="12"/>
  <c r="K365" i="12"/>
  <c r="M365" i="12" s="1"/>
  <c r="P365" i="12"/>
  <c r="Q365" i="12" s="1"/>
  <c r="F366" i="12"/>
  <c r="H366" i="12" s="1"/>
  <c r="K366" i="12"/>
  <c r="P366" i="12"/>
  <c r="Q366" i="12" s="1"/>
  <c r="F367" i="12"/>
  <c r="G367" i="12" s="1"/>
  <c r="K367" i="12"/>
  <c r="M367" i="12" s="1"/>
  <c r="P367" i="12"/>
  <c r="F368" i="12"/>
  <c r="H368" i="12" s="1"/>
  <c r="K368" i="12"/>
  <c r="L368" i="12" s="1"/>
  <c r="P368" i="12"/>
  <c r="R368" i="12" s="1"/>
  <c r="F369" i="12"/>
  <c r="K369" i="12"/>
  <c r="L369" i="12" s="1"/>
  <c r="P369" i="12"/>
  <c r="Q369" i="12" s="1"/>
  <c r="F370" i="12"/>
  <c r="H370" i="12" s="1"/>
  <c r="K370" i="12"/>
  <c r="P370" i="12"/>
  <c r="R370" i="12" s="1"/>
  <c r="F371" i="12"/>
  <c r="G371" i="12" s="1"/>
  <c r="K371" i="12"/>
  <c r="L371" i="12" s="1"/>
  <c r="P371" i="12"/>
  <c r="F376" i="12"/>
  <c r="G376" i="12" s="1"/>
  <c r="K376" i="12"/>
  <c r="L376" i="12" s="1"/>
  <c r="P376" i="12"/>
  <c r="R376" i="12" s="1"/>
  <c r="F377" i="12"/>
  <c r="G377" i="12" s="1"/>
  <c r="K377" i="12"/>
  <c r="M377" i="12" s="1"/>
  <c r="P377" i="12"/>
  <c r="Q377" i="12" s="1"/>
  <c r="F378" i="12"/>
  <c r="H378" i="12" s="1"/>
  <c r="K378" i="12"/>
  <c r="L378" i="12" s="1"/>
  <c r="P378" i="12"/>
  <c r="Q378" i="12" s="1"/>
  <c r="F379" i="12"/>
  <c r="G379" i="12" s="1"/>
  <c r="K379" i="12"/>
  <c r="M379" i="12" s="1"/>
  <c r="P379" i="12"/>
  <c r="Q379" i="12" s="1"/>
  <c r="F380" i="12"/>
  <c r="H380" i="12" s="1"/>
  <c r="K380" i="12"/>
  <c r="L380" i="12" s="1"/>
  <c r="P380" i="12"/>
  <c r="R380" i="12" s="1"/>
  <c r="F381" i="12"/>
  <c r="G381" i="12" s="1"/>
  <c r="K381" i="12"/>
  <c r="L381" i="12" s="1"/>
  <c r="P381" i="12"/>
  <c r="Q381" i="12" s="1"/>
  <c r="F382" i="12"/>
  <c r="H382" i="12" s="1"/>
  <c r="K382" i="12"/>
  <c r="L382" i="12" s="1"/>
  <c r="P382" i="12"/>
  <c r="Q382" i="12" s="1"/>
  <c r="I388" i="12"/>
  <c r="J388" i="12" s="1"/>
  <c r="O388" i="12" s="1"/>
  <c r="K388" i="12"/>
  <c r="Q388" i="12" s="1"/>
  <c r="I389" i="12"/>
  <c r="J389" i="12" s="1"/>
  <c r="O389" i="12" s="1"/>
  <c r="K389" i="12"/>
  <c r="Q389" i="12" s="1"/>
  <c r="I390" i="12"/>
  <c r="J390" i="12" s="1"/>
  <c r="O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 s="1"/>
  <c r="I393" i="12"/>
  <c r="J393" i="12" s="1"/>
  <c r="O393" i="12" s="1"/>
  <c r="K393" i="12"/>
  <c r="Q393" i="12" s="1"/>
  <c r="I394" i="12"/>
  <c r="J394" i="12" s="1"/>
  <c r="O394" i="12" s="1"/>
  <c r="K394" i="12"/>
  <c r="Q394" i="12" s="1"/>
  <c r="I395" i="12"/>
  <c r="J395" i="12" s="1"/>
  <c r="O395" i="12" s="1"/>
  <c r="K395" i="12"/>
  <c r="Q395" i="12" s="1"/>
  <c r="I396" i="12"/>
  <c r="J396" i="12" s="1"/>
  <c r="O396" i="12" s="1"/>
  <c r="K396" i="12"/>
  <c r="Q396" i="12" s="1"/>
  <c r="I397" i="12"/>
  <c r="J397" i="12" s="1"/>
  <c r="O397" i="12" s="1"/>
  <c r="K397" i="12"/>
  <c r="Q397" i="12" s="1"/>
  <c r="I398" i="12"/>
  <c r="J398" i="12" s="1"/>
  <c r="O398" i="12" s="1"/>
  <c r="K398" i="12"/>
  <c r="Q398" i="12" s="1"/>
  <c r="I399" i="12"/>
  <c r="J399" i="12" s="1"/>
  <c r="O399" i="12" s="1"/>
  <c r="K399" i="12"/>
  <c r="Q399" i="12" s="1"/>
  <c r="I400" i="12"/>
  <c r="J400" i="12" s="1"/>
  <c r="O400" i="12" s="1"/>
  <c r="K400" i="12"/>
  <c r="Q400" i="12" s="1"/>
  <c r="I401" i="12"/>
  <c r="J401" i="12" s="1"/>
  <c r="O401" i="12" s="1"/>
  <c r="K401" i="12"/>
  <c r="Q401" i="12" s="1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P393" i="12" l="1"/>
  <c r="N209" i="12"/>
  <c r="P147" i="12"/>
  <c r="L377" i="12"/>
  <c r="Q380" i="12"/>
  <c r="K73" i="12"/>
  <c r="O73" i="12" s="1"/>
  <c r="Q424" i="12"/>
  <c r="N20" i="12"/>
  <c r="Q20" i="12" s="1"/>
  <c r="N19" i="12"/>
  <c r="Q19" i="12" s="1"/>
  <c r="G368" i="12"/>
  <c r="L359" i="12"/>
  <c r="L364" i="12"/>
  <c r="M354" i="12"/>
  <c r="P231" i="12"/>
  <c r="Q231" i="12" s="1"/>
  <c r="G366" i="12"/>
  <c r="G358" i="12"/>
  <c r="R270" i="12"/>
  <c r="R365" i="12"/>
  <c r="L355" i="12"/>
  <c r="S319" i="12"/>
  <c r="M369" i="12"/>
  <c r="H357" i="12"/>
  <c r="Q352" i="12"/>
  <c r="P151" i="12"/>
  <c r="R151" i="12" s="1"/>
  <c r="K107" i="12"/>
  <c r="P107" i="12" s="1"/>
  <c r="Q107" i="12" s="1"/>
  <c r="P124" i="12"/>
  <c r="L124" i="12"/>
  <c r="Q124" i="12" s="1"/>
  <c r="P136" i="12"/>
  <c r="L136" i="12"/>
  <c r="Q136" i="12" s="1"/>
  <c r="R264" i="12"/>
  <c r="Q426" i="12"/>
  <c r="H367" i="12"/>
  <c r="Q368" i="12"/>
  <c r="R359" i="12"/>
  <c r="Q355" i="12"/>
  <c r="G354" i="12"/>
  <c r="P236" i="12"/>
  <c r="Q419" i="12"/>
  <c r="R147" i="12"/>
  <c r="K111" i="12"/>
  <c r="P111" i="12" s="1"/>
  <c r="Q111" i="12" s="1"/>
  <c r="Q421" i="12"/>
  <c r="H376" i="12"/>
  <c r="L353" i="12"/>
  <c r="L139" i="12"/>
  <c r="Q139" i="12" s="1"/>
  <c r="R139" i="12" s="1"/>
  <c r="Q420" i="12"/>
  <c r="Q423" i="12"/>
  <c r="G380" i="12"/>
  <c r="O114" i="12"/>
  <c r="Q114" i="12" s="1"/>
  <c r="N52" i="12"/>
  <c r="Q52" i="12" s="1"/>
  <c r="K113" i="12"/>
  <c r="P113" i="12" s="1"/>
  <c r="O113" i="12"/>
  <c r="L125" i="12"/>
  <c r="Q125" i="12" s="1"/>
  <c r="P125" i="12"/>
  <c r="Q422" i="12"/>
  <c r="Q428" i="12"/>
  <c r="K67" i="12"/>
  <c r="O67" i="12" s="1"/>
  <c r="N67" i="12"/>
  <c r="N9" i="12"/>
  <c r="Q9" i="12" s="1"/>
  <c r="P9" i="12"/>
  <c r="N28" i="12"/>
  <c r="Q28" i="12" s="1"/>
  <c r="P28" i="12"/>
  <c r="L145" i="12"/>
  <c r="Q145" i="12" s="1"/>
  <c r="P145" i="12"/>
  <c r="Q425" i="12"/>
  <c r="R381" i="12"/>
  <c r="G378" i="12"/>
  <c r="Q370" i="12"/>
  <c r="Q364" i="12"/>
  <c r="N184" i="12"/>
  <c r="P133" i="12"/>
  <c r="R133" i="12" s="1"/>
  <c r="P129" i="12"/>
  <c r="R129" i="12" s="1"/>
  <c r="K103" i="12"/>
  <c r="P103" i="12" s="1"/>
  <c r="Q103" i="12" s="1"/>
  <c r="N36" i="12"/>
  <c r="Q36" i="12" s="1"/>
  <c r="R36" i="12" s="1"/>
  <c r="K299" i="12"/>
  <c r="N31" i="12"/>
  <c r="Q31" i="12" s="1"/>
  <c r="N12" i="12"/>
  <c r="Q12" i="12" s="1"/>
  <c r="S311" i="12"/>
  <c r="R261" i="12"/>
  <c r="S313" i="12"/>
  <c r="R378" i="12"/>
  <c r="R369" i="12"/>
  <c r="S315" i="12"/>
  <c r="P226" i="12"/>
  <c r="P390" i="12"/>
  <c r="M382" i="12"/>
  <c r="M368" i="12"/>
  <c r="G364" i="12"/>
  <c r="L358" i="12"/>
  <c r="Q356" i="12"/>
  <c r="R289" i="12"/>
  <c r="N192" i="12"/>
  <c r="P389" i="12"/>
  <c r="H371" i="12"/>
  <c r="R366" i="12"/>
  <c r="G353" i="12"/>
  <c r="N78" i="12"/>
  <c r="P78" i="12" s="1"/>
  <c r="N33" i="12"/>
  <c r="Q33" i="12" s="1"/>
  <c r="N13" i="12"/>
  <c r="Q13" i="12" s="1"/>
  <c r="I678" i="10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N47" i="12"/>
  <c r="Q47" i="12" s="1"/>
  <c r="P47" i="12"/>
  <c r="O116" i="12"/>
  <c r="K116" i="12"/>
  <c r="P116" i="12" s="1"/>
  <c r="S309" i="12"/>
  <c r="N186" i="12"/>
  <c r="K101" i="12"/>
  <c r="P101" i="12" s="1"/>
  <c r="O101" i="12"/>
  <c r="N32" i="12"/>
  <c r="Q32" i="12" s="1"/>
  <c r="P32" i="12"/>
  <c r="L146" i="12"/>
  <c r="Q146" i="12" s="1"/>
  <c r="P146" i="12"/>
  <c r="N41" i="12"/>
  <c r="Q41" i="12" s="1"/>
  <c r="P41" i="12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N201" i="12"/>
  <c r="N187" i="12"/>
  <c r="N185" i="12"/>
  <c r="P135" i="12"/>
  <c r="R135" i="12" s="1"/>
  <c r="K66" i="12"/>
  <c r="O66" i="12" s="1"/>
  <c r="P66" i="12" s="1"/>
  <c r="N51" i="12"/>
  <c r="Q51" i="12" s="1"/>
  <c r="R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Q358" i="12"/>
  <c r="M357" i="12"/>
  <c r="G356" i="12"/>
  <c r="R354" i="12"/>
  <c r="S308" i="12"/>
  <c r="R287" i="12"/>
  <c r="R281" i="12"/>
  <c r="R259" i="12"/>
  <c r="P221" i="12"/>
  <c r="Q221" i="12" s="1"/>
  <c r="P131" i="12"/>
  <c r="R131" i="12" s="1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Q238" i="12" s="1"/>
  <c r="N210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L367" i="12"/>
  <c r="K112" i="12"/>
  <c r="P112" i="12" s="1"/>
  <c r="Q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P403" i="12"/>
  <c r="M380" i="12"/>
  <c r="H377" i="12"/>
  <c r="S320" i="12"/>
  <c r="S318" i="12"/>
  <c r="P228" i="12"/>
  <c r="Q228" i="12" s="1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P223" i="12"/>
  <c r="Q223" i="12" s="1"/>
  <c r="O232" i="12"/>
  <c r="P232" i="12"/>
  <c r="H381" i="12"/>
  <c r="R377" i="12"/>
  <c r="R262" i="12"/>
  <c r="Q236" i="12"/>
  <c r="O227" i="12"/>
  <c r="P227" i="12"/>
  <c r="N211" i="12"/>
  <c r="N208" i="12"/>
  <c r="G382" i="12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P222" i="12"/>
  <c r="L150" i="12"/>
  <c r="Q150" i="12" s="1"/>
  <c r="P150" i="12"/>
  <c r="R379" i="12"/>
  <c r="G369" i="12"/>
  <c r="H369" i="12"/>
  <c r="Q367" i="12"/>
  <c r="R367" i="12"/>
  <c r="L352" i="12"/>
  <c r="M352" i="12"/>
  <c r="R284" i="12"/>
  <c r="O239" i="12"/>
  <c r="P239" i="12"/>
  <c r="Q226" i="12"/>
  <c r="N207" i="12"/>
  <c r="N204" i="12"/>
  <c r="N193" i="12"/>
  <c r="N190" i="12"/>
  <c r="G365" i="12"/>
  <c r="H365" i="12"/>
  <c r="O234" i="12"/>
  <c r="P234" i="12"/>
  <c r="L142" i="12"/>
  <c r="Q142" i="12" s="1"/>
  <c r="P142" i="12"/>
  <c r="L366" i="12"/>
  <c r="M366" i="12"/>
  <c r="L379" i="12"/>
  <c r="L383" i="12" s="1"/>
  <c r="S324" i="12"/>
  <c r="S322" i="12"/>
  <c r="R286" i="12"/>
  <c r="R280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37" i="12"/>
  <c r="N37" i="12"/>
  <c r="Q37" i="12" s="1"/>
  <c r="N35" i="12"/>
  <c r="Q35" i="12" s="1"/>
  <c r="P35" i="12"/>
  <c r="N29" i="12"/>
  <c r="Q29" i="12" s="1"/>
  <c r="P29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L132" i="12"/>
  <c r="Q132" i="12" s="1"/>
  <c r="R132" i="12" s="1"/>
  <c r="P126" i="12"/>
  <c r="R126" i="12" s="1"/>
  <c r="K108" i="12"/>
  <c r="P108" i="12" s="1"/>
  <c r="O108" i="12"/>
  <c r="O105" i="12"/>
  <c r="Q105" i="12" s="1"/>
  <c r="K77" i="12"/>
  <c r="O77" i="12" s="1"/>
  <c r="P77" i="12" s="1"/>
  <c r="N73" i="12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P24" i="12"/>
  <c r="N24" i="12"/>
  <c r="Q24" i="12" s="1"/>
  <c r="P11" i="12"/>
  <c r="N11" i="12"/>
  <c r="Q11" i="12" s="1"/>
  <c r="R125" i="12"/>
  <c r="K104" i="12"/>
  <c r="P104" i="12" s="1"/>
  <c r="O104" i="12"/>
  <c r="K76" i="12"/>
  <c r="O76" i="12" s="1"/>
  <c r="N76" i="12"/>
  <c r="K68" i="12"/>
  <c r="O68" i="12" s="1"/>
  <c r="N68" i="12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N8" i="12"/>
  <c r="Q8" i="12" s="1"/>
  <c r="P8" i="12"/>
  <c r="P52" i="12"/>
  <c r="R52" i="12" s="1"/>
  <c r="P39" i="12"/>
  <c r="P33" i="12"/>
  <c r="P20" i="12"/>
  <c r="K680" i="10"/>
  <c r="M681" i="10"/>
  <c r="M680" i="10"/>
  <c r="J678" i="10"/>
  <c r="K678" i="10" s="1"/>
  <c r="J677" i="10"/>
  <c r="K677" i="10" s="1"/>
  <c r="L681" i="10" l="1"/>
  <c r="R149" i="12"/>
  <c r="R20" i="12"/>
  <c r="R9" i="12"/>
  <c r="Q113" i="12"/>
  <c r="R124" i="12"/>
  <c r="P73" i="12"/>
  <c r="Q234" i="12"/>
  <c r="H360" i="12"/>
  <c r="Q383" i="12"/>
  <c r="P67" i="12"/>
  <c r="R15" i="12"/>
  <c r="R145" i="12"/>
  <c r="G360" i="12"/>
  <c r="R383" i="12"/>
  <c r="R13" i="12"/>
  <c r="R55" i="12"/>
  <c r="Q101" i="12"/>
  <c r="Q109" i="12"/>
  <c r="R146" i="12"/>
  <c r="R136" i="12"/>
  <c r="Q222" i="12"/>
  <c r="G383" i="12"/>
  <c r="R33" i="12"/>
  <c r="M360" i="12"/>
  <c r="R41" i="12"/>
  <c r="R372" i="12"/>
  <c r="L372" i="12"/>
  <c r="Q116" i="12"/>
  <c r="R16" i="12"/>
  <c r="P68" i="12"/>
  <c r="R32" i="12"/>
  <c r="R47" i="12"/>
  <c r="M678" i="10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53" i="10" l="1"/>
  <c r="J653" i="10" s="1"/>
  <c r="I657" i="10"/>
  <c r="I671" i="10"/>
  <c r="I668" i="10"/>
  <c r="I652" i="10"/>
  <c r="I656" i="10"/>
  <c r="J656" i="10" s="1"/>
  <c r="K656" i="10" s="1"/>
  <c r="I661" i="10"/>
  <c r="J661" i="10" s="1"/>
  <c r="K661" i="10" s="1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J672" i="10" s="1"/>
  <c r="K672" i="10" s="1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99" i="10" l="1"/>
  <c r="J599" i="10" s="1"/>
  <c r="L599" i="10" s="1"/>
  <c r="I583" i="10"/>
  <c r="J583" i="10" s="1"/>
  <c r="K583" i="10" s="1"/>
  <c r="I557" i="10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J560" i="10" s="1"/>
  <c r="K560" i="10" s="1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J584" i="10" s="1"/>
  <c r="K584" i="10" s="1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K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K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9" i="10"/>
  <c r="M596" i="10"/>
  <c r="M592" i="10"/>
  <c r="L592" i="10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M553" i="10"/>
  <c r="M545" i="10"/>
  <c r="M549" i="10"/>
  <c r="M535" i="10"/>
  <c r="L596" i="10" l="1"/>
  <c r="K608" i="10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8" i="10" l="1"/>
  <c r="J488" i="10" s="1"/>
  <c r="I489" i="10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K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53" i="10" l="1"/>
  <c r="L460" i="10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J398" i="10" s="1"/>
  <c r="K398" i="10" s="1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R34" i="12" l="1"/>
  <c r="R14" i="12"/>
  <c r="R22" i="12"/>
  <c r="M347" i="10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U11" i="10"/>
  <c r="W11" i="10" s="1"/>
  <c r="I11" i="10" s="1"/>
  <c r="J11" i="10" s="1"/>
  <c r="K11" i="10" s="1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I9" i="10" s="1"/>
  <c r="J9" i="10" s="1"/>
  <c r="K9" i="10" s="1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L15" i="10" l="1"/>
  <c r="J16" i="10"/>
  <c r="K16" i="10" s="1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L16" i="10" l="1"/>
  <c r="M7" i="10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  <comment ref="Z803" authorId="0" shapeId="0" xr:uid="{60C88C24-34CA-4E52-BC77-A6E850DCFFF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Apprenticeship study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514B71-7A53-464C-A372-399CD640108A}" keepAlive="1" name="Query - Table020 (Page 17)" description="Connection to the 'Table020 (Page 17)' query in the workbook." type="5" refreshedVersion="0" background="1">
    <dbPr connection="Provider=Microsoft.Mashup.OleDb.1;Data Source=$Workbook$;Location=&quot;Table020 (Page 17)&quot;;Extended Properties=&quot;&quot;" command="SELECT * FROM [Table020 (Page 17)]"/>
  </connection>
</connections>
</file>

<file path=xl/sharedStrings.xml><?xml version="1.0" encoding="utf-8"?>
<sst xmlns="http://schemas.openxmlformats.org/spreadsheetml/2006/main" count="9932" uniqueCount="831">
  <si>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</si>
  <si>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</si>
  <si>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</si>
  <si>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</si>
  <si>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</si>
  <si>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</si>
  <si>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</si>
  <si>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</si>
  <si>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</si>
  <si>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</si>
  <si>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</si>
  <si>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</si>
  <si>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</si>
  <si>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</si>
  <si>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</si>
  <si>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</si>
  <si>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</si>
  <si>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</si>
  <si>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</si>
  <si>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</si>
  <si>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</si>
  <si>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</si>
  <si>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</si>
  <si>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</si>
  <si>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</si>
  <si>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</si>
  <si>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</si>
  <si>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</si>
  <si>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</si>
  <si>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</si>
  <si>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</si>
  <si>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</si>
  <si>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</si>
  <si>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</si>
  <si>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</si>
  <si>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</si>
  <si>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</si>
  <si>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</si>
  <si>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</si>
  <si>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</si>
  <si>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</si>
  <si>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</si>
  <si>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</si>
  <si>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</si>
  <si>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</si>
  <si>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</si>
  <si>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</si>
  <si>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</si>
  <si>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</si>
  <si>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</si>
  <si>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</si>
  <si>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</si>
  <si>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</si>
  <si>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</si>
  <si>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</si>
  <si>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</si>
  <si>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</si>
  <si>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</si>
  <si>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</si>
  <si>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</si>
  <si>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</si>
  <si>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</si>
  <si>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</si>
  <si>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</si>
  <si>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</si>
  <si>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</si>
  <si>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</si>
  <si>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</si>
  <si>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</si>
  <si>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</si>
  <si>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</si>
  <si>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</si>
  <si>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</si>
  <si>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</si>
  <si>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</si>
  <si>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</si>
  <si>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</si>
  <si>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</si>
  <si>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</si>
  <si>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</si>
  <si>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</si>
  <si>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</si>
  <si>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</si>
  <si>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</si>
  <si>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</si>
  <si>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</si>
  <si>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</si>
  <si>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</si>
  <si>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</si>
  <si>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</si>
  <si>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</si>
  <si>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</si>
  <si>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</si>
  <si>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</si>
  <si>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</si>
  <si>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</si>
  <si>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</si>
  <si>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</si>
  <si>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</si>
  <si>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</si>
  <si>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</si>
  <si>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</si>
  <si>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</si>
  <si>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</si>
  <si>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</si>
  <si>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</si>
  <si>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</si>
  <si>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</si>
  <si>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</si>
  <si>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</si>
  <si>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</si>
  <si>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</si>
  <si>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</si>
  <si>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</si>
  <si>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</si>
  <si>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</si>
  <si>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</si>
  <si>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</si>
  <si>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</si>
  <si>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</si>
  <si>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</si>
  <si>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</si>
  <si>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</si>
  <si>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</si>
  <si>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</si>
  <si>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</si>
  <si>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</si>
  <si>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</si>
  <si>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</si>
  <si>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</si>
  <si>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</si>
  <si>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</si>
  <si>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</si>
  <si>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</si>
  <si>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</si>
  <si>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</si>
  <si>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</si>
  <si>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</si>
  <si>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</si>
  <si>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</si>
  <si>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</si>
  <si>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</si>
  <si>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</si>
  <si>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</si>
  <si>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</si>
  <si>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</si>
  <si>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</si>
  <si>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</si>
  <si>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</si>
  <si>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</si>
  <si>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</si>
  <si>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</si>
  <si>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</si>
  <si>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</si>
  <si>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</si>
  <si>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</si>
  <si>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</si>
  <si>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</si>
  <si>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</si>
  <si>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</si>
  <si>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</si>
  <si>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</si>
  <si>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</si>
  <si>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</si>
  <si>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</si>
  <si>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</si>
  <si>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</si>
  <si>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</si>
  <si>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</si>
  <si>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</si>
  <si>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</si>
  <si>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</si>
  <si>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</si>
  <si>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</si>
  <si>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</si>
  <si>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</si>
  <si>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</si>
  <si>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</si>
  <si>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</si>
  <si>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</si>
  <si>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</si>
  <si>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</si>
  <si>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</si>
  <si>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</si>
  <si>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</si>
  <si>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</si>
  <si>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</si>
  <si>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</si>
  <si>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</si>
  <si>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</si>
  <si>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</si>
  <si>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</si>
  <si>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</si>
  <si>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</si>
  <si>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</si>
  <si>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</si>
  <si>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</si>
  <si>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</si>
  <si>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</si>
  <si>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</si>
  <si>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</si>
  <si>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</si>
  <si>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</si>
  <si>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</si>
  <si>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</si>
  <si>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</si>
  <si>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</si>
  <si>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</si>
  <si>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</si>
  <si>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</si>
  <si>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</si>
  <si>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</si>
  <si>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</si>
  <si>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</si>
  <si>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</si>
  <si>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</si>
  <si>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</si>
  <si>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</si>
  <si>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</si>
  <si>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</si>
  <si>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</si>
  <si>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</si>
  <si>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</si>
  <si>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</si>
  <si>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</si>
  <si>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</si>
  <si>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</si>
  <si>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</si>
  <si>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</si>
  <si>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</si>
  <si>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</si>
  <si>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</si>
  <si>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</si>
  <si>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</si>
  <si>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</si>
  <si>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</si>
  <si>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</si>
  <si>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</si>
  <si>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</si>
  <si>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</si>
  <si>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</si>
  <si>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</si>
  <si>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</si>
  <si>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</si>
  <si>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</si>
  <si>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</si>
  <si>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</si>
  <si>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</si>
  <si>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</si>
  <si>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</si>
  <si>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</si>
  <si>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</si>
  <si>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</si>
  <si>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</si>
  <si>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</si>
  <si>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</si>
  <si>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</si>
  <si>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</si>
  <si>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</si>
  <si>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</si>
  <si>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</si>
  <si>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</si>
  <si>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</si>
  <si>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</si>
  <si>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</si>
  <si>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</si>
  <si>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</si>
  <si>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</si>
  <si>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</si>
  <si>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</si>
  <si>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</si>
  <si>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</si>
  <si>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</si>
  <si>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</si>
  <si>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</si>
  <si>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</si>
  <si>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</si>
  <si>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</si>
  <si>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</si>
  <si>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</si>
  <si>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</si>
  <si>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</si>
  <si>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</si>
  <si>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</si>
  <si>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</si>
  <si>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</si>
  <si>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</si>
  <si>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</si>
  <si>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</si>
  <si>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</si>
  <si>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</si>
  <si>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</si>
  <si>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</si>
  <si>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</si>
  <si>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</si>
  <si>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</si>
  <si>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</si>
  <si>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</si>
  <si>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</si>
  <si>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</si>
  <si>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</si>
  <si>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</si>
  <si>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</si>
  <si>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</si>
  <si>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</si>
  <si>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</si>
  <si>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</si>
  <si>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</si>
  <si>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</si>
  <si>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</si>
  <si>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</si>
  <si>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</si>
  <si>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</si>
  <si>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</si>
  <si>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</si>
  <si>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</si>
  <si>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</si>
  <si>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</si>
  <si>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</si>
  <si>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</si>
  <si>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</si>
  <si>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</si>
  <si>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</si>
  <si>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</si>
  <si>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</si>
  <si>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</si>
  <si>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</si>
  <si>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</si>
  <si>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</si>
  <si>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</si>
  <si>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</si>
  <si>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</si>
  <si>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</si>
  <si>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</si>
  <si>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</si>
  <si>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</si>
  <si>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</si>
  <si>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</si>
  <si>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</si>
  <si>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</si>
  <si>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</si>
  <si>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</si>
  <si>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</si>
  <si>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</si>
  <si>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</si>
  <si>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</si>
  <si>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</si>
  <si>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</si>
  <si>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</si>
  <si>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</si>
  <si>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</si>
  <si>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</si>
  <si>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</si>
  <si>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</si>
  <si>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</si>
  <si>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</si>
  <si>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</si>
  <si>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</si>
  <si>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</si>
  <si>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</si>
  <si>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</si>
  <si>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</si>
  <si>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</si>
  <si>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</si>
  <si>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</si>
  <si>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</si>
  <si>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</si>
  <si>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</si>
  <si>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</si>
  <si>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</si>
  <si>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</si>
  <si>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</si>
  <si>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</si>
  <si>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</si>
  <si>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</si>
  <si>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</si>
  <si>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</si>
  <si>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</si>
  <si>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</si>
  <si>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</si>
  <si>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</si>
  <si>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</si>
  <si>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</si>
  <si>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</si>
  <si>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</si>
  <si>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</si>
  <si>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</si>
  <si>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</si>
  <si>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</si>
  <si>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</si>
  <si>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</si>
  <si>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</si>
  <si>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</si>
  <si>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</si>
  <si>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</si>
  <si>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</si>
  <si>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</si>
  <si>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</si>
  <si>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</si>
  <si>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</si>
  <si>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</si>
  <si>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</si>
  <si>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</si>
  <si>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</si>
  <si>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</si>
  <si>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</si>
  <si>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</si>
  <si>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</si>
  <si>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</si>
  <si>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</si>
  <si>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</si>
  <si>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</si>
  <si>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</si>
  <si>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</si>
  <si>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</si>
  <si>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</si>
  <si>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</si>
  <si>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</si>
  <si>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</si>
  <si>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</si>
  <si>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</si>
  <si>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</si>
  <si>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</si>
  <si>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</si>
  <si>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</si>
  <si>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</si>
  <si>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</si>
  <si>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</si>
  <si>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</si>
  <si>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</si>
  <si>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</si>
  <si>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</si>
  <si>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</si>
  <si>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</si>
  <si>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</si>
  <si>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</si>
  <si>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</si>
  <si>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</si>
  <si>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</si>
  <si>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</si>
  <si>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</si>
  <si>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</si>
  <si>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</si>
  <si>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</si>
  <si>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</si>
  <si>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</si>
  <si>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</si>
  <si>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</si>
  <si>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</si>
  <si>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</si>
  <si>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</si>
  <si>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</si>
  <si>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</si>
  <si>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</si>
  <si>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</si>
  <si>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</si>
  <si>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</si>
  <si>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</si>
  <si>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</si>
  <si>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</si>
  <si>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</si>
  <si>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</si>
  <si>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</si>
  <si>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</si>
  <si>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</si>
  <si>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</si>
  <si>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</si>
  <si>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</si>
  <si>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</si>
  <si>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</si>
  <si>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</si>
  <si>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</si>
  <si>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</si>
  <si>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</si>
  <si>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</si>
  <si>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</si>
  <si>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</si>
  <si>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</si>
  <si>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</si>
  <si>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</si>
  <si>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</si>
  <si>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</si>
  <si>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</si>
  <si>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</si>
  <si>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</si>
  <si>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</si>
  <si>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</si>
  <si>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</si>
  <si>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</si>
  <si>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</si>
  <si>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</si>
  <si>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</si>
  <si>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</si>
  <si>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</si>
  <si>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</si>
  <si>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</si>
  <si>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</si>
  <si>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</si>
  <si>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</si>
  <si>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</si>
  <si>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</si>
  <si>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</si>
  <si>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</si>
  <si>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</si>
  <si>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</si>
  <si>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</si>
  <si>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</si>
  <si>
    <t>Campaniello et al. (2016)</t>
  </si>
  <si>
    <t>Italy</t>
  </si>
  <si>
    <t>Joseph (2020)</t>
  </si>
  <si>
    <t>Tanzania</t>
  </si>
  <si>
    <t>Dumauli (2015)</t>
  </si>
  <si>
    <t>Fersterer et al. (2008)</t>
  </si>
  <si>
    <t>Austria</t>
  </si>
  <si>
    <t>Sinning (2017)</t>
  </si>
  <si>
    <t>instr_marital_status</t>
  </si>
  <si>
    <t>Purnastuti (2013)</t>
  </si>
  <si>
    <t>Arkes (2010)</t>
  </si>
  <si>
    <t>Instument - Other</t>
  </si>
  <si>
    <t>Blundell et al. (2001)</t>
  </si>
  <si>
    <t>A-level</t>
  </si>
  <si>
    <t>O-level</t>
  </si>
  <si>
    <t>OLS full</t>
  </si>
  <si>
    <t>IV spec i</t>
  </si>
  <si>
    <t>IV spec ii</t>
  </si>
  <si>
    <t>IV spec iii</t>
  </si>
  <si>
    <t>Aromolaran (2006)</t>
  </si>
  <si>
    <t>Ayyash et al. (2020)</t>
  </si>
  <si>
    <t>Education in palestine</t>
  </si>
  <si>
    <t>elementory</t>
  </si>
  <si>
    <t>Type</t>
  </si>
  <si>
    <t>preparatory</t>
  </si>
  <si>
    <t>secondary</t>
  </si>
  <si>
    <t>associate diploma</t>
  </si>
  <si>
    <t>higher diploma</t>
  </si>
  <si>
    <t>masters</t>
  </si>
  <si>
    <t>phd</t>
  </si>
  <si>
    <t>Associate diploma</t>
  </si>
  <si>
    <t>BA\BSc</t>
  </si>
  <si>
    <t>Higher diploma</t>
  </si>
  <si>
    <t>Master degree</t>
  </si>
  <si>
    <t>PhD</t>
  </si>
  <si>
    <t>School type</t>
  </si>
  <si>
    <t>Measured against preparatory (10 years of education)</t>
  </si>
  <si>
    <t>Palestine</t>
  </si>
  <si>
    <t>Sudan</t>
  </si>
  <si>
    <t>Kuwait</t>
  </si>
  <si>
    <t>Romania</t>
  </si>
  <si>
    <t>Djibouti</t>
  </si>
  <si>
    <t>Tajikistan</t>
  </si>
  <si>
    <t>Kazakhstan</t>
  </si>
  <si>
    <t>Sweden</t>
  </si>
  <si>
    <t>Algeria</t>
  </si>
  <si>
    <t>France</t>
  </si>
  <si>
    <t>Israel</t>
  </si>
  <si>
    <t>Jordan</t>
  </si>
  <si>
    <t>Malta</t>
  </si>
  <si>
    <t>Morocco</t>
  </si>
  <si>
    <t>Portugal</t>
  </si>
  <si>
    <t>Finland</t>
  </si>
  <si>
    <t>Brazil</t>
  </si>
  <si>
    <t>Cameroon</t>
  </si>
  <si>
    <t>Costa Rica</t>
  </si>
  <si>
    <t>Cyprus</t>
  </si>
  <si>
    <t>Mexico</t>
  </si>
  <si>
    <t>Taiwan</t>
  </si>
  <si>
    <t>Zimbabwe</t>
  </si>
  <si>
    <t>Honduras</t>
  </si>
  <si>
    <t>Nicaragua</t>
  </si>
  <si>
    <t>Serbia</t>
  </si>
  <si>
    <t>Hungary</t>
  </si>
  <si>
    <t>Malawi</t>
  </si>
  <si>
    <t>Korea</t>
  </si>
  <si>
    <t>Denmark</t>
  </si>
  <si>
    <t>Madagascar</t>
  </si>
  <si>
    <t>Uganda</t>
  </si>
  <si>
    <t>Germany</t>
  </si>
  <si>
    <t>Japan</t>
  </si>
  <si>
    <t>Vietnam</t>
  </si>
  <si>
    <t>Czech Republic</t>
  </si>
  <si>
    <t>Slovakia</t>
  </si>
  <si>
    <t>Bulgaria</t>
  </si>
  <si>
    <t>Latvia</t>
  </si>
  <si>
    <t>Russia</t>
  </si>
  <si>
    <t>Moldova</t>
  </si>
  <si>
    <t>Gambia</t>
  </si>
  <si>
    <t>Panama</t>
  </si>
  <si>
    <t>El Salvador</t>
  </si>
  <si>
    <t>Guatemala</t>
  </si>
  <si>
    <t>Argentina</t>
  </si>
  <si>
    <t>Namibia</t>
  </si>
  <si>
    <t>Venezuela</t>
  </si>
  <si>
    <t>Ukraine</t>
  </si>
  <si>
    <t>Puerto Rico</t>
  </si>
  <si>
    <t>Great Britain</t>
  </si>
  <si>
    <t>Ireland</t>
  </si>
  <si>
    <t>Belize</t>
  </si>
  <si>
    <t>Bolivia</t>
  </si>
  <si>
    <t>Botswana</t>
  </si>
  <si>
    <t>Canada</t>
  </si>
  <si>
    <t>Chile</t>
  </si>
  <si>
    <t>Colombia</t>
  </si>
  <si>
    <t>Cote d'Ivoire</t>
  </si>
  <si>
    <t>Dominican Republic</t>
  </si>
  <si>
    <t>Ecuador</t>
  </si>
  <si>
    <t>Philippines</t>
  </si>
  <si>
    <t>Uruguay</t>
  </si>
  <si>
    <t>Eritrea</t>
  </si>
  <si>
    <t>Estonia</t>
  </si>
  <si>
    <t>Cambodia</t>
  </si>
  <si>
    <t>Rwanda</t>
  </si>
  <si>
    <t>Singapore</t>
  </si>
  <si>
    <t>Switzerland</t>
  </si>
  <si>
    <t>Tunisia</t>
  </si>
  <si>
    <t>Peru</t>
  </si>
  <si>
    <t>Mongolia</t>
  </si>
  <si>
    <t>Albania</t>
  </si>
  <si>
    <t>Azerbaijan</t>
  </si>
  <si>
    <t>Bosnia &amp; Herzegovina</t>
  </si>
  <si>
    <t>Iraq</t>
  </si>
  <si>
    <t>Kyrgyzstan</t>
  </si>
  <si>
    <t>Niger</t>
  </si>
  <si>
    <t>Timor-Leste</t>
  </si>
  <si>
    <t>Hong Kong</t>
  </si>
  <si>
    <t>Belgium</t>
  </si>
  <si>
    <t>Burkina Faso</t>
  </si>
  <si>
    <t>Jamaica</t>
  </si>
  <si>
    <t>Paraguay</t>
  </si>
  <si>
    <t>Lesotho</t>
  </si>
  <si>
    <t>Nepal</t>
  </si>
  <si>
    <t>Croatia</t>
  </si>
  <si>
    <t>United Arab Emirates</t>
  </si>
  <si>
    <t>New Zealand</t>
  </si>
  <si>
    <t>Northern Ireland</t>
  </si>
  <si>
    <t>Maldives</t>
  </si>
  <si>
    <t>Belarus</t>
  </si>
  <si>
    <t xml:space="preserve"> Albania                </t>
  </si>
  <si>
    <t xml:space="preserve"> Algeria                </t>
  </si>
  <si>
    <t xml:space="preserve"> Argentina              </t>
  </si>
  <si>
    <t xml:space="preserve"> $312/month   </t>
  </si>
  <si>
    <t xml:space="preserve"> Australia              </t>
  </si>
  <si>
    <t xml:space="preserve"> $10/hour     </t>
  </si>
  <si>
    <t xml:space="preserve"> Austria                </t>
  </si>
  <si>
    <t xml:space="preserve"> $1,088/month </t>
  </si>
  <si>
    <t xml:space="preserve"> Azerbaijan             </t>
  </si>
  <si>
    <t xml:space="preserve"> Bangladesh             </t>
  </si>
  <si>
    <t xml:space="preserve"> Belarus                </t>
  </si>
  <si>
    <t xml:space="preserve"> Belgium                </t>
  </si>
  <si>
    <t xml:space="preserve"> $1,276/month</t>
  </si>
  <si>
    <t xml:space="preserve"> Belize                 </t>
  </si>
  <si>
    <t xml:space="preserve"> Bolivia                </t>
  </si>
  <si>
    <t xml:space="preserve"> $45/month    </t>
  </si>
  <si>
    <t xml:space="preserve"> Bosnia &amp; Herzegovina   </t>
  </si>
  <si>
    <t xml:space="preserve"> Botswana               </t>
  </si>
  <si>
    <t xml:space="preserve"> Brazil                 </t>
  </si>
  <si>
    <t xml:space="preserve"> $58/month    </t>
  </si>
  <si>
    <t xml:space="preserve"> Bulgaria               </t>
  </si>
  <si>
    <t xml:space="preserve"> Burkina Faso           </t>
  </si>
  <si>
    <t xml:space="preserve"> Cambodia               </t>
  </si>
  <si>
    <t xml:space="preserve"> Cameroon               </t>
  </si>
  <si>
    <t xml:space="preserve"> Canada                 </t>
  </si>
  <si>
    <t xml:space="preserve"> $7.85/hour   </t>
  </si>
  <si>
    <t xml:space="preserve"> Chile                  </t>
  </si>
  <si>
    <t xml:space="preserve"> $191/month  </t>
  </si>
  <si>
    <t xml:space="preserve"> China                  </t>
  </si>
  <si>
    <t xml:space="preserve"> $27/month    </t>
  </si>
  <si>
    <t xml:space="preserve"> Colombia               </t>
  </si>
  <si>
    <t xml:space="preserve"> $144/month  </t>
  </si>
  <si>
    <t xml:space="preserve"> Costa Rica             </t>
  </si>
  <si>
    <t xml:space="preserve"> $177/month  </t>
  </si>
  <si>
    <t xml:space="preserve"> Cote d'Ivoire          </t>
  </si>
  <si>
    <t xml:space="preserve"> Croatia                </t>
  </si>
  <si>
    <t xml:space="preserve"> $308/month  </t>
  </si>
  <si>
    <t xml:space="preserve"> Cyprus                 </t>
  </si>
  <si>
    <t xml:space="preserve"> $681/month </t>
  </si>
  <si>
    <t xml:space="preserve"> Czech Republic         </t>
  </si>
  <si>
    <t xml:space="preserve"> $183/month  </t>
  </si>
  <si>
    <t xml:space="preserve"> Denmark                </t>
  </si>
  <si>
    <t xml:space="preserve"> $12/hour    </t>
  </si>
  <si>
    <t xml:space="preserve"> Djibouti               </t>
  </si>
  <si>
    <t xml:space="preserve"> Dominican Republic     </t>
  </si>
  <si>
    <t xml:space="preserve"> $94/month    </t>
  </si>
  <si>
    <t xml:space="preserve"> Ecuador                </t>
  </si>
  <si>
    <t xml:space="preserve"> $80/month   </t>
  </si>
  <si>
    <t xml:space="preserve"> Egypt                  </t>
  </si>
  <si>
    <t xml:space="preserve"> El Salvador            </t>
  </si>
  <si>
    <t xml:space="preserve"> $110/month   </t>
  </si>
  <si>
    <t xml:space="preserve"> Eritrea                </t>
  </si>
  <si>
    <t xml:space="preserve"> Estonia                </t>
  </si>
  <si>
    <t xml:space="preserve"> $107/month   </t>
  </si>
  <si>
    <t xml:space="preserve"> Ethiopia               </t>
  </si>
  <si>
    <t xml:space="preserve"> Finland                </t>
  </si>
  <si>
    <t xml:space="preserve"> $1,176/month</t>
  </si>
  <si>
    <t xml:space="preserve"> France                 </t>
  </si>
  <si>
    <t xml:space="preserve"> $1,076/month</t>
  </si>
  <si>
    <t xml:space="preserve"> Gambia                 </t>
  </si>
  <si>
    <t xml:space="preserve"> Georgia                </t>
  </si>
  <si>
    <t xml:space="preserve"> Germany                </t>
  </si>
  <si>
    <t xml:space="preserve"> $1,142/month</t>
  </si>
  <si>
    <t xml:space="preserve"> Ghana                  </t>
  </si>
  <si>
    <t xml:space="preserve"> Great Britain          </t>
  </si>
  <si>
    <t xml:space="preserve"> $6.03/hour  </t>
  </si>
  <si>
    <t xml:space="preserve"> Greece                 </t>
  </si>
  <si>
    <t xml:space="preserve"> $466/month  </t>
  </si>
  <si>
    <t xml:space="preserve"> Guatemala              </t>
  </si>
  <si>
    <t xml:space="preserve"> $85/month   </t>
  </si>
  <si>
    <t xml:space="preserve"> Honduras               </t>
  </si>
  <si>
    <t xml:space="preserve"> $77/month   </t>
  </si>
  <si>
    <t xml:space="preserve"> Hong Kong        </t>
  </si>
  <si>
    <t xml:space="preserve"> $3.2/hour   </t>
  </si>
  <si>
    <t xml:space="preserve"> Hungary          </t>
  </si>
  <si>
    <t xml:space="preserve"> India            </t>
  </si>
  <si>
    <t xml:space="preserve"> $36/month   </t>
  </si>
  <si>
    <t xml:space="preserve"> Indonesia        </t>
  </si>
  <si>
    <t xml:space="preserve"> $37/month   </t>
  </si>
  <si>
    <t xml:space="preserve"> Iran             </t>
  </si>
  <si>
    <t xml:space="preserve"> Iraq             </t>
  </si>
  <si>
    <t xml:space="preserve"> Ireland          </t>
  </si>
  <si>
    <t xml:space="preserve"> $7.65/hour  </t>
  </si>
  <si>
    <t xml:space="preserve"> Israel           </t>
  </si>
  <si>
    <t xml:space="preserve"> $3.08/hour  </t>
  </si>
  <si>
    <t xml:space="preserve"> Italy            </t>
  </si>
  <si>
    <t xml:space="preserve"> $6.25/hour  </t>
  </si>
  <si>
    <t xml:space="preserve"> Jamaica          </t>
  </si>
  <si>
    <t xml:space="preserve"> $32/week    </t>
  </si>
  <si>
    <t xml:space="preserve"> Japan            </t>
  </si>
  <si>
    <t xml:space="preserve"> $6.89/hour  </t>
  </si>
  <si>
    <t xml:space="preserve"> Jordan           </t>
  </si>
  <si>
    <t xml:space="preserve"> Kazakhstan       </t>
  </si>
  <si>
    <t xml:space="preserve"> Kenya            </t>
  </si>
  <si>
    <t xml:space="preserve"> Korea            </t>
  </si>
  <si>
    <t xml:space="preserve"> $3.04/hour  </t>
  </si>
  <si>
    <t xml:space="preserve"> Kuwait           </t>
  </si>
  <si>
    <t xml:space="preserve"> Kyrgyzstan       </t>
  </si>
  <si>
    <t xml:space="preserve"> Latvia           </t>
  </si>
  <si>
    <t xml:space="preserve"> $106/month  </t>
  </si>
  <si>
    <t xml:space="preserve"> Lesotho          </t>
  </si>
  <si>
    <t xml:space="preserve"> Madagascar       </t>
  </si>
  <si>
    <t xml:space="preserve"> Malawi           </t>
  </si>
  <si>
    <t xml:space="preserve"> Malaysia         </t>
  </si>
  <si>
    <t xml:space="preserve"> $131/month  </t>
  </si>
  <si>
    <t xml:space="preserve"> Maldives         </t>
  </si>
  <si>
    <t xml:space="preserve"> Malta            </t>
  </si>
  <si>
    <t xml:space="preserve"> $3.17/hour  </t>
  </si>
  <si>
    <t xml:space="preserve"> Mexico           </t>
  </si>
  <si>
    <t xml:space="preserve"> $4.25/day   </t>
  </si>
  <si>
    <t xml:space="preserve"> Moldova          </t>
  </si>
  <si>
    <t xml:space="preserve"> Mongolia         </t>
  </si>
  <si>
    <t xml:space="preserve"> Morocco          </t>
  </si>
  <si>
    <t xml:space="preserve"> $89/month   </t>
  </si>
  <si>
    <t xml:space="preserve"> Namibia          </t>
  </si>
  <si>
    <t xml:space="preserve"> Nepal            </t>
  </si>
  <si>
    <t xml:space="preserve"> Netherlands      </t>
  </si>
  <si>
    <t xml:space="preserve"> $9.43/hour  </t>
  </si>
  <si>
    <t xml:space="preserve"> New Zealand      </t>
  </si>
  <si>
    <t xml:space="preserve"> $7.64/hour  </t>
  </si>
  <si>
    <t xml:space="preserve"> Nicaragua        </t>
  </si>
  <si>
    <t xml:space="preserve"> Niger            </t>
  </si>
  <si>
    <t xml:space="preserve"> Nigeria          </t>
  </si>
  <si>
    <t xml:space="preserve"> Northern Ireland </t>
  </si>
  <si>
    <t xml:space="preserve"> $5.72/hour  </t>
  </si>
  <si>
    <t xml:space="preserve"> Norway           </t>
  </si>
  <si>
    <t xml:space="preserve"> $15.50/hour </t>
  </si>
  <si>
    <t xml:space="preserve"> Pakistan         </t>
  </si>
  <si>
    <t xml:space="preserve"> $28/month   </t>
  </si>
  <si>
    <t xml:space="preserve"> Palestine        </t>
  </si>
  <si>
    <t xml:space="preserve"> Panama           </t>
  </si>
  <si>
    <t xml:space="preserve"> $274/month  </t>
  </si>
  <si>
    <t xml:space="preserve"> Papua New Guinea </t>
  </si>
  <si>
    <t xml:space="preserve"> Paraguay         </t>
  </si>
  <si>
    <t xml:space="preserve"> $135/month  </t>
  </si>
  <si>
    <t xml:space="preserve"> Peru             </t>
  </si>
  <si>
    <t xml:space="preserve"> Philippines      </t>
  </si>
  <si>
    <t xml:space="preserve"> $4.53/day   </t>
  </si>
  <si>
    <t xml:space="preserve"> Poland           </t>
  </si>
  <si>
    <t xml:space="preserve"> $186/month  </t>
  </si>
  <si>
    <t xml:space="preserve"> Portugal         </t>
  </si>
  <si>
    <t xml:space="preserve"> $360/month  </t>
  </si>
  <si>
    <t xml:space="preserve"> Puerto Rico      </t>
  </si>
  <si>
    <t xml:space="preserve"> $4.25/hour  </t>
  </si>
  <si>
    <t xml:space="preserve"> Romania          </t>
  </si>
  <si>
    <t xml:space="preserve"> $69/month   </t>
  </si>
  <si>
    <t xml:space="preserve"> Russia           </t>
  </si>
  <si>
    <t xml:space="preserve"> Rwanda      </t>
  </si>
  <si>
    <t xml:space="preserve"> Serbia      </t>
  </si>
  <si>
    <t xml:space="preserve"> $137/month  </t>
  </si>
  <si>
    <t xml:space="preserve"> Singapore   </t>
  </si>
  <si>
    <t xml:space="preserve"> $5.57/hour  </t>
  </si>
  <si>
    <t xml:space="preserve"> Slovakia    </t>
  </si>
  <si>
    <t xml:space="preserve"> $219/month  </t>
  </si>
  <si>
    <t xml:space="preserve"> Slovenia    </t>
  </si>
  <si>
    <t xml:space="preserve"> $462/month  </t>
  </si>
  <si>
    <t xml:space="preserve"> South Africa</t>
  </si>
  <si>
    <t xml:space="preserve"> $105/month  </t>
  </si>
  <si>
    <t xml:space="preserve"> Spain       </t>
  </si>
  <si>
    <t xml:space="preserve"> $479/month  </t>
  </si>
  <si>
    <t xml:space="preserve"> Sri Lanka   </t>
  </si>
  <si>
    <t xml:space="preserve"> $20/month   </t>
  </si>
  <si>
    <t xml:space="preserve"> Sudan       </t>
  </si>
  <si>
    <t xml:space="preserve"> Sweden      </t>
  </si>
  <si>
    <t xml:space="preserve"> $10.62/hour </t>
  </si>
  <si>
    <t xml:space="preserve"> Switzerland </t>
  </si>
  <si>
    <t xml:space="preserve"> $3,859/month</t>
  </si>
  <si>
    <t xml:space="preserve"> Taiwan      </t>
  </si>
  <si>
    <t xml:space="preserve"> $1.47/hour  </t>
  </si>
  <si>
    <t xml:space="preserve"> Tajikistan  </t>
  </si>
  <si>
    <t xml:space="preserve"> Tanzania    </t>
  </si>
  <si>
    <t xml:space="preserve"> Thailand    </t>
  </si>
  <si>
    <t xml:space="preserve"> $2.25/day   </t>
  </si>
  <si>
    <t xml:space="preserve"> Timor-Leste </t>
  </si>
  <si>
    <t xml:space="preserve"> Tunisia     </t>
  </si>
  <si>
    <t xml:space="preserve"> $60/month   </t>
  </si>
  <si>
    <t xml:space="preserve"> Turkey      </t>
  </si>
  <si>
    <t xml:space="preserve"> $142/month  </t>
  </si>
  <si>
    <t xml:space="preserve"> Uganda      </t>
  </si>
  <si>
    <t xml:space="preserve"> Ukraine     </t>
  </si>
  <si>
    <t xml:space="preserve"> UAE         </t>
  </si>
  <si>
    <t xml:space="preserve"> $1,018/month</t>
  </si>
  <si>
    <t xml:space="preserve"> UK          </t>
  </si>
  <si>
    <t xml:space="preserve"> $5.52/hour  </t>
  </si>
  <si>
    <t xml:space="preserve"> USA         </t>
  </si>
  <si>
    <t xml:space="preserve"> $5.15/hour  </t>
  </si>
  <si>
    <t xml:space="preserve"> Uruguay     </t>
  </si>
  <si>
    <t xml:space="preserve"> $2.40/hour  </t>
  </si>
  <si>
    <t xml:space="preserve"> Venezuela   </t>
  </si>
  <si>
    <t xml:space="preserve"> Vietnam     </t>
  </si>
  <si>
    <t xml:space="preserve"> $18/month   </t>
  </si>
  <si>
    <t xml:space="preserve"> Zambia      </t>
  </si>
  <si>
    <t xml:space="preserve"> Zimbabwe    </t>
  </si>
  <si>
    <t xml:space="preserve"> .                          </t>
  </si>
  <si>
    <t xml:space="preserve"> .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</si>
</sst>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0.000"/>
    <numFmt numFmtId="165" formatCode="0.0000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dotted">
        <color auto="1"/>
      </left>
      <right/>
      <top style="dashed">
        <color auto="1"/>
      </top>
      <bottom style="dashed">
        <color auto="1"/>
      </bottom>
      <diagonal/>
    </border>
    <border>
      <left/>
      <right style="dotted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29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0" fontId="0" fillId="0" borderId="39" xfId="0" applyBorder="1"/>
    <xf numFmtId="0" fontId="0" fillId="0" borderId="40" xfId="0" applyBorder="1"/>
    <xf numFmtId="2" fontId="0" fillId="4" borderId="39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0" fillId="4" borderId="39" xfId="0" applyFill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42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0" fontId="0" fillId="0" borderId="41" xfId="0" applyBorder="1"/>
    <xf numFmtId="0" fontId="0" fillId="0" borderId="42" xfId="0" applyBorder="1"/>
    <xf numFmtId="164" fontId="0" fillId="0" borderId="42" xfId="0" applyNumberForma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2" fontId="0" fillId="4" borderId="44" xfId="0" applyNumberFormat="1" applyFill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4" borderId="44" xfId="0" applyFill="1" applyBorder="1" applyAlignment="1">
      <alignment horizontal="center"/>
    </xf>
    <xf numFmtId="164" fontId="0" fillId="0" borderId="44" xfId="0" applyNumberFormat="1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4" xfId="0" applyNumberFormat="1" applyBorder="1" applyAlignment="1">
      <alignment horizontal="center"/>
    </xf>
    <xf numFmtId="1" fontId="0" fillId="0" borderId="47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2" fontId="0" fillId="0" borderId="45" xfId="0" applyNumberFormat="1" applyBorder="1" applyAlignment="1">
      <alignment horizontal="center"/>
    </xf>
    <xf numFmtId="164" fontId="0" fillId="0" borderId="47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164" fontId="0" fillId="0" borderId="47" xfId="0" applyNumberFormat="1" applyBorder="1"/>
    <xf numFmtId="0" fontId="0" fillId="0" borderId="48" xfId="0" applyBorder="1"/>
    <xf numFmtId="0" fontId="0" fillId="0" borderId="0" xfId="0" applyBorder="1"/>
    <xf numFmtId="0" fontId="8" fillId="0" borderId="49" xfId="0" applyFont="1" applyBorder="1" applyAlignment="1">
      <alignment horizontal="center" vertical="top"/>
    </xf>
    <xf numFmtId="0" fontId="8" fillId="0" borderId="50" xfId="0" applyFont="1" applyBorder="1" applyAlignment="1">
      <alignment horizontal="center" vertical="top"/>
    </xf>
    <xf numFmtId="6" fontId="0" fillId="0" borderId="0" xfId="0" applyNumberFormat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workbookViewId="0">
      <pane xSplit="4" ySplit="1" topLeftCell="V827" activePane="bottomRight" state="frozen"/>
      <selection activeCell="D526" sqref="D526"/>
      <selection pane="topRight" activeCell="D526" sqref="D526"/>
      <selection pane="bottomLeft" activeCell="D526" sqref="D526"/>
      <selection pane="bottomRight" activeCell="AL849" sqref="AL849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68" width="8.7109375" customWidth="1"/>
    <col min="69" max="69" width="8.7109375" style="25" customWidth="1"/>
    <col min="70" max="77" width="8.7109375" customWidth="1"/>
    <col min="78" max="78" width="8.5703125" customWidth="1"/>
    <col min="79" max="102" width="8.7109375" customWidth="1"/>
    <col min="103" max="103" width="9.140625" style="34" customWidth="1"/>
    <col min="104" max="107" width="9.140625" customWidth="1"/>
  </cols>
  <sheetData>
    <row r="1" spans="1:108" x14ac:dyDescent="0.25">
      <c r="A1" s="1" t="s">
        <v>0</v>
      </c>
      <c r="B1" s="1" t="s">
        <v>1</v>
      </c>
      <c r="C1" s="27" t="s">
        <v>338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287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204</v>
      </c>
      <c r="AB1" s="2" t="s">
        <v>205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235</v>
      </c>
      <c r="BC1" s="17" t="s">
        <v>234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242</v>
      </c>
      <c r="BT1" s="4" t="s">
        <v>273</v>
      </c>
      <c r="BU1" s="4" t="s">
        <v>162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163</v>
      </c>
      <c r="CG1" s="4" t="s">
        <v>515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364</v>
      </c>
      <c r="CX1" s="44" t="s">
        <v>85</v>
      </c>
      <c r="CY1" s="185" t="s">
        <v>480</v>
      </c>
      <c r="CZ1" s="186" t="s">
        <v>481</v>
      </c>
      <c r="DA1" s="186" t="s">
        <v>482</v>
      </c>
      <c r="DB1" s="186" t="s">
        <v>483</v>
      </c>
      <c r="DC1" s="186" t="s">
        <v>484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225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605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605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605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605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605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605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605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605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605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605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605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605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605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605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605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148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148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148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148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148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148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149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149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149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149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149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149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149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149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149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149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149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149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149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149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149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150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150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150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150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150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150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150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151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151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151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151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151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151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151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151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151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151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151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151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152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152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152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152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152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152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152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152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152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152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152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152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152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152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152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152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152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152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152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152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152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152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152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152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152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152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152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152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152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152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152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152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152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152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152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152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177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177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177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177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177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177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177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177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177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177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177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177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177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177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177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177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177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177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177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177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203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203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203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203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203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203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203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203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203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203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203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203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203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203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203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203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203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203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203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203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203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203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203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203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203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203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203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203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203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203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203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203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203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203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203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203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203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203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203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203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203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203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203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203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203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203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203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203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223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223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223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223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223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223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223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223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224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224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224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224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224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224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224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224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224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224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224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224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224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224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224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224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224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224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224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224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224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224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224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224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224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224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224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224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224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224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224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224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224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224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224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224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224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224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224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224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224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224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224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224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224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224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224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224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230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230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230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230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230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230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230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230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230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230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230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230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230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230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230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230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243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244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243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244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243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244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243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244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243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244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243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244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243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244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243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244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243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244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243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244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243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244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243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244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243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244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243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244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243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244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243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244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245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245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245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245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245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245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245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245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245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245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245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245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246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246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246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246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246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246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246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246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246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246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246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246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246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246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246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246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246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246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246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246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246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246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246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246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247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247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247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247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247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247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247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247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247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247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247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247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247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247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247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258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258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258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258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258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258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258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258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258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258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258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258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258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258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258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258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258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258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258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258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258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258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258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258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258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258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258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258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258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258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258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258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271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271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271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271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272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272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272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272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272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272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272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272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272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272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272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526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526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526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526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526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526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526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526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286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286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286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286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286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286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286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286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286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286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286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286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286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286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286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286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286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286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286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286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286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286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286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286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286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286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286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323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323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323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323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323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323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323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323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323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323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323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323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322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322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322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322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322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322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322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322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322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322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322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322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322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322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322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322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324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324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324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324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324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324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331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331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331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331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331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331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331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331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331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331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331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331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331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331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331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331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332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332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332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332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332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332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332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332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332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332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332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332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332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332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332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332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332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332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332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332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332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332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332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332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336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336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336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336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336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336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336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336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336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336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336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336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336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336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336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337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337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337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337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337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337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339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340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339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340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339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340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339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340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339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340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339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340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339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340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339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340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339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340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339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340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339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340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339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340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339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340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339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340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339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340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339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340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339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340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339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340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339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340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339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340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339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340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339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340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339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340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339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340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339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340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339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340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339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340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339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340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339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340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339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340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339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340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339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340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339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340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339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340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339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340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339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340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339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340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339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340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339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340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339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340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339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340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339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340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339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340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339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340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339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340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339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340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339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340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339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340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339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340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339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340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341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341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341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341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341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341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341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341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341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341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344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344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344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344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344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344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344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344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344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344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344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344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344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344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344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344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344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345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345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345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345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345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345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345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345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345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345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345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345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345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345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345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478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340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478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340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478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340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478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340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478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340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478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340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478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340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478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340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478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340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478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340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478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340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478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340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478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340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478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340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478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340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478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340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478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340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478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340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478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340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478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340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478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340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478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340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478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340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478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340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490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491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490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491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490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491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490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491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490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491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490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491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490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491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490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491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490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491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490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491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490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491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490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491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490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491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490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491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490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491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490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491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490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491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490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491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500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501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500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501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500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501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500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501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500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501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500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501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506</v>
      </c>
      <c r="D740" s="12">
        <v>6.4</v>
      </c>
      <c r="E740" s="14">
        <v>0.1</v>
      </c>
      <c r="F740" s="7">
        <v>9.8571428571428594</v>
      </c>
      <c r="G740" s="7">
        <f t="shared" ref="G740:G821" si="542">D740-E740</f>
        <v>6.3000000000000007</v>
      </c>
      <c r="H740" s="16">
        <f t="shared" ref="H740:H821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>
        <v>0</v>
      </c>
      <c r="O740" s="9">
        <v>1</v>
      </c>
      <c r="P740" s="8">
        <v>0</v>
      </c>
      <c r="Q740" s="9">
        <v>0</v>
      </c>
      <c r="R740" s="9">
        <v>1</v>
      </c>
      <c r="S740" s="9">
        <v>0</v>
      </c>
      <c r="T740" s="9">
        <v>0</v>
      </c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Y740" s="7">
        <v>7.95</v>
      </c>
      <c r="Z740" s="7">
        <v>18.16</v>
      </c>
      <c r="AA740" s="9">
        <v>1</v>
      </c>
      <c r="AB740" s="9">
        <v>0</v>
      </c>
      <c r="AC740" s="9">
        <v>0</v>
      </c>
      <c r="AD740" s="9">
        <v>1</v>
      </c>
      <c r="AE740" s="9">
        <v>0</v>
      </c>
      <c r="AF740" s="9">
        <v>0</v>
      </c>
      <c r="AG740" s="8">
        <v>0</v>
      </c>
      <c r="AH740" s="9">
        <v>0</v>
      </c>
      <c r="AI740" s="30">
        <v>1</v>
      </c>
      <c r="AJ740" s="9">
        <v>0</v>
      </c>
      <c r="AK740" s="30">
        <v>1</v>
      </c>
      <c r="AL740" s="21">
        <v>2007</v>
      </c>
      <c r="AM740" s="23">
        <f t="shared" si="528"/>
        <v>7.604396348796338</v>
      </c>
      <c r="AN740" s="33" t="s">
        <v>106</v>
      </c>
      <c r="AO740" s="33" t="s">
        <v>106</v>
      </c>
      <c r="AP740" s="33" t="s">
        <v>106</v>
      </c>
      <c r="AQ740" s="43" t="s">
        <v>106</v>
      </c>
      <c r="AR740" s="33" t="s">
        <v>106</v>
      </c>
      <c r="AS740" s="43" t="s">
        <v>106</v>
      </c>
      <c r="AT740" s="42">
        <v>0.60299999999999998</v>
      </c>
      <c r="AU740" s="18">
        <v>0.39700000000000002</v>
      </c>
      <c r="AV740" s="39">
        <f>1-AW740</f>
        <v>0.78400000000000003</v>
      </c>
      <c r="AW740" s="40">
        <v>0.216</v>
      </c>
      <c r="AX740" s="39">
        <f>1-AY740</f>
        <v>0.76300000000000001</v>
      </c>
      <c r="AY740" s="40">
        <v>0.23699999999999999</v>
      </c>
      <c r="BA740" s="18"/>
      <c r="BB740">
        <f>1-BC740</f>
        <v>0.20799999999999996</v>
      </c>
      <c r="BC740" s="18">
        <v>0.79200000000000004</v>
      </c>
      <c r="BD740" s="18" t="s">
        <v>29</v>
      </c>
      <c r="BK740" s="18"/>
      <c r="BN740" s="18"/>
      <c r="BQ740" s="96">
        <f>Y740+Z740+6</f>
        <v>32.11</v>
      </c>
      <c r="BR740">
        <v>1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s="18">
        <v>0</v>
      </c>
      <c r="BZ740">
        <v>0</v>
      </c>
      <c r="CA740">
        <v>0</v>
      </c>
      <c r="CB740">
        <v>1</v>
      </c>
      <c r="CC740" s="18">
        <v>0</v>
      </c>
      <c r="CD740">
        <v>0</v>
      </c>
      <c r="CE740">
        <v>0</v>
      </c>
      <c r="CF740">
        <v>0</v>
      </c>
      <c r="CG740">
        <v>0</v>
      </c>
      <c r="CH740" s="18">
        <v>0</v>
      </c>
      <c r="CI740">
        <v>0</v>
      </c>
      <c r="CJ740">
        <v>0</v>
      </c>
      <c r="CK740">
        <v>1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0</v>
      </c>
      <c r="CS740" s="18">
        <v>1</v>
      </c>
      <c r="DD740" s="34" t="s">
        <v>86</v>
      </c>
    </row>
    <row r="741" spans="1:108" x14ac:dyDescent="0.25">
      <c r="A741">
        <v>740</v>
      </c>
      <c r="B741">
        <v>46</v>
      </c>
      <c r="C741" s="25" t="s">
        <v>506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>
        <v>0</v>
      </c>
      <c r="O741" s="9">
        <v>1</v>
      </c>
      <c r="P741" s="8">
        <v>0</v>
      </c>
      <c r="Q741" s="9">
        <v>0</v>
      </c>
      <c r="R741" s="9">
        <v>1</v>
      </c>
      <c r="S741" s="9">
        <v>0</v>
      </c>
      <c r="T741" s="9">
        <v>0</v>
      </c>
      <c r="U741" s="8">
        <v>42737</v>
      </c>
      <c r="V741" s="9">
        <v>3</v>
      </c>
      <c r="W741" s="9">
        <f t="shared" ref="W741:W789" si="549">U741-V741-1</f>
        <v>42733</v>
      </c>
      <c r="X741" s="9">
        <f t="shared" si="527"/>
        <v>30</v>
      </c>
      <c r="Y741" s="7">
        <v>7.95</v>
      </c>
      <c r="Z741" s="7">
        <v>18.16</v>
      </c>
      <c r="AA741" s="9">
        <v>1</v>
      </c>
      <c r="AB741" s="9">
        <v>0</v>
      </c>
      <c r="AC741" s="9">
        <v>0</v>
      </c>
      <c r="AD741" s="9">
        <v>1</v>
      </c>
      <c r="AE741" s="9">
        <v>0</v>
      </c>
      <c r="AF741" s="9">
        <v>0</v>
      </c>
      <c r="AG741" s="8">
        <v>0</v>
      </c>
      <c r="AH741" s="9">
        <v>0</v>
      </c>
      <c r="AI741" s="30">
        <v>1</v>
      </c>
      <c r="AJ741" s="9">
        <v>0</v>
      </c>
      <c r="AK741" s="30">
        <v>1</v>
      </c>
      <c r="AL741" s="21">
        <v>2007</v>
      </c>
      <c r="AM741" s="23">
        <f t="shared" si="528"/>
        <v>7.604396348796338</v>
      </c>
      <c r="AN741" s="33" t="s">
        <v>106</v>
      </c>
      <c r="AO741" s="33" t="s">
        <v>106</v>
      </c>
      <c r="AP741" s="33" t="s">
        <v>106</v>
      </c>
      <c r="AQ741" s="43" t="s">
        <v>106</v>
      </c>
      <c r="AR741" s="33" t="s">
        <v>106</v>
      </c>
      <c r="AS741" s="43" t="s">
        <v>106</v>
      </c>
      <c r="AT741" s="42">
        <v>0.60299999999999998</v>
      </c>
      <c r="AU741" s="18">
        <v>0.39700000000000002</v>
      </c>
      <c r="AV741" s="39">
        <f t="shared" ref="AV741:AX769" si="550">1-AW741</f>
        <v>0.78400000000000003</v>
      </c>
      <c r="AW741" s="40">
        <v>0.216</v>
      </c>
      <c r="AX741" s="39">
        <f t="shared" si="550"/>
        <v>0.76300000000000001</v>
      </c>
      <c r="AY741" s="40">
        <v>0.23699999999999999</v>
      </c>
      <c r="BA741" s="18"/>
      <c r="BB741">
        <f t="shared" ref="BB741:BB769" si="551">1-BC741</f>
        <v>0.20799999999999996</v>
      </c>
      <c r="BC741" s="18">
        <v>0.79200000000000004</v>
      </c>
      <c r="BD741" s="18" t="s">
        <v>29</v>
      </c>
      <c r="BK741" s="18"/>
      <c r="BN741" s="18"/>
      <c r="BQ741" s="96">
        <f t="shared" ref="BQ741:BQ769" si="552">Y741+Z741+6</f>
        <v>32.11</v>
      </c>
      <c r="BR741">
        <v>1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s="18">
        <v>0</v>
      </c>
      <c r="BZ741">
        <v>0</v>
      </c>
      <c r="CA741">
        <v>0</v>
      </c>
      <c r="CB741">
        <v>1</v>
      </c>
      <c r="CC741" s="18">
        <v>0</v>
      </c>
      <c r="CD741">
        <v>0</v>
      </c>
      <c r="CE741">
        <v>0</v>
      </c>
      <c r="CF741">
        <v>0</v>
      </c>
      <c r="CG741">
        <v>0</v>
      </c>
      <c r="CH741" s="18">
        <v>0</v>
      </c>
      <c r="CI741">
        <v>0</v>
      </c>
      <c r="CJ741">
        <v>0</v>
      </c>
      <c r="CK741">
        <v>1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 s="18">
        <v>1</v>
      </c>
      <c r="DD741" s="34" t="s">
        <v>86</v>
      </c>
    </row>
    <row r="742" spans="1:108" x14ac:dyDescent="0.25">
      <c r="A742">
        <v>741</v>
      </c>
      <c r="B742">
        <v>46</v>
      </c>
      <c r="C742" s="25" t="s">
        <v>506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>
        <v>0</v>
      </c>
      <c r="O742" s="9">
        <v>1</v>
      </c>
      <c r="P742" s="8">
        <v>0</v>
      </c>
      <c r="Q742" s="9">
        <v>0</v>
      </c>
      <c r="R742" s="9">
        <v>1</v>
      </c>
      <c r="S742" s="9">
        <v>0</v>
      </c>
      <c r="T742" s="9">
        <v>0</v>
      </c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Y742" s="7">
        <v>8.1310000000000002</v>
      </c>
      <c r="Z742" s="7">
        <v>18.23</v>
      </c>
      <c r="AA742" s="9">
        <v>1</v>
      </c>
      <c r="AB742" s="9">
        <v>0</v>
      </c>
      <c r="AC742" s="9">
        <v>0</v>
      </c>
      <c r="AD742" s="9">
        <v>1</v>
      </c>
      <c r="AE742" s="9">
        <v>0</v>
      </c>
      <c r="AF742" s="9">
        <v>0</v>
      </c>
      <c r="AG742" s="8">
        <v>0</v>
      </c>
      <c r="AH742" s="9">
        <v>0</v>
      </c>
      <c r="AI742" s="30">
        <v>1</v>
      </c>
      <c r="AJ742" s="9">
        <v>0</v>
      </c>
      <c r="AK742" s="30">
        <v>1</v>
      </c>
      <c r="AL742" s="21">
        <v>2007</v>
      </c>
      <c r="AM742" s="23">
        <f t="shared" si="528"/>
        <v>7.604396348796338</v>
      </c>
      <c r="AN742" s="33" t="s">
        <v>106</v>
      </c>
      <c r="AO742" s="33" t="s">
        <v>106</v>
      </c>
      <c r="AP742" s="33" t="s">
        <v>106</v>
      </c>
      <c r="AQ742" s="43" t="s">
        <v>106</v>
      </c>
      <c r="AR742" s="33" t="s">
        <v>106</v>
      </c>
      <c r="AS742" s="43" t="s">
        <v>106</v>
      </c>
      <c r="AT742" s="42">
        <v>0.60299999999999998</v>
      </c>
      <c r="AU742" s="18">
        <v>0.39700000000000002</v>
      </c>
      <c r="AV742" s="39">
        <f t="shared" si="550"/>
        <v>0.78200000000000003</v>
      </c>
      <c r="AW742" s="40">
        <v>0.218</v>
      </c>
      <c r="AX742" s="39">
        <f t="shared" si="550"/>
        <v>0.77600000000000002</v>
      </c>
      <c r="AY742" s="40">
        <v>0.224</v>
      </c>
      <c r="BA742" s="18"/>
      <c r="BB742">
        <f t="shared" si="551"/>
        <v>0.18899999999999995</v>
      </c>
      <c r="BC742" s="18">
        <v>0.81100000000000005</v>
      </c>
      <c r="BD742" s="18" t="s">
        <v>29</v>
      </c>
      <c r="BK742" s="18"/>
      <c r="BN742" s="18"/>
      <c r="BQ742" s="96">
        <f t="shared" si="552"/>
        <v>32.361000000000004</v>
      </c>
      <c r="BR742">
        <v>1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s="18">
        <v>0</v>
      </c>
      <c r="BZ742">
        <v>0</v>
      </c>
      <c r="CA742">
        <v>0</v>
      </c>
      <c r="CB742">
        <v>1</v>
      </c>
      <c r="CC742" s="18">
        <v>0</v>
      </c>
      <c r="CD742">
        <v>0</v>
      </c>
      <c r="CE742">
        <v>0</v>
      </c>
      <c r="CF742">
        <v>0</v>
      </c>
      <c r="CG742">
        <v>0</v>
      </c>
      <c r="CH742" s="18">
        <v>0</v>
      </c>
      <c r="CI742">
        <v>0</v>
      </c>
      <c r="CJ742">
        <v>0</v>
      </c>
      <c r="CK742">
        <v>1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 s="18">
        <v>1</v>
      </c>
      <c r="DD742" s="34" t="s">
        <v>86</v>
      </c>
    </row>
    <row r="743" spans="1:108" x14ac:dyDescent="0.25">
      <c r="A743">
        <v>742</v>
      </c>
      <c r="B743">
        <v>46</v>
      </c>
      <c r="C743" s="25" t="s">
        <v>506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>
        <v>0</v>
      </c>
      <c r="O743" s="9">
        <v>1</v>
      </c>
      <c r="P743" s="8">
        <v>0</v>
      </c>
      <c r="Q743" s="9">
        <v>0</v>
      </c>
      <c r="R743" s="9">
        <v>1</v>
      </c>
      <c r="S743" s="9">
        <v>0</v>
      </c>
      <c r="T743" s="9">
        <v>0</v>
      </c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Y743" s="7">
        <v>8.1310000000000002</v>
      </c>
      <c r="Z743" s="7">
        <v>18.23</v>
      </c>
      <c r="AA743" s="9">
        <v>1</v>
      </c>
      <c r="AB743" s="9">
        <v>0</v>
      </c>
      <c r="AC743" s="9">
        <v>0</v>
      </c>
      <c r="AD743" s="9">
        <v>1</v>
      </c>
      <c r="AE743" s="9">
        <v>0</v>
      </c>
      <c r="AF743" s="9">
        <v>0</v>
      </c>
      <c r="AG743" s="8">
        <v>0</v>
      </c>
      <c r="AH743" s="9">
        <v>0</v>
      </c>
      <c r="AI743" s="30">
        <v>1</v>
      </c>
      <c r="AJ743" s="9">
        <v>0</v>
      </c>
      <c r="AK743" s="30">
        <v>1</v>
      </c>
      <c r="AL743" s="21">
        <v>2007</v>
      </c>
      <c r="AM743" s="23">
        <f t="shared" si="528"/>
        <v>7.604396348796338</v>
      </c>
      <c r="AN743" s="33" t="s">
        <v>106</v>
      </c>
      <c r="AO743" s="33" t="s">
        <v>106</v>
      </c>
      <c r="AP743" s="33" t="s">
        <v>106</v>
      </c>
      <c r="AQ743" s="43" t="s">
        <v>106</v>
      </c>
      <c r="AR743" s="33" t="s">
        <v>106</v>
      </c>
      <c r="AS743" s="43" t="s">
        <v>106</v>
      </c>
      <c r="AT743" s="42">
        <v>0.60299999999999998</v>
      </c>
      <c r="AU743" s="18">
        <v>0.39700000000000002</v>
      </c>
      <c r="AV743" s="39">
        <f t="shared" si="550"/>
        <v>0.78200000000000003</v>
      </c>
      <c r="AW743" s="40">
        <v>0.218</v>
      </c>
      <c r="AX743" s="39">
        <f t="shared" si="550"/>
        <v>0.77600000000000002</v>
      </c>
      <c r="AY743" s="40">
        <v>0.224</v>
      </c>
      <c r="BA743" s="18"/>
      <c r="BB743">
        <f t="shared" si="551"/>
        <v>0.18899999999999995</v>
      </c>
      <c r="BC743" s="18">
        <v>0.81100000000000005</v>
      </c>
      <c r="BD743" s="18" t="s">
        <v>29</v>
      </c>
      <c r="BK743" s="18"/>
      <c r="BN743" s="18"/>
      <c r="BQ743" s="96">
        <f t="shared" si="552"/>
        <v>32.361000000000004</v>
      </c>
      <c r="BR743">
        <v>1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s="18">
        <v>0</v>
      </c>
      <c r="BZ743">
        <v>0</v>
      </c>
      <c r="CA743">
        <v>0</v>
      </c>
      <c r="CB743">
        <v>1</v>
      </c>
      <c r="CC743" s="18">
        <v>0</v>
      </c>
      <c r="CD743">
        <v>0</v>
      </c>
      <c r="CE743">
        <v>0</v>
      </c>
      <c r="CF743">
        <v>0</v>
      </c>
      <c r="CG743">
        <v>0</v>
      </c>
      <c r="CH743" s="18">
        <v>0</v>
      </c>
      <c r="CI743">
        <v>0</v>
      </c>
      <c r="CJ743">
        <v>0</v>
      </c>
      <c r="CK743">
        <v>1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 s="18">
        <v>1</v>
      </c>
      <c r="DD743" s="34" t="s">
        <v>86</v>
      </c>
    </row>
    <row r="744" spans="1:108" x14ac:dyDescent="0.25">
      <c r="A744">
        <v>743</v>
      </c>
      <c r="B744">
        <v>46</v>
      </c>
      <c r="C744" s="25" t="s">
        <v>506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>
        <v>0</v>
      </c>
      <c r="O744" s="9">
        <v>1</v>
      </c>
      <c r="P744" s="8">
        <v>0</v>
      </c>
      <c r="Q744" s="9">
        <v>0</v>
      </c>
      <c r="R744" s="9">
        <v>1</v>
      </c>
      <c r="S744" s="9">
        <v>0</v>
      </c>
      <c r="T744" s="9">
        <v>0</v>
      </c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Y744" s="7">
        <v>8.3089999999999993</v>
      </c>
      <c r="Z744" s="7">
        <v>18.27</v>
      </c>
      <c r="AA744" s="9">
        <v>1</v>
      </c>
      <c r="AB744" s="9">
        <v>0</v>
      </c>
      <c r="AC744" s="9">
        <v>0</v>
      </c>
      <c r="AD744" s="9">
        <v>1</v>
      </c>
      <c r="AE744" s="9">
        <v>0</v>
      </c>
      <c r="AF744" s="9">
        <v>0</v>
      </c>
      <c r="AG744" s="8">
        <v>0</v>
      </c>
      <c r="AH744" s="9">
        <v>0</v>
      </c>
      <c r="AI744" s="30">
        <v>1</v>
      </c>
      <c r="AJ744" s="9">
        <v>0</v>
      </c>
      <c r="AK744" s="30">
        <v>1</v>
      </c>
      <c r="AL744" s="21">
        <v>2007</v>
      </c>
      <c r="AM744" s="23">
        <f t="shared" si="528"/>
        <v>7.604396348796338</v>
      </c>
      <c r="AN744" s="33" t="s">
        <v>106</v>
      </c>
      <c r="AO744" s="33" t="s">
        <v>106</v>
      </c>
      <c r="AP744" s="33" t="s">
        <v>106</v>
      </c>
      <c r="AQ744" s="43" t="s">
        <v>106</v>
      </c>
      <c r="AR744" s="33" t="s">
        <v>106</v>
      </c>
      <c r="AS744" s="43" t="s">
        <v>106</v>
      </c>
      <c r="AT744" s="42">
        <v>0.60299999999999998</v>
      </c>
      <c r="AU744" s="18">
        <v>0.39700000000000002</v>
      </c>
      <c r="AV744" s="39">
        <f t="shared" si="550"/>
        <v>0.77900000000000003</v>
      </c>
      <c r="AW744" s="40">
        <v>0.221</v>
      </c>
      <c r="AX744" s="39">
        <f t="shared" si="550"/>
        <v>0.78800000000000003</v>
      </c>
      <c r="AY744" s="40">
        <v>0.21199999999999999</v>
      </c>
      <c r="BA744" s="18"/>
      <c r="BB744">
        <f t="shared" si="551"/>
        <v>0.18100000000000005</v>
      </c>
      <c r="BC744" s="18">
        <v>0.81899999999999995</v>
      </c>
      <c r="BD744" s="18" t="s">
        <v>29</v>
      </c>
      <c r="BK744" s="18"/>
      <c r="BN744" s="18"/>
      <c r="BQ744" s="96">
        <f t="shared" si="552"/>
        <v>32.579000000000001</v>
      </c>
      <c r="BR744">
        <v>1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s="18">
        <v>0</v>
      </c>
      <c r="BZ744">
        <v>0</v>
      </c>
      <c r="CA744">
        <v>0</v>
      </c>
      <c r="CB744">
        <v>1</v>
      </c>
      <c r="CC744" s="18">
        <v>0</v>
      </c>
      <c r="CD744">
        <v>0</v>
      </c>
      <c r="CE744">
        <v>0</v>
      </c>
      <c r="CF744">
        <v>0</v>
      </c>
      <c r="CG744">
        <v>0</v>
      </c>
      <c r="CH744" s="18">
        <v>0</v>
      </c>
      <c r="CI744">
        <v>0</v>
      </c>
      <c r="CJ744">
        <v>0</v>
      </c>
      <c r="CK744">
        <v>1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 s="18">
        <v>1</v>
      </c>
      <c r="DD744" s="34" t="s">
        <v>86</v>
      </c>
    </row>
    <row r="745" spans="1:108" x14ac:dyDescent="0.25">
      <c r="A745">
        <v>744</v>
      </c>
      <c r="B745">
        <v>46</v>
      </c>
      <c r="C745" s="25" t="s">
        <v>506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>
        <v>0</v>
      </c>
      <c r="O745" s="9">
        <v>1</v>
      </c>
      <c r="P745" s="8">
        <v>0</v>
      </c>
      <c r="Q745" s="9">
        <v>0</v>
      </c>
      <c r="R745" s="9">
        <v>1</v>
      </c>
      <c r="S745" s="9">
        <v>0</v>
      </c>
      <c r="T745" s="9">
        <v>0</v>
      </c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Y745" s="7">
        <v>8.3089999999999993</v>
      </c>
      <c r="Z745" s="7">
        <v>18.27</v>
      </c>
      <c r="AA745" s="9">
        <v>1</v>
      </c>
      <c r="AB745" s="9">
        <v>0</v>
      </c>
      <c r="AC745" s="9">
        <v>0</v>
      </c>
      <c r="AD745" s="9">
        <v>1</v>
      </c>
      <c r="AE745" s="9">
        <v>0</v>
      </c>
      <c r="AF745" s="9">
        <v>0</v>
      </c>
      <c r="AG745" s="8">
        <v>0</v>
      </c>
      <c r="AH745" s="9">
        <v>0</v>
      </c>
      <c r="AI745" s="30">
        <v>1</v>
      </c>
      <c r="AJ745" s="9">
        <v>0</v>
      </c>
      <c r="AK745" s="30">
        <v>1</v>
      </c>
      <c r="AL745" s="21">
        <v>2007</v>
      </c>
      <c r="AM745" s="23">
        <f t="shared" si="528"/>
        <v>7.604396348796338</v>
      </c>
      <c r="AN745" s="33" t="s">
        <v>106</v>
      </c>
      <c r="AO745" s="33" t="s">
        <v>106</v>
      </c>
      <c r="AP745" s="33" t="s">
        <v>106</v>
      </c>
      <c r="AQ745" s="43" t="s">
        <v>106</v>
      </c>
      <c r="AR745" s="33" t="s">
        <v>106</v>
      </c>
      <c r="AS745" s="43" t="s">
        <v>106</v>
      </c>
      <c r="AT745" s="42">
        <v>0.60299999999999998</v>
      </c>
      <c r="AU745" s="18">
        <v>0.39700000000000002</v>
      </c>
      <c r="AV745" s="39">
        <f t="shared" si="550"/>
        <v>0.77900000000000003</v>
      </c>
      <c r="AW745" s="40">
        <v>0.221</v>
      </c>
      <c r="AX745" s="39">
        <f t="shared" si="550"/>
        <v>0.78800000000000003</v>
      </c>
      <c r="AY745" s="40">
        <v>0.21199999999999999</v>
      </c>
      <c r="BA745" s="18"/>
      <c r="BB745">
        <f t="shared" si="551"/>
        <v>0.18100000000000005</v>
      </c>
      <c r="BC745" s="18">
        <v>0.81899999999999995</v>
      </c>
      <c r="BD745" s="18" t="s">
        <v>29</v>
      </c>
      <c r="BK745" s="18"/>
      <c r="BN745" s="18"/>
      <c r="BQ745" s="96">
        <f t="shared" si="552"/>
        <v>32.579000000000001</v>
      </c>
      <c r="BR745">
        <v>1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s="18">
        <v>0</v>
      </c>
      <c r="BZ745">
        <v>0</v>
      </c>
      <c r="CA745">
        <v>0</v>
      </c>
      <c r="CB745">
        <v>1</v>
      </c>
      <c r="CC745" s="18">
        <v>0</v>
      </c>
      <c r="CD745">
        <v>0</v>
      </c>
      <c r="CE745">
        <v>0</v>
      </c>
      <c r="CF745">
        <v>0</v>
      </c>
      <c r="CG745">
        <v>0</v>
      </c>
      <c r="CH745" s="18">
        <v>0</v>
      </c>
      <c r="CI745">
        <v>0</v>
      </c>
      <c r="CJ745">
        <v>0</v>
      </c>
      <c r="CK745">
        <v>1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 s="18">
        <v>1</v>
      </c>
      <c r="DD745" s="34" t="s">
        <v>86</v>
      </c>
    </row>
    <row r="746" spans="1:108" x14ac:dyDescent="0.25">
      <c r="A746">
        <v>745</v>
      </c>
      <c r="B746">
        <v>46</v>
      </c>
      <c r="C746" s="25" t="s">
        <v>506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>
        <v>0</v>
      </c>
      <c r="O746" s="9">
        <v>1</v>
      </c>
      <c r="P746" s="8">
        <v>0</v>
      </c>
      <c r="Q746" s="9">
        <v>0</v>
      </c>
      <c r="R746" s="9">
        <v>1</v>
      </c>
      <c r="S746" s="9">
        <v>0</v>
      </c>
      <c r="T746" s="9">
        <v>0</v>
      </c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Y746" s="7">
        <v>8.4130000000000003</v>
      </c>
      <c r="Z746" s="7">
        <v>18.39</v>
      </c>
      <c r="AA746" s="9">
        <v>1</v>
      </c>
      <c r="AB746" s="9">
        <v>0</v>
      </c>
      <c r="AC746" s="9">
        <v>0</v>
      </c>
      <c r="AD746" s="9">
        <v>1</v>
      </c>
      <c r="AE746" s="9">
        <v>0</v>
      </c>
      <c r="AF746" s="9">
        <v>0</v>
      </c>
      <c r="AG746" s="8">
        <v>0</v>
      </c>
      <c r="AH746" s="9">
        <v>0</v>
      </c>
      <c r="AI746" s="30">
        <v>1</v>
      </c>
      <c r="AJ746" s="9">
        <v>0</v>
      </c>
      <c r="AK746" s="30">
        <v>1</v>
      </c>
      <c r="AL746" s="21">
        <v>2007</v>
      </c>
      <c r="AM746" s="23">
        <f t="shared" si="528"/>
        <v>7.604396348796338</v>
      </c>
      <c r="AN746" s="33" t="s">
        <v>106</v>
      </c>
      <c r="AO746" s="33" t="s">
        <v>106</v>
      </c>
      <c r="AP746" s="33" t="s">
        <v>106</v>
      </c>
      <c r="AQ746" s="43" t="s">
        <v>106</v>
      </c>
      <c r="AR746" s="33" t="s">
        <v>106</v>
      </c>
      <c r="AS746" s="43" t="s">
        <v>106</v>
      </c>
      <c r="AT746" s="42">
        <v>0.60299999999999998</v>
      </c>
      <c r="AU746" s="18">
        <v>0.39700000000000002</v>
      </c>
      <c r="AV746" s="39">
        <f t="shared" si="550"/>
        <v>0.77900000000000003</v>
      </c>
      <c r="AW746" s="40">
        <v>0.221</v>
      </c>
      <c r="AX746" s="39">
        <f t="shared" si="550"/>
        <v>0.78700000000000003</v>
      </c>
      <c r="AY746" s="40">
        <v>0.21299999999999999</v>
      </c>
      <c r="BA746" s="18"/>
      <c r="BB746">
        <f t="shared" si="551"/>
        <v>0.17500000000000004</v>
      </c>
      <c r="BC746" s="18">
        <v>0.82499999999999996</v>
      </c>
      <c r="BD746" s="18" t="s">
        <v>29</v>
      </c>
      <c r="BK746" s="18"/>
      <c r="BN746" s="18"/>
      <c r="BQ746" s="96">
        <f t="shared" si="552"/>
        <v>32.802999999999997</v>
      </c>
      <c r="BR746">
        <v>1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s="18">
        <v>0</v>
      </c>
      <c r="BZ746">
        <v>0</v>
      </c>
      <c r="CA746">
        <v>0</v>
      </c>
      <c r="CB746">
        <v>1</v>
      </c>
      <c r="CC746" s="18">
        <v>0</v>
      </c>
      <c r="CD746">
        <v>0</v>
      </c>
      <c r="CE746">
        <v>0</v>
      </c>
      <c r="CF746">
        <v>0</v>
      </c>
      <c r="CG746">
        <v>0</v>
      </c>
      <c r="CH746" s="18">
        <v>0</v>
      </c>
      <c r="CI746">
        <v>0</v>
      </c>
      <c r="CJ746">
        <v>0</v>
      </c>
      <c r="CK746">
        <v>1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 s="18">
        <v>1</v>
      </c>
      <c r="DD746" s="34" t="s">
        <v>86</v>
      </c>
    </row>
    <row r="747" spans="1:108" x14ac:dyDescent="0.25">
      <c r="A747">
        <v>746</v>
      </c>
      <c r="B747">
        <v>46</v>
      </c>
      <c r="C747" s="25" t="s">
        <v>506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>
        <v>0</v>
      </c>
      <c r="O747" s="9">
        <v>1</v>
      </c>
      <c r="P747" s="8">
        <v>0</v>
      </c>
      <c r="Q747" s="9">
        <v>0</v>
      </c>
      <c r="R747" s="9">
        <v>1</v>
      </c>
      <c r="S747" s="9">
        <v>0</v>
      </c>
      <c r="T747" s="9">
        <v>0</v>
      </c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Y747" s="7">
        <v>8.4130000000000003</v>
      </c>
      <c r="Z747" s="7">
        <v>18.39</v>
      </c>
      <c r="AA747" s="9">
        <v>1</v>
      </c>
      <c r="AB747" s="9">
        <v>0</v>
      </c>
      <c r="AC747" s="9">
        <v>0</v>
      </c>
      <c r="AD747" s="9">
        <v>1</v>
      </c>
      <c r="AE747" s="9">
        <v>0</v>
      </c>
      <c r="AF747" s="9">
        <v>0</v>
      </c>
      <c r="AG747" s="8">
        <v>0</v>
      </c>
      <c r="AH747" s="9">
        <v>0</v>
      </c>
      <c r="AI747" s="30">
        <v>1</v>
      </c>
      <c r="AJ747" s="9">
        <v>0</v>
      </c>
      <c r="AK747" s="30">
        <v>1</v>
      </c>
      <c r="AL747" s="21">
        <v>2007</v>
      </c>
      <c r="AM747" s="23">
        <f t="shared" si="528"/>
        <v>7.604396348796338</v>
      </c>
      <c r="AN747" s="33" t="s">
        <v>106</v>
      </c>
      <c r="AO747" s="33" t="s">
        <v>106</v>
      </c>
      <c r="AP747" s="33" t="s">
        <v>106</v>
      </c>
      <c r="AQ747" s="43" t="s">
        <v>106</v>
      </c>
      <c r="AR747" s="33" t="s">
        <v>106</v>
      </c>
      <c r="AS747" s="43" t="s">
        <v>106</v>
      </c>
      <c r="AT747" s="42">
        <v>0.60299999999999998</v>
      </c>
      <c r="AU747" s="18">
        <v>0.39700000000000002</v>
      </c>
      <c r="AV747" s="39">
        <f t="shared" si="550"/>
        <v>0.77900000000000003</v>
      </c>
      <c r="AW747" s="40">
        <v>0.221</v>
      </c>
      <c r="AX747" s="39">
        <f t="shared" si="550"/>
        <v>0.78700000000000003</v>
      </c>
      <c r="AY747" s="40">
        <v>0.21299999999999999</v>
      </c>
      <c r="BA747" s="18"/>
      <c r="BB747">
        <f t="shared" si="551"/>
        <v>0.17500000000000004</v>
      </c>
      <c r="BC747" s="18">
        <v>0.82499999999999996</v>
      </c>
      <c r="BD747" s="18" t="s">
        <v>29</v>
      </c>
      <c r="BK747" s="18"/>
      <c r="BN747" s="18"/>
      <c r="BQ747" s="96">
        <f t="shared" si="552"/>
        <v>32.802999999999997</v>
      </c>
      <c r="BR747">
        <v>1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s="18">
        <v>0</v>
      </c>
      <c r="BZ747">
        <v>0</v>
      </c>
      <c r="CA747">
        <v>0</v>
      </c>
      <c r="CB747">
        <v>1</v>
      </c>
      <c r="CC747" s="18">
        <v>0</v>
      </c>
      <c r="CD747">
        <v>0</v>
      </c>
      <c r="CE747">
        <v>0</v>
      </c>
      <c r="CF747">
        <v>0</v>
      </c>
      <c r="CG747">
        <v>0</v>
      </c>
      <c r="CH747" s="18">
        <v>0</v>
      </c>
      <c r="CI747">
        <v>0</v>
      </c>
      <c r="CJ747">
        <v>0</v>
      </c>
      <c r="CK747">
        <v>1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 s="18">
        <v>1</v>
      </c>
      <c r="DD747" s="34" t="s">
        <v>86</v>
      </c>
    </row>
    <row r="748" spans="1:108" x14ac:dyDescent="0.25">
      <c r="A748">
        <v>747</v>
      </c>
      <c r="B748">
        <v>46</v>
      </c>
      <c r="C748" s="25" t="s">
        <v>506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>
        <v>0</v>
      </c>
      <c r="O748" s="9">
        <v>1</v>
      </c>
      <c r="P748" s="8">
        <v>0</v>
      </c>
      <c r="Q748" s="9">
        <v>0</v>
      </c>
      <c r="R748" s="9">
        <v>1</v>
      </c>
      <c r="S748" s="9">
        <v>0</v>
      </c>
      <c r="T748" s="9">
        <v>0</v>
      </c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Y748" s="7">
        <v>7.95</v>
      </c>
      <c r="Z748" s="7">
        <v>18.16</v>
      </c>
      <c r="AA748" s="9">
        <v>1</v>
      </c>
      <c r="AB748" s="9">
        <v>0</v>
      </c>
      <c r="AC748" s="9">
        <v>0</v>
      </c>
      <c r="AD748" s="9">
        <v>1</v>
      </c>
      <c r="AE748" s="9">
        <v>0</v>
      </c>
      <c r="AF748" s="9">
        <v>0</v>
      </c>
      <c r="AG748" s="8">
        <v>0</v>
      </c>
      <c r="AH748" s="9">
        <v>0</v>
      </c>
      <c r="AI748" s="30">
        <v>1</v>
      </c>
      <c r="AJ748" s="9">
        <v>0</v>
      </c>
      <c r="AK748" s="30">
        <v>1</v>
      </c>
      <c r="AL748" s="21">
        <v>2007</v>
      </c>
      <c r="AM748" s="23">
        <f t="shared" si="528"/>
        <v>7.604396348796338</v>
      </c>
      <c r="AN748" s="33" t="s">
        <v>106</v>
      </c>
      <c r="AO748" s="33" t="s">
        <v>106</v>
      </c>
      <c r="AP748" s="33" t="s">
        <v>106</v>
      </c>
      <c r="AQ748" s="43" t="s">
        <v>106</v>
      </c>
      <c r="AR748" s="33" t="s">
        <v>106</v>
      </c>
      <c r="AS748" s="43" t="s">
        <v>106</v>
      </c>
      <c r="AT748" s="42">
        <v>0.60299999999999998</v>
      </c>
      <c r="AU748" s="18">
        <v>0.39700000000000002</v>
      </c>
      <c r="AV748" s="39">
        <f t="shared" si="550"/>
        <v>0.78400000000000003</v>
      </c>
      <c r="AW748" s="40">
        <v>0.216</v>
      </c>
      <c r="AX748" s="39">
        <f t="shared" si="550"/>
        <v>0.76300000000000001</v>
      </c>
      <c r="AY748" s="40">
        <v>0.23699999999999999</v>
      </c>
      <c r="BA748" s="18"/>
      <c r="BB748">
        <f t="shared" si="551"/>
        <v>0.20799999999999996</v>
      </c>
      <c r="BC748" s="18">
        <v>0.79200000000000004</v>
      </c>
      <c r="BD748" s="18" t="s">
        <v>29</v>
      </c>
      <c r="BK748" s="18"/>
      <c r="BN748" s="18"/>
      <c r="BQ748" s="96">
        <f t="shared" si="552"/>
        <v>32.11</v>
      </c>
      <c r="BR748">
        <v>1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s="18">
        <v>0</v>
      </c>
      <c r="BZ748">
        <v>0</v>
      </c>
      <c r="CA748">
        <v>0</v>
      </c>
      <c r="CB748">
        <v>1</v>
      </c>
      <c r="CC748" s="18">
        <v>0</v>
      </c>
      <c r="CD748">
        <v>0</v>
      </c>
      <c r="CE748">
        <v>0</v>
      </c>
      <c r="CF748">
        <v>0</v>
      </c>
      <c r="CG748">
        <v>0</v>
      </c>
      <c r="CH748" s="18">
        <v>0</v>
      </c>
      <c r="CI748">
        <v>0</v>
      </c>
      <c r="CJ748">
        <v>0</v>
      </c>
      <c r="CK748">
        <v>1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 s="18">
        <v>1</v>
      </c>
      <c r="DD748" s="34" t="s">
        <v>86</v>
      </c>
    </row>
    <row r="749" spans="1:108" x14ac:dyDescent="0.25">
      <c r="A749">
        <v>748</v>
      </c>
      <c r="B749">
        <v>46</v>
      </c>
      <c r="C749" s="25" t="s">
        <v>506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>
        <v>0</v>
      </c>
      <c r="O749" s="9">
        <v>1</v>
      </c>
      <c r="P749" s="8">
        <v>0</v>
      </c>
      <c r="Q749" s="9">
        <v>0</v>
      </c>
      <c r="R749" s="9">
        <v>1</v>
      </c>
      <c r="S749" s="9">
        <v>0</v>
      </c>
      <c r="T749" s="9">
        <v>0</v>
      </c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Y749" s="7">
        <v>7.95</v>
      </c>
      <c r="Z749" s="7">
        <v>18.16</v>
      </c>
      <c r="AA749" s="9">
        <v>1</v>
      </c>
      <c r="AB749" s="9">
        <v>0</v>
      </c>
      <c r="AC749" s="9">
        <v>0</v>
      </c>
      <c r="AD749" s="9">
        <v>1</v>
      </c>
      <c r="AE749" s="9">
        <v>0</v>
      </c>
      <c r="AF749" s="9">
        <v>0</v>
      </c>
      <c r="AG749" s="8">
        <v>0</v>
      </c>
      <c r="AH749" s="9">
        <v>0</v>
      </c>
      <c r="AI749" s="30">
        <v>1</v>
      </c>
      <c r="AJ749" s="9">
        <v>0</v>
      </c>
      <c r="AK749" s="30">
        <v>1</v>
      </c>
      <c r="AL749" s="21">
        <v>2007</v>
      </c>
      <c r="AM749" s="23">
        <f t="shared" si="528"/>
        <v>7.604396348796338</v>
      </c>
      <c r="AN749" s="33" t="s">
        <v>106</v>
      </c>
      <c r="AO749" s="33" t="s">
        <v>106</v>
      </c>
      <c r="AP749" s="33" t="s">
        <v>106</v>
      </c>
      <c r="AQ749" s="43" t="s">
        <v>106</v>
      </c>
      <c r="AR749" s="33" t="s">
        <v>106</v>
      </c>
      <c r="AS749" s="43" t="s">
        <v>106</v>
      </c>
      <c r="AT749" s="42">
        <v>0.60299999999999998</v>
      </c>
      <c r="AU749" s="18">
        <v>0.39700000000000002</v>
      </c>
      <c r="AV749" s="39">
        <f t="shared" si="550"/>
        <v>0.78400000000000003</v>
      </c>
      <c r="AW749" s="40">
        <v>0.216</v>
      </c>
      <c r="AX749" s="39">
        <f t="shared" si="550"/>
        <v>0.76300000000000001</v>
      </c>
      <c r="AY749" s="40">
        <v>0.23699999999999999</v>
      </c>
      <c r="BA749" s="18"/>
      <c r="BB749">
        <f t="shared" si="551"/>
        <v>0.20799999999999996</v>
      </c>
      <c r="BC749" s="18">
        <v>0.79200000000000004</v>
      </c>
      <c r="BD749" s="18" t="s">
        <v>29</v>
      </c>
      <c r="BK749" s="18"/>
      <c r="BN749" s="18"/>
      <c r="BQ749" s="96">
        <f t="shared" si="552"/>
        <v>32.11</v>
      </c>
      <c r="BR749">
        <v>1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s="18">
        <v>0</v>
      </c>
      <c r="BZ749">
        <v>0</v>
      </c>
      <c r="CA749">
        <v>0</v>
      </c>
      <c r="CB749">
        <v>1</v>
      </c>
      <c r="CC749" s="18">
        <v>0</v>
      </c>
      <c r="CD749">
        <v>0</v>
      </c>
      <c r="CE749">
        <v>0</v>
      </c>
      <c r="CF749">
        <v>0</v>
      </c>
      <c r="CG749">
        <v>0</v>
      </c>
      <c r="CH749" s="18">
        <v>0</v>
      </c>
      <c r="CI749">
        <v>0</v>
      </c>
      <c r="CJ749">
        <v>0</v>
      </c>
      <c r="CK749">
        <v>1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 s="18">
        <v>1</v>
      </c>
      <c r="DD749" s="34" t="s">
        <v>86</v>
      </c>
    </row>
    <row r="750" spans="1:108" x14ac:dyDescent="0.25">
      <c r="A750">
        <v>749</v>
      </c>
      <c r="B750">
        <v>46</v>
      </c>
      <c r="C750" s="25" t="s">
        <v>506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>
        <v>0</v>
      </c>
      <c r="O750" s="9">
        <v>1</v>
      </c>
      <c r="P750" s="8">
        <v>0</v>
      </c>
      <c r="Q750" s="9">
        <v>0</v>
      </c>
      <c r="R750" s="9">
        <v>1</v>
      </c>
      <c r="S750" s="9">
        <v>0</v>
      </c>
      <c r="T750" s="9">
        <v>0</v>
      </c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Y750" s="7">
        <v>8.1310000000000002</v>
      </c>
      <c r="Z750" s="7">
        <v>18.23</v>
      </c>
      <c r="AA750" s="9">
        <v>1</v>
      </c>
      <c r="AB750" s="9">
        <v>0</v>
      </c>
      <c r="AC750" s="9">
        <v>0</v>
      </c>
      <c r="AD750" s="9">
        <v>1</v>
      </c>
      <c r="AE750" s="9">
        <v>0</v>
      </c>
      <c r="AF750" s="9">
        <v>0</v>
      </c>
      <c r="AG750" s="8">
        <v>0</v>
      </c>
      <c r="AH750" s="9">
        <v>0</v>
      </c>
      <c r="AI750" s="30">
        <v>1</v>
      </c>
      <c r="AJ750" s="9">
        <v>0</v>
      </c>
      <c r="AK750" s="30">
        <v>1</v>
      </c>
      <c r="AL750" s="21">
        <v>2007</v>
      </c>
      <c r="AM750" s="23">
        <f t="shared" si="528"/>
        <v>7.604396348796338</v>
      </c>
      <c r="AN750" s="33" t="s">
        <v>106</v>
      </c>
      <c r="AO750" s="33" t="s">
        <v>106</v>
      </c>
      <c r="AP750" s="33" t="s">
        <v>106</v>
      </c>
      <c r="AQ750" s="43" t="s">
        <v>106</v>
      </c>
      <c r="AR750" s="33" t="s">
        <v>106</v>
      </c>
      <c r="AS750" s="43" t="s">
        <v>106</v>
      </c>
      <c r="AT750" s="42">
        <v>0.60299999999999998</v>
      </c>
      <c r="AU750" s="18">
        <v>0.39700000000000002</v>
      </c>
      <c r="AV750" s="39">
        <f t="shared" si="550"/>
        <v>0.78200000000000003</v>
      </c>
      <c r="AW750" s="40">
        <v>0.218</v>
      </c>
      <c r="AX750" s="39">
        <f t="shared" si="550"/>
        <v>0.77600000000000002</v>
      </c>
      <c r="AY750" s="40">
        <v>0.224</v>
      </c>
      <c r="BA750" s="18"/>
      <c r="BB750">
        <f t="shared" si="551"/>
        <v>0.18899999999999995</v>
      </c>
      <c r="BC750" s="18">
        <v>0.81100000000000005</v>
      </c>
      <c r="BD750" s="18" t="s">
        <v>29</v>
      </c>
      <c r="BK750" s="18"/>
      <c r="BN750" s="18"/>
      <c r="BQ750" s="96">
        <f t="shared" si="552"/>
        <v>32.361000000000004</v>
      </c>
      <c r="BR750">
        <v>1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s="18">
        <v>0</v>
      </c>
      <c r="BZ750">
        <v>0</v>
      </c>
      <c r="CA750">
        <v>0</v>
      </c>
      <c r="CB750">
        <v>1</v>
      </c>
      <c r="CC750" s="18">
        <v>0</v>
      </c>
      <c r="CD750">
        <v>0</v>
      </c>
      <c r="CE750">
        <v>0</v>
      </c>
      <c r="CF750">
        <v>0</v>
      </c>
      <c r="CG750">
        <v>0</v>
      </c>
      <c r="CH750" s="18">
        <v>0</v>
      </c>
      <c r="CI750">
        <v>0</v>
      </c>
      <c r="CJ750">
        <v>0</v>
      </c>
      <c r="CK750">
        <v>1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 s="18">
        <v>1</v>
      </c>
      <c r="DD750" s="34" t="s">
        <v>86</v>
      </c>
    </row>
    <row r="751" spans="1:108" x14ac:dyDescent="0.25">
      <c r="A751">
        <v>750</v>
      </c>
      <c r="B751">
        <v>46</v>
      </c>
      <c r="C751" s="25" t="s">
        <v>506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>
        <v>0</v>
      </c>
      <c r="O751" s="9">
        <v>1</v>
      </c>
      <c r="P751" s="8">
        <v>0</v>
      </c>
      <c r="Q751" s="9">
        <v>0</v>
      </c>
      <c r="R751" s="9">
        <v>1</v>
      </c>
      <c r="S751" s="9">
        <v>0</v>
      </c>
      <c r="T751" s="9">
        <v>0</v>
      </c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Y751" s="7">
        <v>8.1310000000000002</v>
      </c>
      <c r="Z751" s="7">
        <v>18.23</v>
      </c>
      <c r="AA751" s="9">
        <v>1</v>
      </c>
      <c r="AB751" s="9">
        <v>0</v>
      </c>
      <c r="AC751" s="9">
        <v>0</v>
      </c>
      <c r="AD751" s="9">
        <v>1</v>
      </c>
      <c r="AE751" s="9">
        <v>0</v>
      </c>
      <c r="AF751" s="9">
        <v>0</v>
      </c>
      <c r="AG751" s="8">
        <v>0</v>
      </c>
      <c r="AH751" s="9">
        <v>0</v>
      </c>
      <c r="AI751" s="30">
        <v>1</v>
      </c>
      <c r="AJ751" s="9">
        <v>0</v>
      </c>
      <c r="AK751" s="30">
        <v>1</v>
      </c>
      <c r="AL751" s="21">
        <v>2007</v>
      </c>
      <c r="AM751" s="23">
        <f t="shared" si="528"/>
        <v>7.604396348796338</v>
      </c>
      <c r="AN751" s="33" t="s">
        <v>106</v>
      </c>
      <c r="AO751" s="33" t="s">
        <v>106</v>
      </c>
      <c r="AP751" s="33" t="s">
        <v>106</v>
      </c>
      <c r="AQ751" s="43" t="s">
        <v>106</v>
      </c>
      <c r="AR751" s="33" t="s">
        <v>106</v>
      </c>
      <c r="AS751" s="43" t="s">
        <v>106</v>
      </c>
      <c r="AT751" s="42">
        <v>0.60299999999999998</v>
      </c>
      <c r="AU751" s="18">
        <v>0.39700000000000002</v>
      </c>
      <c r="AV751" s="39">
        <f t="shared" si="550"/>
        <v>0.78200000000000003</v>
      </c>
      <c r="AW751" s="40">
        <v>0.218</v>
      </c>
      <c r="AX751" s="39">
        <f t="shared" si="550"/>
        <v>0.77600000000000002</v>
      </c>
      <c r="AY751" s="40">
        <v>0.224</v>
      </c>
      <c r="BA751" s="18"/>
      <c r="BB751">
        <f t="shared" si="551"/>
        <v>0.18899999999999995</v>
      </c>
      <c r="BC751" s="18">
        <v>0.81100000000000005</v>
      </c>
      <c r="BD751" s="18" t="s">
        <v>29</v>
      </c>
      <c r="BK751" s="18"/>
      <c r="BN751" s="18"/>
      <c r="BQ751" s="96">
        <f t="shared" si="552"/>
        <v>32.361000000000004</v>
      </c>
      <c r="BR751">
        <v>1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s="18">
        <v>0</v>
      </c>
      <c r="BZ751">
        <v>0</v>
      </c>
      <c r="CA751">
        <v>0</v>
      </c>
      <c r="CB751">
        <v>1</v>
      </c>
      <c r="CC751" s="18">
        <v>0</v>
      </c>
      <c r="CD751">
        <v>0</v>
      </c>
      <c r="CE751">
        <v>0</v>
      </c>
      <c r="CF751">
        <v>0</v>
      </c>
      <c r="CG751">
        <v>0</v>
      </c>
      <c r="CH751" s="18">
        <v>0</v>
      </c>
      <c r="CI751">
        <v>0</v>
      </c>
      <c r="CJ751">
        <v>0</v>
      </c>
      <c r="CK751">
        <v>1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 s="18">
        <v>1</v>
      </c>
      <c r="DD751" s="34" t="s">
        <v>86</v>
      </c>
    </row>
    <row r="752" spans="1:108" x14ac:dyDescent="0.25">
      <c r="A752">
        <v>751</v>
      </c>
      <c r="B752">
        <v>46</v>
      </c>
      <c r="C752" s="25" t="s">
        <v>506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>
        <v>0</v>
      </c>
      <c r="O752" s="9">
        <v>1</v>
      </c>
      <c r="P752" s="8">
        <v>0</v>
      </c>
      <c r="Q752" s="9">
        <v>0</v>
      </c>
      <c r="R752" s="9">
        <v>1</v>
      </c>
      <c r="S752" s="9">
        <v>0</v>
      </c>
      <c r="T752" s="9">
        <v>0</v>
      </c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Y752" s="7">
        <v>8.3089999999999993</v>
      </c>
      <c r="Z752" s="7">
        <v>18.27</v>
      </c>
      <c r="AA752" s="9">
        <v>1</v>
      </c>
      <c r="AB752" s="9">
        <v>0</v>
      </c>
      <c r="AC752" s="9">
        <v>0</v>
      </c>
      <c r="AD752" s="9">
        <v>1</v>
      </c>
      <c r="AE752" s="9">
        <v>0</v>
      </c>
      <c r="AF752" s="9">
        <v>0</v>
      </c>
      <c r="AG752" s="8">
        <v>0</v>
      </c>
      <c r="AH752" s="9">
        <v>0</v>
      </c>
      <c r="AI752" s="30">
        <v>1</v>
      </c>
      <c r="AJ752" s="9">
        <v>0</v>
      </c>
      <c r="AK752" s="30">
        <v>1</v>
      </c>
      <c r="AL752" s="21">
        <v>2007</v>
      </c>
      <c r="AM752" s="23">
        <f t="shared" si="528"/>
        <v>7.604396348796338</v>
      </c>
      <c r="AN752" s="33" t="s">
        <v>106</v>
      </c>
      <c r="AO752" s="33" t="s">
        <v>106</v>
      </c>
      <c r="AP752" s="33" t="s">
        <v>106</v>
      </c>
      <c r="AQ752" s="43" t="s">
        <v>106</v>
      </c>
      <c r="AR752" s="33" t="s">
        <v>106</v>
      </c>
      <c r="AS752" s="43" t="s">
        <v>106</v>
      </c>
      <c r="AT752" s="42">
        <v>0.60299999999999998</v>
      </c>
      <c r="AU752" s="18">
        <v>0.39700000000000002</v>
      </c>
      <c r="AV752" s="39">
        <f t="shared" si="550"/>
        <v>0.77900000000000003</v>
      </c>
      <c r="AW752" s="40">
        <v>0.221</v>
      </c>
      <c r="AX752" s="39">
        <f t="shared" si="550"/>
        <v>0.78800000000000003</v>
      </c>
      <c r="AY752" s="40">
        <v>0.21199999999999999</v>
      </c>
      <c r="BA752" s="18"/>
      <c r="BB752">
        <f t="shared" si="551"/>
        <v>0.18100000000000005</v>
      </c>
      <c r="BC752" s="18">
        <v>0.81899999999999995</v>
      </c>
      <c r="BD752" s="18" t="s">
        <v>29</v>
      </c>
      <c r="BK752" s="18"/>
      <c r="BN752" s="18"/>
      <c r="BQ752" s="96">
        <f t="shared" si="552"/>
        <v>32.579000000000001</v>
      </c>
      <c r="BR752">
        <v>1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 s="18">
        <v>0</v>
      </c>
      <c r="BZ752">
        <v>0</v>
      </c>
      <c r="CA752">
        <v>0</v>
      </c>
      <c r="CB752">
        <v>1</v>
      </c>
      <c r="CC752" s="18">
        <v>0</v>
      </c>
      <c r="CD752">
        <v>0</v>
      </c>
      <c r="CE752">
        <v>0</v>
      </c>
      <c r="CF752">
        <v>0</v>
      </c>
      <c r="CG752">
        <v>0</v>
      </c>
      <c r="CH752" s="18">
        <v>0</v>
      </c>
      <c r="CI752">
        <v>0</v>
      </c>
      <c r="CJ752">
        <v>0</v>
      </c>
      <c r="CK752">
        <v>1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0</v>
      </c>
      <c r="CS752" s="18">
        <v>1</v>
      </c>
      <c r="DD752" s="34" t="s">
        <v>86</v>
      </c>
    </row>
    <row r="753" spans="1:108" x14ac:dyDescent="0.25">
      <c r="A753">
        <v>752</v>
      </c>
      <c r="B753">
        <v>46</v>
      </c>
      <c r="C753" s="25" t="s">
        <v>506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>
        <v>0</v>
      </c>
      <c r="O753" s="9">
        <v>1</v>
      </c>
      <c r="P753" s="8">
        <v>0</v>
      </c>
      <c r="Q753" s="9">
        <v>0</v>
      </c>
      <c r="R753" s="9">
        <v>1</v>
      </c>
      <c r="S753" s="9">
        <v>0</v>
      </c>
      <c r="T753" s="9">
        <v>0</v>
      </c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Y753" s="7">
        <v>8.3089999999999993</v>
      </c>
      <c r="Z753" s="7">
        <v>18.27</v>
      </c>
      <c r="AA753" s="9">
        <v>1</v>
      </c>
      <c r="AB753" s="9">
        <v>0</v>
      </c>
      <c r="AC753" s="9">
        <v>0</v>
      </c>
      <c r="AD753" s="9">
        <v>1</v>
      </c>
      <c r="AE753" s="9">
        <v>0</v>
      </c>
      <c r="AF753" s="9">
        <v>0</v>
      </c>
      <c r="AG753" s="8">
        <v>0</v>
      </c>
      <c r="AH753" s="9">
        <v>0</v>
      </c>
      <c r="AI753" s="30">
        <v>1</v>
      </c>
      <c r="AJ753" s="9">
        <v>0</v>
      </c>
      <c r="AK753" s="30">
        <v>1</v>
      </c>
      <c r="AL753" s="21">
        <v>2007</v>
      </c>
      <c r="AM753" s="23">
        <f t="shared" si="528"/>
        <v>7.604396348796338</v>
      </c>
      <c r="AN753" s="33" t="s">
        <v>106</v>
      </c>
      <c r="AO753" s="33" t="s">
        <v>106</v>
      </c>
      <c r="AP753" s="33" t="s">
        <v>106</v>
      </c>
      <c r="AQ753" s="43" t="s">
        <v>106</v>
      </c>
      <c r="AR753" s="33" t="s">
        <v>106</v>
      </c>
      <c r="AS753" s="43" t="s">
        <v>106</v>
      </c>
      <c r="AT753" s="42">
        <v>0.60299999999999998</v>
      </c>
      <c r="AU753" s="18">
        <v>0.39700000000000002</v>
      </c>
      <c r="AV753" s="39">
        <f t="shared" si="550"/>
        <v>0.77900000000000003</v>
      </c>
      <c r="AW753" s="40">
        <v>0.221</v>
      </c>
      <c r="AX753" s="39">
        <f t="shared" si="550"/>
        <v>0.78800000000000003</v>
      </c>
      <c r="AY753" s="40">
        <v>0.21199999999999999</v>
      </c>
      <c r="BA753" s="18"/>
      <c r="BB753">
        <f t="shared" si="551"/>
        <v>0.18100000000000005</v>
      </c>
      <c r="BC753" s="18">
        <v>0.81899999999999995</v>
      </c>
      <c r="BD753" s="18" t="s">
        <v>29</v>
      </c>
      <c r="BK753" s="18"/>
      <c r="BN753" s="18"/>
      <c r="BQ753" s="96">
        <f t="shared" si="552"/>
        <v>32.579000000000001</v>
      </c>
      <c r="BR753">
        <v>1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s="18">
        <v>0</v>
      </c>
      <c r="BZ753">
        <v>0</v>
      </c>
      <c r="CA753">
        <v>0</v>
      </c>
      <c r="CB753">
        <v>1</v>
      </c>
      <c r="CC753" s="18">
        <v>0</v>
      </c>
      <c r="CD753">
        <v>0</v>
      </c>
      <c r="CE753">
        <v>0</v>
      </c>
      <c r="CF753">
        <v>0</v>
      </c>
      <c r="CG753">
        <v>0</v>
      </c>
      <c r="CH753" s="18">
        <v>0</v>
      </c>
      <c r="CI753">
        <v>0</v>
      </c>
      <c r="CJ753">
        <v>0</v>
      </c>
      <c r="CK753">
        <v>1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 s="18">
        <v>1</v>
      </c>
      <c r="DD753" s="34" t="s">
        <v>86</v>
      </c>
    </row>
    <row r="754" spans="1:108" x14ac:dyDescent="0.25">
      <c r="A754">
        <v>753</v>
      </c>
      <c r="B754">
        <v>46</v>
      </c>
      <c r="C754" s="25" t="s">
        <v>506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>
        <v>0</v>
      </c>
      <c r="O754" s="9">
        <v>1</v>
      </c>
      <c r="P754" s="8">
        <v>0</v>
      </c>
      <c r="Q754" s="9">
        <v>0</v>
      </c>
      <c r="R754" s="9">
        <v>1</v>
      </c>
      <c r="S754" s="9">
        <v>0</v>
      </c>
      <c r="T754" s="9">
        <v>0</v>
      </c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Y754" s="7">
        <v>8.4130000000000003</v>
      </c>
      <c r="Z754" s="7">
        <v>18.39</v>
      </c>
      <c r="AA754" s="9">
        <v>1</v>
      </c>
      <c r="AB754" s="9">
        <v>0</v>
      </c>
      <c r="AC754" s="9">
        <v>0</v>
      </c>
      <c r="AD754" s="9">
        <v>1</v>
      </c>
      <c r="AE754" s="9">
        <v>0</v>
      </c>
      <c r="AF754" s="9">
        <v>0</v>
      </c>
      <c r="AG754" s="8">
        <v>0</v>
      </c>
      <c r="AH754" s="9">
        <v>0</v>
      </c>
      <c r="AI754" s="30">
        <v>1</v>
      </c>
      <c r="AJ754" s="9">
        <v>0</v>
      </c>
      <c r="AK754" s="30">
        <v>1</v>
      </c>
      <c r="AL754" s="21">
        <v>2007</v>
      </c>
      <c r="AM754" s="23">
        <f t="shared" si="528"/>
        <v>7.604396348796338</v>
      </c>
      <c r="AN754" s="33" t="s">
        <v>106</v>
      </c>
      <c r="AO754" s="33" t="s">
        <v>106</v>
      </c>
      <c r="AP754" s="33" t="s">
        <v>106</v>
      </c>
      <c r="AQ754" s="43" t="s">
        <v>106</v>
      </c>
      <c r="AR754" s="33" t="s">
        <v>106</v>
      </c>
      <c r="AS754" s="43" t="s">
        <v>106</v>
      </c>
      <c r="AT754" s="42">
        <v>0.60299999999999998</v>
      </c>
      <c r="AU754" s="18">
        <v>0.39700000000000002</v>
      </c>
      <c r="AV754" s="39">
        <f t="shared" si="550"/>
        <v>0.77900000000000003</v>
      </c>
      <c r="AW754" s="40">
        <v>0.221</v>
      </c>
      <c r="AX754" s="39">
        <f t="shared" si="550"/>
        <v>0.78700000000000003</v>
      </c>
      <c r="AY754" s="40">
        <v>0.21299999999999999</v>
      </c>
      <c r="BA754" s="18"/>
      <c r="BB754">
        <f t="shared" si="551"/>
        <v>0.17500000000000004</v>
      </c>
      <c r="BC754" s="18">
        <v>0.82499999999999996</v>
      </c>
      <c r="BD754" s="18" t="s">
        <v>29</v>
      </c>
      <c r="BK754" s="18"/>
      <c r="BN754" s="18"/>
      <c r="BQ754" s="96">
        <f t="shared" si="552"/>
        <v>32.802999999999997</v>
      </c>
      <c r="BR754">
        <v>1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s="18">
        <v>0</v>
      </c>
      <c r="BZ754">
        <v>0</v>
      </c>
      <c r="CA754">
        <v>0</v>
      </c>
      <c r="CB754">
        <v>1</v>
      </c>
      <c r="CC754" s="18">
        <v>0</v>
      </c>
      <c r="CD754">
        <v>0</v>
      </c>
      <c r="CE754">
        <v>0</v>
      </c>
      <c r="CF754">
        <v>0</v>
      </c>
      <c r="CG754">
        <v>0</v>
      </c>
      <c r="CH754" s="18">
        <v>0</v>
      </c>
      <c r="CI754">
        <v>0</v>
      </c>
      <c r="CJ754">
        <v>0</v>
      </c>
      <c r="CK754">
        <v>1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 s="18">
        <v>1</v>
      </c>
      <c r="DD754" s="34" t="s">
        <v>86</v>
      </c>
    </row>
    <row r="755" spans="1:108" x14ac:dyDescent="0.25">
      <c r="A755">
        <v>754</v>
      </c>
      <c r="B755">
        <v>46</v>
      </c>
      <c r="C755" s="25" t="s">
        <v>506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>
        <v>0</v>
      </c>
      <c r="O755" s="9">
        <v>1</v>
      </c>
      <c r="P755" s="8">
        <v>0</v>
      </c>
      <c r="Q755" s="9">
        <v>0</v>
      </c>
      <c r="R755" s="9">
        <v>1</v>
      </c>
      <c r="S755" s="9">
        <v>0</v>
      </c>
      <c r="T755" s="9">
        <v>0</v>
      </c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Y755" s="7">
        <v>8.4130000000000003</v>
      </c>
      <c r="Z755" s="7">
        <v>18.39</v>
      </c>
      <c r="AA755" s="9">
        <v>1</v>
      </c>
      <c r="AB755" s="9">
        <v>0</v>
      </c>
      <c r="AC755" s="9">
        <v>0</v>
      </c>
      <c r="AD755" s="9">
        <v>1</v>
      </c>
      <c r="AE755" s="9">
        <v>0</v>
      </c>
      <c r="AF755" s="9">
        <v>0</v>
      </c>
      <c r="AG755" s="8">
        <v>0</v>
      </c>
      <c r="AH755" s="9">
        <v>0</v>
      </c>
      <c r="AI755" s="30">
        <v>1</v>
      </c>
      <c r="AJ755" s="9">
        <v>0</v>
      </c>
      <c r="AK755" s="30">
        <v>1</v>
      </c>
      <c r="AL755" s="21">
        <v>2007</v>
      </c>
      <c r="AM755" s="23">
        <f t="shared" si="528"/>
        <v>7.604396348796338</v>
      </c>
      <c r="AN755" s="33" t="s">
        <v>106</v>
      </c>
      <c r="AO755" s="33" t="s">
        <v>106</v>
      </c>
      <c r="AP755" s="33" t="s">
        <v>106</v>
      </c>
      <c r="AQ755" s="43" t="s">
        <v>106</v>
      </c>
      <c r="AR755" s="33" t="s">
        <v>106</v>
      </c>
      <c r="AS755" s="43" t="s">
        <v>106</v>
      </c>
      <c r="AT755" s="42">
        <v>0.60299999999999998</v>
      </c>
      <c r="AU755" s="18">
        <v>0.39700000000000002</v>
      </c>
      <c r="AV755" s="39">
        <f t="shared" si="550"/>
        <v>0.77900000000000003</v>
      </c>
      <c r="AW755" s="40">
        <v>0.221</v>
      </c>
      <c r="AX755" s="39">
        <f t="shared" si="550"/>
        <v>0.78700000000000003</v>
      </c>
      <c r="AY755" s="40">
        <v>0.21299999999999999</v>
      </c>
      <c r="BA755" s="18"/>
      <c r="BB755">
        <f t="shared" si="551"/>
        <v>0.17500000000000004</v>
      </c>
      <c r="BC755" s="18">
        <v>0.82499999999999996</v>
      </c>
      <c r="BD755" s="18" t="s">
        <v>29</v>
      </c>
      <c r="BK755" s="18"/>
      <c r="BN755" s="18"/>
      <c r="BQ755" s="96">
        <f t="shared" si="552"/>
        <v>32.802999999999997</v>
      </c>
      <c r="BR755">
        <v>1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s="18">
        <v>0</v>
      </c>
      <c r="BZ755">
        <v>0</v>
      </c>
      <c r="CA755">
        <v>0</v>
      </c>
      <c r="CB755">
        <v>1</v>
      </c>
      <c r="CC755" s="18">
        <v>0</v>
      </c>
      <c r="CD755">
        <v>0</v>
      </c>
      <c r="CE755">
        <v>0</v>
      </c>
      <c r="CF755">
        <v>0</v>
      </c>
      <c r="CG755">
        <v>0</v>
      </c>
      <c r="CH755" s="18">
        <v>0</v>
      </c>
      <c r="CI755">
        <v>0</v>
      </c>
      <c r="CJ755">
        <v>0</v>
      </c>
      <c r="CK755">
        <v>1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 s="18">
        <v>1</v>
      </c>
      <c r="DD755" s="34" t="s">
        <v>86</v>
      </c>
    </row>
    <row r="756" spans="1:108" x14ac:dyDescent="0.25">
      <c r="A756">
        <v>755</v>
      </c>
      <c r="B756">
        <v>46</v>
      </c>
      <c r="C756" s="25" t="s">
        <v>506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>
        <v>0</v>
      </c>
      <c r="O756" s="9">
        <v>1</v>
      </c>
      <c r="P756" s="8">
        <v>0</v>
      </c>
      <c r="Q756" s="9">
        <v>0</v>
      </c>
      <c r="R756" s="9">
        <v>1</v>
      </c>
      <c r="S756" s="9">
        <v>0</v>
      </c>
      <c r="T756" s="9">
        <v>0</v>
      </c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Y756" s="7">
        <v>8.41</v>
      </c>
      <c r="Z756" s="7">
        <v>18.39</v>
      </c>
      <c r="AA756" s="9">
        <v>1</v>
      </c>
      <c r="AB756" s="9">
        <v>0</v>
      </c>
      <c r="AC756" s="9">
        <v>0</v>
      </c>
      <c r="AD756" s="9">
        <v>1</v>
      </c>
      <c r="AE756" s="9">
        <v>0</v>
      </c>
      <c r="AF756" s="9">
        <v>0</v>
      </c>
      <c r="AG756" s="8">
        <v>0</v>
      </c>
      <c r="AH756" s="9">
        <v>0</v>
      </c>
      <c r="AI756" s="30">
        <v>1</v>
      </c>
      <c r="AJ756" s="9">
        <v>0</v>
      </c>
      <c r="AK756" s="30">
        <v>1</v>
      </c>
      <c r="AL756" s="21">
        <v>2007</v>
      </c>
      <c r="AM756" s="23">
        <f t="shared" si="528"/>
        <v>7.604396348796338</v>
      </c>
      <c r="AN756" s="33" t="s">
        <v>106</v>
      </c>
      <c r="AO756" s="33" t="s">
        <v>106</v>
      </c>
      <c r="AP756" s="33" t="s">
        <v>106</v>
      </c>
      <c r="AQ756" s="43" t="s">
        <v>106</v>
      </c>
      <c r="AR756" s="33" t="s">
        <v>106</v>
      </c>
      <c r="AS756" s="43" t="s">
        <v>106</v>
      </c>
      <c r="AT756" s="42">
        <v>0.60299999999999998</v>
      </c>
      <c r="AU756" s="18">
        <v>0.39700000000000002</v>
      </c>
      <c r="AV756" s="39">
        <f t="shared" si="550"/>
        <v>0.77900000000000003</v>
      </c>
      <c r="AW756" s="40">
        <v>0.221</v>
      </c>
      <c r="AX756" s="39">
        <f t="shared" si="550"/>
        <v>0.78700000000000003</v>
      </c>
      <c r="AY756" s="40">
        <v>0.21299999999999999</v>
      </c>
      <c r="BA756" s="18"/>
      <c r="BB756">
        <f t="shared" si="551"/>
        <v>0.17500000000000004</v>
      </c>
      <c r="BC756" s="18">
        <v>0.82499999999999996</v>
      </c>
      <c r="BD756" s="18" t="s">
        <v>29</v>
      </c>
      <c r="BK756" s="18"/>
      <c r="BN756" s="18"/>
      <c r="BQ756" s="96">
        <f t="shared" si="552"/>
        <v>32.799999999999997</v>
      </c>
      <c r="BR756">
        <v>1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s="18">
        <v>0</v>
      </c>
      <c r="BZ756">
        <v>0</v>
      </c>
      <c r="CA756">
        <v>0</v>
      </c>
      <c r="CB756">
        <v>1</v>
      </c>
      <c r="CC756" s="18">
        <v>0</v>
      </c>
      <c r="CD756">
        <v>0</v>
      </c>
      <c r="CE756">
        <v>0</v>
      </c>
      <c r="CF756">
        <v>0</v>
      </c>
      <c r="CG756">
        <v>0</v>
      </c>
      <c r="CH756" s="18">
        <v>0</v>
      </c>
      <c r="CI756">
        <v>0</v>
      </c>
      <c r="CJ756">
        <v>0</v>
      </c>
      <c r="CK756">
        <v>1</v>
      </c>
      <c r="CL756">
        <v>0</v>
      </c>
      <c r="CM756">
        <v>0</v>
      </c>
      <c r="CN756">
        <v>0</v>
      </c>
      <c r="CO756">
        <v>1</v>
      </c>
      <c r="CP756">
        <v>0</v>
      </c>
      <c r="CQ756">
        <v>0</v>
      </c>
      <c r="CR756">
        <v>0</v>
      </c>
      <c r="CS756" s="18">
        <v>1</v>
      </c>
      <c r="DD756" s="34" t="s">
        <v>86</v>
      </c>
    </row>
    <row r="757" spans="1:108" x14ac:dyDescent="0.25">
      <c r="A757">
        <v>756</v>
      </c>
      <c r="B757">
        <v>46</v>
      </c>
      <c r="C757" s="25" t="s">
        <v>506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>
        <v>0</v>
      </c>
      <c r="O757" s="9">
        <v>1</v>
      </c>
      <c r="P757" s="8">
        <v>0</v>
      </c>
      <c r="Q757" s="9">
        <v>0</v>
      </c>
      <c r="R757" s="9">
        <v>1</v>
      </c>
      <c r="S757" s="9">
        <v>0</v>
      </c>
      <c r="T757" s="9">
        <v>0</v>
      </c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Y757" s="7">
        <v>8.41</v>
      </c>
      <c r="Z757" s="7">
        <v>18.39</v>
      </c>
      <c r="AA757" s="9">
        <v>1</v>
      </c>
      <c r="AB757" s="9">
        <v>0</v>
      </c>
      <c r="AC757" s="9">
        <v>0</v>
      </c>
      <c r="AD757" s="9">
        <v>1</v>
      </c>
      <c r="AE757" s="9">
        <v>0</v>
      </c>
      <c r="AF757" s="9">
        <v>0</v>
      </c>
      <c r="AG757" s="8">
        <v>0</v>
      </c>
      <c r="AH757" s="9">
        <v>0</v>
      </c>
      <c r="AI757" s="30">
        <v>1</v>
      </c>
      <c r="AJ757" s="9">
        <v>0</v>
      </c>
      <c r="AK757" s="30">
        <v>1</v>
      </c>
      <c r="AL757" s="21">
        <v>2007</v>
      </c>
      <c r="AM757" s="23">
        <f t="shared" si="528"/>
        <v>7.604396348796338</v>
      </c>
      <c r="AN757" s="33" t="s">
        <v>106</v>
      </c>
      <c r="AO757" s="33" t="s">
        <v>106</v>
      </c>
      <c r="AP757" s="33" t="s">
        <v>106</v>
      </c>
      <c r="AQ757" s="43" t="s">
        <v>106</v>
      </c>
      <c r="AR757" s="33" t="s">
        <v>106</v>
      </c>
      <c r="AS757" s="43" t="s">
        <v>106</v>
      </c>
      <c r="AT757" s="42">
        <v>0.60299999999999998</v>
      </c>
      <c r="AU757" s="18">
        <v>0.39700000000000002</v>
      </c>
      <c r="AV757" s="39">
        <f t="shared" si="550"/>
        <v>0.77900000000000003</v>
      </c>
      <c r="AW757" s="40">
        <v>0.221</v>
      </c>
      <c r="AX757" s="39">
        <f t="shared" si="550"/>
        <v>0.78700000000000003</v>
      </c>
      <c r="AY757" s="40">
        <v>0.21299999999999999</v>
      </c>
      <c r="BA757" s="18"/>
      <c r="BB757">
        <f t="shared" si="551"/>
        <v>0.17500000000000004</v>
      </c>
      <c r="BC757" s="18">
        <v>0.82499999999999996</v>
      </c>
      <c r="BD757" s="18" t="s">
        <v>29</v>
      </c>
      <c r="BK757" s="18"/>
      <c r="BN757" s="18"/>
      <c r="BQ757" s="96">
        <f t="shared" si="552"/>
        <v>32.799999999999997</v>
      </c>
      <c r="BR757">
        <v>1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s="18">
        <v>0</v>
      </c>
      <c r="BZ757">
        <v>0</v>
      </c>
      <c r="CA757">
        <v>0</v>
      </c>
      <c r="CB757">
        <v>1</v>
      </c>
      <c r="CC757" s="18">
        <v>0</v>
      </c>
      <c r="CD757">
        <v>0</v>
      </c>
      <c r="CE757">
        <v>0</v>
      </c>
      <c r="CF757">
        <v>0</v>
      </c>
      <c r="CG757">
        <v>0</v>
      </c>
      <c r="CH757" s="18">
        <v>0</v>
      </c>
      <c r="CI757">
        <v>0</v>
      </c>
      <c r="CJ757">
        <v>0</v>
      </c>
      <c r="CK757">
        <v>1</v>
      </c>
      <c r="CL757">
        <v>0</v>
      </c>
      <c r="CM757">
        <v>0</v>
      </c>
      <c r="CN757">
        <v>0</v>
      </c>
      <c r="CO757">
        <v>1</v>
      </c>
      <c r="CP757">
        <v>1</v>
      </c>
      <c r="CQ757">
        <v>0</v>
      </c>
      <c r="CR757">
        <v>0</v>
      </c>
      <c r="CS757" s="18">
        <v>1</v>
      </c>
      <c r="DD757" s="34" t="s">
        <v>86</v>
      </c>
    </row>
    <row r="758" spans="1:108" x14ac:dyDescent="0.25">
      <c r="A758">
        <v>757</v>
      </c>
      <c r="B758">
        <v>46</v>
      </c>
      <c r="C758" s="25" t="s">
        <v>506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>
        <v>0</v>
      </c>
      <c r="O758" s="9">
        <v>1</v>
      </c>
      <c r="P758" s="8">
        <v>0</v>
      </c>
      <c r="Q758" s="9">
        <v>0</v>
      </c>
      <c r="R758" s="9">
        <v>1</v>
      </c>
      <c r="S758" s="9">
        <v>0</v>
      </c>
      <c r="T758" s="9">
        <v>0</v>
      </c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Y758" s="7">
        <v>8.41</v>
      </c>
      <c r="Z758" s="7">
        <v>18.39</v>
      </c>
      <c r="AA758" s="9">
        <v>1</v>
      </c>
      <c r="AB758" s="9">
        <v>0</v>
      </c>
      <c r="AC758" s="9">
        <v>0</v>
      </c>
      <c r="AD758" s="9">
        <v>1</v>
      </c>
      <c r="AE758" s="9">
        <v>0</v>
      </c>
      <c r="AF758" s="9">
        <v>0</v>
      </c>
      <c r="AG758" s="8">
        <v>0</v>
      </c>
      <c r="AH758" s="9">
        <v>0</v>
      </c>
      <c r="AI758" s="30">
        <v>1</v>
      </c>
      <c r="AJ758" s="9">
        <v>0</v>
      </c>
      <c r="AK758" s="30">
        <v>1</v>
      </c>
      <c r="AL758" s="21">
        <v>2007</v>
      </c>
      <c r="AM758" s="23">
        <f t="shared" si="528"/>
        <v>7.604396348796338</v>
      </c>
      <c r="AN758" s="33" t="s">
        <v>106</v>
      </c>
      <c r="AO758" s="33" t="s">
        <v>106</v>
      </c>
      <c r="AP758" s="33" t="s">
        <v>106</v>
      </c>
      <c r="AQ758" s="43" t="s">
        <v>106</v>
      </c>
      <c r="AR758" s="33" t="s">
        <v>106</v>
      </c>
      <c r="AS758" s="43" t="s">
        <v>106</v>
      </c>
      <c r="AT758" s="42">
        <v>0.60299999999999998</v>
      </c>
      <c r="AU758" s="18">
        <v>0.39700000000000002</v>
      </c>
      <c r="AV758" s="39">
        <f t="shared" si="550"/>
        <v>0.77900000000000003</v>
      </c>
      <c r="AW758" s="40">
        <v>0.221</v>
      </c>
      <c r="AX758" s="39">
        <f t="shared" si="550"/>
        <v>0.78700000000000003</v>
      </c>
      <c r="AY758" s="40">
        <v>0.21299999999999999</v>
      </c>
      <c r="BA758" s="18"/>
      <c r="BB758">
        <f t="shared" si="551"/>
        <v>0.17500000000000004</v>
      </c>
      <c r="BC758" s="18">
        <v>0.82499999999999996</v>
      </c>
      <c r="BD758" s="18" t="s">
        <v>29</v>
      </c>
      <c r="BK758" s="18"/>
      <c r="BN758" s="18"/>
      <c r="BQ758" s="96">
        <f t="shared" si="552"/>
        <v>32.799999999999997</v>
      </c>
      <c r="BR758">
        <v>1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s="18">
        <v>0</v>
      </c>
      <c r="BZ758">
        <v>0</v>
      </c>
      <c r="CA758">
        <v>0</v>
      </c>
      <c r="CB758">
        <v>1</v>
      </c>
      <c r="CC758" s="18">
        <v>0</v>
      </c>
      <c r="CD758">
        <v>0</v>
      </c>
      <c r="CE758">
        <v>0</v>
      </c>
      <c r="CF758">
        <v>0</v>
      </c>
      <c r="CG758">
        <v>0</v>
      </c>
      <c r="CH758" s="18">
        <v>0</v>
      </c>
      <c r="CI758">
        <v>0</v>
      </c>
      <c r="CJ758">
        <v>0</v>
      </c>
      <c r="CK758">
        <v>1</v>
      </c>
      <c r="CL758">
        <v>0</v>
      </c>
      <c r="CM758">
        <v>0</v>
      </c>
      <c r="CN758">
        <v>0</v>
      </c>
      <c r="CO758">
        <v>1</v>
      </c>
      <c r="CP758">
        <v>1</v>
      </c>
      <c r="CQ758">
        <v>1</v>
      </c>
      <c r="CR758">
        <v>1</v>
      </c>
      <c r="CS758" s="18">
        <v>1</v>
      </c>
      <c r="DD758" s="34" t="s">
        <v>86</v>
      </c>
    </row>
    <row r="759" spans="1:108" x14ac:dyDescent="0.25">
      <c r="A759">
        <v>758</v>
      </c>
      <c r="B759">
        <v>46</v>
      </c>
      <c r="C759" s="25" t="s">
        <v>506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>
        <v>0</v>
      </c>
      <c r="O759" s="9">
        <v>1</v>
      </c>
      <c r="P759" s="8">
        <v>0</v>
      </c>
      <c r="Q759" s="9">
        <v>0</v>
      </c>
      <c r="R759" s="9">
        <v>1</v>
      </c>
      <c r="S759" s="9">
        <v>0</v>
      </c>
      <c r="T759" s="9">
        <v>0</v>
      </c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Y759" s="7">
        <v>8.41</v>
      </c>
      <c r="Z759" s="7">
        <v>18.39</v>
      </c>
      <c r="AA759" s="9">
        <v>1</v>
      </c>
      <c r="AB759" s="9">
        <v>0</v>
      </c>
      <c r="AC759" s="9">
        <v>0</v>
      </c>
      <c r="AD759" s="9">
        <v>1</v>
      </c>
      <c r="AE759" s="9">
        <v>0</v>
      </c>
      <c r="AF759" s="9">
        <v>0</v>
      </c>
      <c r="AG759" s="8">
        <v>0</v>
      </c>
      <c r="AH759" s="9">
        <v>0</v>
      </c>
      <c r="AI759" s="30">
        <v>1</v>
      </c>
      <c r="AJ759" s="9">
        <v>0</v>
      </c>
      <c r="AK759" s="30">
        <v>1</v>
      </c>
      <c r="AL759" s="21">
        <v>2007</v>
      </c>
      <c r="AM759" s="23">
        <f t="shared" si="528"/>
        <v>7.604396348796338</v>
      </c>
      <c r="AN759" s="33" t="s">
        <v>106</v>
      </c>
      <c r="AO759" s="33" t="s">
        <v>106</v>
      </c>
      <c r="AP759" s="33" t="s">
        <v>106</v>
      </c>
      <c r="AQ759" s="43" t="s">
        <v>106</v>
      </c>
      <c r="AR759" s="33" t="s">
        <v>106</v>
      </c>
      <c r="AS759" s="43" t="s">
        <v>106</v>
      </c>
      <c r="AT759" s="42">
        <v>0.60299999999999998</v>
      </c>
      <c r="AU759" s="18">
        <v>0.39700000000000002</v>
      </c>
      <c r="AV759" s="39">
        <f t="shared" si="550"/>
        <v>0.77900000000000003</v>
      </c>
      <c r="AW759" s="40">
        <v>0.221</v>
      </c>
      <c r="AX759" s="39">
        <f t="shared" si="550"/>
        <v>0.78700000000000003</v>
      </c>
      <c r="AY759" s="40">
        <v>0.21299999999999999</v>
      </c>
      <c r="BA759" s="18"/>
      <c r="BB759">
        <f t="shared" si="551"/>
        <v>0.17500000000000004</v>
      </c>
      <c r="BC759" s="18">
        <v>0.82499999999999996</v>
      </c>
      <c r="BD759" s="18" t="s">
        <v>29</v>
      </c>
      <c r="BK759" s="18"/>
      <c r="BN759" s="18"/>
      <c r="BQ759" s="96">
        <f t="shared" si="552"/>
        <v>32.799999999999997</v>
      </c>
      <c r="BR759">
        <v>1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s="18">
        <v>0</v>
      </c>
      <c r="BZ759">
        <v>0</v>
      </c>
      <c r="CA759">
        <v>0</v>
      </c>
      <c r="CB759">
        <v>1</v>
      </c>
      <c r="CC759" s="18">
        <v>0</v>
      </c>
      <c r="CD759">
        <v>0</v>
      </c>
      <c r="CE759">
        <v>0</v>
      </c>
      <c r="CF759">
        <v>0</v>
      </c>
      <c r="CG759">
        <v>0</v>
      </c>
      <c r="CH759" s="18">
        <v>0</v>
      </c>
      <c r="CI759">
        <v>0</v>
      </c>
      <c r="CJ759">
        <v>0</v>
      </c>
      <c r="CK759">
        <v>1</v>
      </c>
      <c r="CL759">
        <v>0</v>
      </c>
      <c r="CM759">
        <v>0</v>
      </c>
      <c r="CN759">
        <v>0</v>
      </c>
      <c r="CO759">
        <v>1</v>
      </c>
      <c r="CP759">
        <v>1</v>
      </c>
      <c r="CQ759">
        <v>1</v>
      </c>
      <c r="CR759">
        <v>1</v>
      </c>
      <c r="CS759" s="18">
        <v>1</v>
      </c>
      <c r="DD759" s="34" t="s">
        <v>86</v>
      </c>
    </row>
    <row r="760" spans="1:108" x14ac:dyDescent="0.25">
      <c r="A760">
        <v>759</v>
      </c>
      <c r="B760">
        <v>46</v>
      </c>
      <c r="C760" s="25" t="s">
        <v>506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>
        <v>0</v>
      </c>
      <c r="O760" s="9">
        <v>1</v>
      </c>
      <c r="P760" s="8">
        <v>0</v>
      </c>
      <c r="Q760" s="9">
        <v>0</v>
      </c>
      <c r="R760" s="9">
        <v>1</v>
      </c>
      <c r="S760" s="9">
        <v>0</v>
      </c>
      <c r="T760" s="9">
        <v>0</v>
      </c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Y760" s="7">
        <v>8.41</v>
      </c>
      <c r="Z760" s="7">
        <v>18.39</v>
      </c>
      <c r="AA760" s="9">
        <v>1</v>
      </c>
      <c r="AB760" s="9">
        <v>0</v>
      </c>
      <c r="AC760" s="9">
        <v>0</v>
      </c>
      <c r="AD760" s="9">
        <v>1</v>
      </c>
      <c r="AE760" s="9">
        <v>0</v>
      </c>
      <c r="AF760" s="9">
        <v>0</v>
      </c>
      <c r="AG760" s="8">
        <v>0</v>
      </c>
      <c r="AH760" s="9">
        <v>0</v>
      </c>
      <c r="AI760" s="30">
        <v>1</v>
      </c>
      <c r="AJ760" s="9">
        <v>0</v>
      </c>
      <c r="AK760" s="30">
        <v>1</v>
      </c>
      <c r="AL760" s="21">
        <v>2007</v>
      </c>
      <c r="AM760" s="23">
        <f t="shared" si="528"/>
        <v>7.604396348796338</v>
      </c>
      <c r="AN760" s="33" t="s">
        <v>106</v>
      </c>
      <c r="AO760" s="33" t="s">
        <v>106</v>
      </c>
      <c r="AP760" s="33" t="s">
        <v>106</v>
      </c>
      <c r="AQ760" s="43" t="s">
        <v>106</v>
      </c>
      <c r="AR760" s="33" t="s">
        <v>106</v>
      </c>
      <c r="AS760" s="43" t="s">
        <v>106</v>
      </c>
      <c r="AT760" s="42">
        <v>0.60299999999999998</v>
      </c>
      <c r="AU760" s="18">
        <v>0.39700000000000002</v>
      </c>
      <c r="AV760" s="39">
        <f t="shared" si="550"/>
        <v>0.77900000000000003</v>
      </c>
      <c r="AW760" s="40">
        <v>0.221</v>
      </c>
      <c r="AX760" s="39">
        <f t="shared" si="550"/>
        <v>0.78700000000000003</v>
      </c>
      <c r="AY760" s="40">
        <v>0.21299999999999999</v>
      </c>
      <c r="BA760" s="18"/>
      <c r="BB760">
        <f t="shared" si="551"/>
        <v>0.17500000000000004</v>
      </c>
      <c r="BC760" s="18">
        <v>0.82499999999999996</v>
      </c>
      <c r="BD760" s="18" t="s">
        <v>29</v>
      </c>
      <c r="BK760" s="18"/>
      <c r="BN760" s="18"/>
      <c r="BQ760" s="96">
        <f t="shared" si="552"/>
        <v>32.799999999999997</v>
      </c>
      <c r="BR760">
        <v>1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 s="18">
        <v>0</v>
      </c>
      <c r="BZ760">
        <v>0</v>
      </c>
      <c r="CA760">
        <v>0</v>
      </c>
      <c r="CB760">
        <v>1</v>
      </c>
      <c r="CC760" s="18">
        <v>0</v>
      </c>
      <c r="CD760">
        <v>0</v>
      </c>
      <c r="CE760">
        <v>0</v>
      </c>
      <c r="CF760">
        <v>0</v>
      </c>
      <c r="CG760">
        <v>0</v>
      </c>
      <c r="CH760" s="18">
        <v>0</v>
      </c>
      <c r="CI760">
        <v>0</v>
      </c>
      <c r="CJ760">
        <v>0</v>
      </c>
      <c r="CK760">
        <v>1</v>
      </c>
      <c r="CL760">
        <v>0</v>
      </c>
      <c r="CM760">
        <v>0</v>
      </c>
      <c r="CN760">
        <v>0</v>
      </c>
      <c r="CO760">
        <v>1</v>
      </c>
      <c r="CP760">
        <v>1</v>
      </c>
      <c r="CQ760">
        <v>1</v>
      </c>
      <c r="CR760">
        <v>1</v>
      </c>
      <c r="CS760" s="18">
        <v>1</v>
      </c>
      <c r="DD760" s="34" t="s">
        <v>86</v>
      </c>
    </row>
    <row r="761" spans="1:108" x14ac:dyDescent="0.25">
      <c r="A761">
        <v>760</v>
      </c>
      <c r="B761">
        <v>46</v>
      </c>
      <c r="C761" s="25" t="s">
        <v>506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>
        <v>0</v>
      </c>
      <c r="O761" s="9">
        <v>1</v>
      </c>
      <c r="P761" s="8">
        <v>0</v>
      </c>
      <c r="Q761" s="9">
        <v>0</v>
      </c>
      <c r="R761" s="9">
        <v>1</v>
      </c>
      <c r="S761" s="9">
        <v>0</v>
      </c>
      <c r="T761" s="9">
        <v>0</v>
      </c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Y761" s="7">
        <v>8.41</v>
      </c>
      <c r="Z761" s="7">
        <v>18.39</v>
      </c>
      <c r="AA761" s="9">
        <v>1</v>
      </c>
      <c r="AB761" s="9">
        <v>0</v>
      </c>
      <c r="AC761" s="9">
        <v>0</v>
      </c>
      <c r="AD761" s="9">
        <v>1</v>
      </c>
      <c r="AE761" s="9">
        <v>0</v>
      </c>
      <c r="AF761" s="9">
        <v>0</v>
      </c>
      <c r="AG761" s="8">
        <v>0</v>
      </c>
      <c r="AH761" s="9">
        <v>0</v>
      </c>
      <c r="AI761" s="30">
        <v>1</v>
      </c>
      <c r="AJ761" s="9">
        <v>0</v>
      </c>
      <c r="AK761" s="30">
        <v>1</v>
      </c>
      <c r="AL761" s="21">
        <v>2007</v>
      </c>
      <c r="AM761" s="23">
        <f t="shared" si="528"/>
        <v>7.604396348796338</v>
      </c>
      <c r="AN761" s="33" t="s">
        <v>106</v>
      </c>
      <c r="AO761" s="33" t="s">
        <v>106</v>
      </c>
      <c r="AP761" s="33" t="s">
        <v>106</v>
      </c>
      <c r="AQ761" s="43" t="s">
        <v>106</v>
      </c>
      <c r="AR761" s="33" t="s">
        <v>106</v>
      </c>
      <c r="AS761" s="43" t="s">
        <v>106</v>
      </c>
      <c r="AT761" s="42">
        <v>0.60299999999999998</v>
      </c>
      <c r="AU761" s="18">
        <v>0.39700000000000002</v>
      </c>
      <c r="AV761" s="39">
        <f t="shared" si="550"/>
        <v>0.77900000000000003</v>
      </c>
      <c r="AW761" s="40">
        <v>0.221</v>
      </c>
      <c r="AX761" s="39">
        <f t="shared" si="550"/>
        <v>0.78700000000000003</v>
      </c>
      <c r="AY761" s="40">
        <v>0.21299999999999999</v>
      </c>
      <c r="BA761" s="18"/>
      <c r="BB761">
        <f t="shared" si="551"/>
        <v>0.17500000000000004</v>
      </c>
      <c r="BC761" s="18">
        <v>0.82499999999999996</v>
      </c>
      <c r="BD761" s="18" t="s">
        <v>29</v>
      </c>
      <c r="BK761" s="18"/>
      <c r="BN761" s="18"/>
      <c r="BQ761" s="96">
        <f t="shared" si="552"/>
        <v>32.799999999999997</v>
      </c>
      <c r="BR761">
        <v>1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s="18">
        <v>0</v>
      </c>
      <c r="BZ761">
        <v>0</v>
      </c>
      <c r="CA761">
        <v>0</v>
      </c>
      <c r="CB761">
        <v>1</v>
      </c>
      <c r="CC761" s="18">
        <v>0</v>
      </c>
      <c r="CD761">
        <v>0</v>
      </c>
      <c r="CE761">
        <v>0</v>
      </c>
      <c r="CF761">
        <v>0</v>
      </c>
      <c r="CG761">
        <v>0</v>
      </c>
      <c r="CH761" s="18">
        <v>0</v>
      </c>
      <c r="CI761">
        <v>0</v>
      </c>
      <c r="CJ761">
        <v>0</v>
      </c>
      <c r="CK761">
        <v>1</v>
      </c>
      <c r="CL761">
        <v>0</v>
      </c>
      <c r="CM761">
        <v>0</v>
      </c>
      <c r="CN761">
        <v>0</v>
      </c>
      <c r="CO761">
        <v>1</v>
      </c>
      <c r="CP761">
        <v>1</v>
      </c>
      <c r="CQ761">
        <v>1</v>
      </c>
      <c r="CR761">
        <v>1</v>
      </c>
      <c r="CS761" s="18">
        <v>1</v>
      </c>
      <c r="DD761" s="34" t="s">
        <v>86</v>
      </c>
    </row>
    <row r="762" spans="1:108" x14ac:dyDescent="0.25">
      <c r="A762">
        <v>761</v>
      </c>
      <c r="B762">
        <v>46</v>
      </c>
      <c r="C762" s="25" t="s">
        <v>506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>
        <v>0</v>
      </c>
      <c r="O762" s="9">
        <v>1</v>
      </c>
      <c r="P762" s="8">
        <v>0</v>
      </c>
      <c r="Q762" s="9">
        <v>0</v>
      </c>
      <c r="R762" s="9">
        <v>1</v>
      </c>
      <c r="S762" s="9">
        <v>0</v>
      </c>
      <c r="T762" s="9">
        <v>0</v>
      </c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Y762" s="7">
        <v>8.41</v>
      </c>
      <c r="Z762" s="7">
        <v>18.39</v>
      </c>
      <c r="AA762" s="9">
        <v>1</v>
      </c>
      <c r="AB762" s="9">
        <v>0</v>
      </c>
      <c r="AC762" s="9">
        <v>0</v>
      </c>
      <c r="AD762" s="9">
        <v>1</v>
      </c>
      <c r="AE762" s="9">
        <v>0</v>
      </c>
      <c r="AF762" s="9">
        <v>0</v>
      </c>
      <c r="AG762" s="8">
        <v>0</v>
      </c>
      <c r="AH762" s="9">
        <v>0</v>
      </c>
      <c r="AI762" s="30">
        <v>1</v>
      </c>
      <c r="AJ762" s="9">
        <v>0</v>
      </c>
      <c r="AK762" s="30">
        <v>1</v>
      </c>
      <c r="AL762" s="21">
        <v>2007</v>
      </c>
      <c r="AM762" s="23">
        <f t="shared" si="528"/>
        <v>7.604396348796338</v>
      </c>
      <c r="AN762" s="33" t="s">
        <v>106</v>
      </c>
      <c r="AO762" s="33" t="s">
        <v>106</v>
      </c>
      <c r="AP762" s="33" t="s">
        <v>106</v>
      </c>
      <c r="AQ762" s="43" t="s">
        <v>106</v>
      </c>
      <c r="AR762" s="33" t="s">
        <v>106</v>
      </c>
      <c r="AS762" s="43" t="s">
        <v>106</v>
      </c>
      <c r="AT762" s="42">
        <v>0.60299999999999998</v>
      </c>
      <c r="AU762" s="18">
        <v>0.39700000000000002</v>
      </c>
      <c r="AV762" s="39">
        <f t="shared" si="550"/>
        <v>0.77900000000000003</v>
      </c>
      <c r="AW762" s="40">
        <v>0.221</v>
      </c>
      <c r="AX762" s="39">
        <f t="shared" si="550"/>
        <v>0.78700000000000003</v>
      </c>
      <c r="AY762" s="40">
        <v>0.21299999999999999</v>
      </c>
      <c r="BA762" s="18"/>
      <c r="BB762">
        <f t="shared" si="551"/>
        <v>0.17500000000000004</v>
      </c>
      <c r="BC762" s="18">
        <v>0.82499999999999996</v>
      </c>
      <c r="BD762" s="18" t="s">
        <v>29</v>
      </c>
      <c r="BK762" s="18"/>
      <c r="BN762" s="18"/>
      <c r="BQ762" s="96">
        <f t="shared" si="552"/>
        <v>32.799999999999997</v>
      </c>
      <c r="BR762">
        <v>1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s="18">
        <v>0</v>
      </c>
      <c r="BZ762">
        <v>0</v>
      </c>
      <c r="CA762">
        <v>0</v>
      </c>
      <c r="CB762">
        <v>1</v>
      </c>
      <c r="CC762" s="18">
        <v>0</v>
      </c>
      <c r="CD762">
        <v>0</v>
      </c>
      <c r="CE762">
        <v>0</v>
      </c>
      <c r="CF762">
        <v>0</v>
      </c>
      <c r="CG762">
        <v>0</v>
      </c>
      <c r="CH762" s="18">
        <v>0</v>
      </c>
      <c r="CI762">
        <v>0</v>
      </c>
      <c r="CJ762">
        <v>0</v>
      </c>
      <c r="CK762">
        <v>1</v>
      </c>
      <c r="CL762">
        <v>0</v>
      </c>
      <c r="CM762">
        <v>0</v>
      </c>
      <c r="CN762">
        <v>0</v>
      </c>
      <c r="CO762">
        <v>1</v>
      </c>
      <c r="CP762">
        <v>1</v>
      </c>
      <c r="CQ762">
        <v>1</v>
      </c>
      <c r="CR762">
        <v>1</v>
      </c>
      <c r="CS762" s="18">
        <v>1</v>
      </c>
      <c r="DD762" s="34" t="s">
        <v>86</v>
      </c>
    </row>
    <row r="763" spans="1:108" x14ac:dyDescent="0.25">
      <c r="A763">
        <v>762</v>
      </c>
      <c r="B763">
        <v>46</v>
      </c>
      <c r="C763" s="25" t="s">
        <v>506</v>
      </c>
      <c r="D763" s="12">
        <v>7.79</v>
      </c>
      <c r="E763" s="14">
        <v>0.03</v>
      </c>
      <c r="F763" s="7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>
        <v>0</v>
      </c>
      <c r="O763" s="9">
        <v>1</v>
      </c>
      <c r="P763" s="8">
        <v>0</v>
      </c>
      <c r="Q763" s="9">
        <v>0</v>
      </c>
      <c r="R763" s="9">
        <v>1</v>
      </c>
      <c r="S763" s="9">
        <v>0</v>
      </c>
      <c r="T763" s="9">
        <v>0</v>
      </c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Y763" s="7">
        <v>8.41</v>
      </c>
      <c r="Z763" s="7">
        <v>18.39</v>
      </c>
      <c r="AA763" s="9">
        <v>1</v>
      </c>
      <c r="AB763" s="9">
        <v>0</v>
      </c>
      <c r="AC763" s="9">
        <v>0</v>
      </c>
      <c r="AD763" s="9">
        <v>1</v>
      </c>
      <c r="AE763" s="9">
        <v>0</v>
      </c>
      <c r="AF763" s="9">
        <v>0</v>
      </c>
      <c r="AG763" s="8">
        <v>0</v>
      </c>
      <c r="AH763" s="9">
        <v>0</v>
      </c>
      <c r="AI763" s="30">
        <v>1</v>
      </c>
      <c r="AJ763" s="9">
        <v>0</v>
      </c>
      <c r="AK763" s="30">
        <v>1</v>
      </c>
      <c r="AL763" s="21">
        <v>2007</v>
      </c>
      <c r="AM763" s="23">
        <f t="shared" si="528"/>
        <v>7.604396348796338</v>
      </c>
      <c r="AN763" s="33" t="s">
        <v>106</v>
      </c>
      <c r="AO763" s="33" t="s">
        <v>106</v>
      </c>
      <c r="AP763" s="33" t="s">
        <v>106</v>
      </c>
      <c r="AQ763" s="43" t="s">
        <v>106</v>
      </c>
      <c r="AR763" s="33" t="s">
        <v>106</v>
      </c>
      <c r="AS763" s="43" t="s">
        <v>106</v>
      </c>
      <c r="AT763" s="42">
        <v>0.60299999999999998</v>
      </c>
      <c r="AU763" s="18">
        <v>0.39700000000000002</v>
      </c>
      <c r="AV763" s="39">
        <f t="shared" si="550"/>
        <v>0.77900000000000003</v>
      </c>
      <c r="AW763" s="40">
        <v>0.221</v>
      </c>
      <c r="AX763" s="39">
        <f t="shared" si="550"/>
        <v>0.78700000000000003</v>
      </c>
      <c r="AY763" s="40">
        <v>0.21299999999999999</v>
      </c>
      <c r="BA763" s="18"/>
      <c r="BB763">
        <f t="shared" si="551"/>
        <v>0.17500000000000004</v>
      </c>
      <c r="BC763" s="18">
        <v>0.82499999999999996</v>
      </c>
      <c r="BD763" s="18" t="s">
        <v>29</v>
      </c>
      <c r="BK763" s="18"/>
      <c r="BN763" s="18"/>
      <c r="BQ763" s="96">
        <f t="shared" si="552"/>
        <v>32.799999999999997</v>
      </c>
      <c r="BR763">
        <v>1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s="18">
        <v>0</v>
      </c>
      <c r="BZ763">
        <v>0</v>
      </c>
      <c r="CA763">
        <v>0</v>
      </c>
      <c r="CB763">
        <v>1</v>
      </c>
      <c r="CC763" s="18">
        <v>0</v>
      </c>
      <c r="CD763">
        <v>0</v>
      </c>
      <c r="CE763">
        <v>0</v>
      </c>
      <c r="CF763">
        <v>0</v>
      </c>
      <c r="CG763">
        <v>0</v>
      </c>
      <c r="CH763" s="18">
        <v>0</v>
      </c>
      <c r="CI763">
        <v>0</v>
      </c>
      <c r="CJ763">
        <v>0</v>
      </c>
      <c r="CK763">
        <v>1</v>
      </c>
      <c r="CL763">
        <v>0</v>
      </c>
      <c r="CM763">
        <v>0</v>
      </c>
      <c r="CN763">
        <v>0</v>
      </c>
      <c r="CO763">
        <v>1</v>
      </c>
      <c r="CP763">
        <v>0</v>
      </c>
      <c r="CQ763">
        <v>0</v>
      </c>
      <c r="CR763">
        <v>0</v>
      </c>
      <c r="CS763" s="18">
        <v>1</v>
      </c>
      <c r="DD763" s="34" t="s">
        <v>86</v>
      </c>
    </row>
    <row r="764" spans="1:108" x14ac:dyDescent="0.25">
      <c r="A764">
        <v>763</v>
      </c>
      <c r="B764">
        <v>46</v>
      </c>
      <c r="C764" s="25" t="s">
        <v>506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>
        <v>0</v>
      </c>
      <c r="O764" s="9">
        <v>1</v>
      </c>
      <c r="P764" s="8">
        <v>0</v>
      </c>
      <c r="Q764" s="9">
        <v>0</v>
      </c>
      <c r="R764" s="9">
        <v>1</v>
      </c>
      <c r="S764" s="9">
        <v>0</v>
      </c>
      <c r="T764" s="9">
        <v>0</v>
      </c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Y764" s="7">
        <v>8.41</v>
      </c>
      <c r="Z764" s="7">
        <v>18.39</v>
      </c>
      <c r="AA764" s="9">
        <v>1</v>
      </c>
      <c r="AB764" s="9">
        <v>0</v>
      </c>
      <c r="AC764" s="9">
        <v>0</v>
      </c>
      <c r="AD764" s="9">
        <v>1</v>
      </c>
      <c r="AE764" s="9">
        <v>0</v>
      </c>
      <c r="AF764" s="9">
        <v>0</v>
      </c>
      <c r="AG764" s="8">
        <v>0</v>
      </c>
      <c r="AH764" s="9">
        <v>0</v>
      </c>
      <c r="AI764" s="30">
        <v>1</v>
      </c>
      <c r="AJ764" s="9">
        <v>0</v>
      </c>
      <c r="AK764" s="30">
        <v>1</v>
      </c>
      <c r="AL764" s="21">
        <v>2007</v>
      </c>
      <c r="AM764" s="23">
        <f t="shared" si="528"/>
        <v>7.604396348796338</v>
      </c>
      <c r="AN764" s="33" t="s">
        <v>106</v>
      </c>
      <c r="AO764" s="33" t="s">
        <v>106</v>
      </c>
      <c r="AP764" s="33" t="s">
        <v>106</v>
      </c>
      <c r="AQ764" s="43" t="s">
        <v>106</v>
      </c>
      <c r="AR764" s="33" t="s">
        <v>106</v>
      </c>
      <c r="AS764" s="43" t="s">
        <v>106</v>
      </c>
      <c r="AT764" s="42">
        <v>0.60299999999999998</v>
      </c>
      <c r="AU764" s="18">
        <v>0.39700000000000002</v>
      </c>
      <c r="AV764" s="39">
        <f t="shared" si="550"/>
        <v>0.77900000000000003</v>
      </c>
      <c r="AW764" s="40">
        <v>0.221</v>
      </c>
      <c r="AX764" s="39">
        <f t="shared" si="550"/>
        <v>0.78700000000000003</v>
      </c>
      <c r="AY764" s="40">
        <v>0.21299999999999999</v>
      </c>
      <c r="BA764" s="18"/>
      <c r="BB764">
        <f t="shared" si="551"/>
        <v>0.17500000000000004</v>
      </c>
      <c r="BC764" s="18">
        <v>0.82499999999999996</v>
      </c>
      <c r="BD764" s="18" t="s">
        <v>29</v>
      </c>
      <c r="BK764" s="18"/>
      <c r="BN764" s="18"/>
      <c r="BQ764" s="96">
        <f t="shared" si="552"/>
        <v>32.799999999999997</v>
      </c>
      <c r="BR764">
        <v>1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s="18">
        <v>0</v>
      </c>
      <c r="BZ764">
        <v>0</v>
      </c>
      <c r="CA764">
        <v>0</v>
      </c>
      <c r="CB764">
        <v>1</v>
      </c>
      <c r="CC764" s="18">
        <v>0</v>
      </c>
      <c r="CD764">
        <v>0</v>
      </c>
      <c r="CE764">
        <v>0</v>
      </c>
      <c r="CF764">
        <v>0</v>
      </c>
      <c r="CG764">
        <v>0</v>
      </c>
      <c r="CH764" s="18">
        <v>0</v>
      </c>
      <c r="CI764">
        <v>0</v>
      </c>
      <c r="CJ764">
        <v>0</v>
      </c>
      <c r="CK764">
        <v>1</v>
      </c>
      <c r="CL764">
        <v>0</v>
      </c>
      <c r="CM764">
        <v>0</v>
      </c>
      <c r="CN764">
        <v>0</v>
      </c>
      <c r="CO764">
        <v>1</v>
      </c>
      <c r="CP764">
        <v>1</v>
      </c>
      <c r="CQ764">
        <v>0</v>
      </c>
      <c r="CR764">
        <v>0</v>
      </c>
      <c r="CS764" s="18">
        <v>1</v>
      </c>
      <c r="DD764" s="34" t="s">
        <v>86</v>
      </c>
    </row>
    <row r="765" spans="1:108" x14ac:dyDescent="0.25">
      <c r="A765">
        <v>764</v>
      </c>
      <c r="B765">
        <v>46</v>
      </c>
      <c r="C765" s="25" t="s">
        <v>506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>
        <v>0</v>
      </c>
      <c r="O765" s="9">
        <v>1</v>
      </c>
      <c r="P765" s="8">
        <v>0</v>
      </c>
      <c r="Q765" s="9">
        <v>0</v>
      </c>
      <c r="R765" s="9">
        <v>1</v>
      </c>
      <c r="S765" s="9">
        <v>0</v>
      </c>
      <c r="T765" s="9">
        <v>0</v>
      </c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Y765" s="7">
        <v>8.41</v>
      </c>
      <c r="Z765" s="7">
        <v>18.39</v>
      </c>
      <c r="AA765" s="9">
        <v>1</v>
      </c>
      <c r="AB765" s="9">
        <v>0</v>
      </c>
      <c r="AC765" s="9">
        <v>0</v>
      </c>
      <c r="AD765" s="9">
        <v>1</v>
      </c>
      <c r="AE765" s="9">
        <v>0</v>
      </c>
      <c r="AF765" s="9">
        <v>0</v>
      </c>
      <c r="AG765" s="8">
        <v>0</v>
      </c>
      <c r="AH765" s="9">
        <v>0</v>
      </c>
      <c r="AI765" s="30">
        <v>1</v>
      </c>
      <c r="AJ765" s="9">
        <v>0</v>
      </c>
      <c r="AK765" s="30">
        <v>1</v>
      </c>
      <c r="AL765" s="21">
        <v>2007</v>
      </c>
      <c r="AM765" s="23">
        <f t="shared" si="528"/>
        <v>7.604396348796338</v>
      </c>
      <c r="AN765" s="33" t="s">
        <v>106</v>
      </c>
      <c r="AO765" s="33" t="s">
        <v>106</v>
      </c>
      <c r="AP765" s="33" t="s">
        <v>106</v>
      </c>
      <c r="AQ765" s="43" t="s">
        <v>106</v>
      </c>
      <c r="AR765" s="33" t="s">
        <v>106</v>
      </c>
      <c r="AS765" s="43" t="s">
        <v>106</v>
      </c>
      <c r="AT765" s="42">
        <v>0.60299999999999998</v>
      </c>
      <c r="AU765" s="18">
        <v>0.39700000000000002</v>
      </c>
      <c r="AV765" s="39">
        <f t="shared" si="550"/>
        <v>0.77900000000000003</v>
      </c>
      <c r="AW765" s="40">
        <v>0.221</v>
      </c>
      <c r="AX765" s="39">
        <f t="shared" si="550"/>
        <v>0.78700000000000003</v>
      </c>
      <c r="AY765" s="40">
        <v>0.21299999999999999</v>
      </c>
      <c r="BA765" s="18"/>
      <c r="BB765">
        <f t="shared" si="551"/>
        <v>0.17500000000000004</v>
      </c>
      <c r="BC765" s="18">
        <v>0.82499999999999996</v>
      </c>
      <c r="BD765" s="18" t="s">
        <v>29</v>
      </c>
      <c r="BK765" s="18"/>
      <c r="BN765" s="18"/>
      <c r="BQ765" s="96">
        <f t="shared" si="552"/>
        <v>32.799999999999997</v>
      </c>
      <c r="BR765">
        <v>1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s="18">
        <v>0</v>
      </c>
      <c r="BZ765">
        <v>0</v>
      </c>
      <c r="CA765">
        <v>0</v>
      </c>
      <c r="CB765">
        <v>1</v>
      </c>
      <c r="CC765" s="18">
        <v>0</v>
      </c>
      <c r="CD765">
        <v>0</v>
      </c>
      <c r="CE765">
        <v>0</v>
      </c>
      <c r="CF765">
        <v>0</v>
      </c>
      <c r="CG765">
        <v>0</v>
      </c>
      <c r="CH765" s="18">
        <v>0</v>
      </c>
      <c r="CI765">
        <v>0</v>
      </c>
      <c r="CJ765">
        <v>0</v>
      </c>
      <c r="CK765">
        <v>1</v>
      </c>
      <c r="CL765">
        <v>0</v>
      </c>
      <c r="CM765">
        <v>0</v>
      </c>
      <c r="CN765">
        <v>0</v>
      </c>
      <c r="CO765">
        <v>1</v>
      </c>
      <c r="CP765">
        <v>1</v>
      </c>
      <c r="CQ765">
        <v>1</v>
      </c>
      <c r="CR765">
        <v>1</v>
      </c>
      <c r="CS765" s="18">
        <v>1</v>
      </c>
      <c r="DD765" s="34" t="s">
        <v>86</v>
      </c>
    </row>
    <row r="766" spans="1:108" x14ac:dyDescent="0.25">
      <c r="A766">
        <v>765</v>
      </c>
      <c r="B766">
        <v>46</v>
      </c>
      <c r="C766" s="25" t="s">
        <v>506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>
        <v>0</v>
      </c>
      <c r="O766" s="9">
        <v>1</v>
      </c>
      <c r="P766" s="8">
        <v>0</v>
      </c>
      <c r="Q766" s="9">
        <v>0</v>
      </c>
      <c r="R766" s="9">
        <v>1</v>
      </c>
      <c r="S766" s="9">
        <v>0</v>
      </c>
      <c r="T766" s="9">
        <v>0</v>
      </c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Y766" s="7">
        <v>8.41</v>
      </c>
      <c r="Z766" s="7">
        <v>18.39</v>
      </c>
      <c r="AA766" s="9">
        <v>1</v>
      </c>
      <c r="AB766" s="9">
        <v>0</v>
      </c>
      <c r="AC766" s="9">
        <v>0</v>
      </c>
      <c r="AD766" s="9">
        <v>1</v>
      </c>
      <c r="AE766" s="9">
        <v>0</v>
      </c>
      <c r="AF766" s="9">
        <v>0</v>
      </c>
      <c r="AG766" s="8">
        <v>0</v>
      </c>
      <c r="AH766" s="9">
        <v>0</v>
      </c>
      <c r="AI766" s="30">
        <v>1</v>
      </c>
      <c r="AJ766" s="9">
        <v>0</v>
      </c>
      <c r="AK766" s="30">
        <v>1</v>
      </c>
      <c r="AL766" s="21">
        <v>2007</v>
      </c>
      <c r="AM766" s="23">
        <f t="shared" si="528"/>
        <v>7.604396348796338</v>
      </c>
      <c r="AN766" s="33" t="s">
        <v>106</v>
      </c>
      <c r="AO766" s="33" t="s">
        <v>106</v>
      </c>
      <c r="AP766" s="33" t="s">
        <v>106</v>
      </c>
      <c r="AQ766" s="43" t="s">
        <v>106</v>
      </c>
      <c r="AR766" s="33" t="s">
        <v>106</v>
      </c>
      <c r="AS766" s="43" t="s">
        <v>106</v>
      </c>
      <c r="AT766" s="42">
        <v>0.60299999999999998</v>
      </c>
      <c r="AU766" s="18">
        <v>0.39700000000000002</v>
      </c>
      <c r="AV766" s="39">
        <f t="shared" si="550"/>
        <v>0.77900000000000003</v>
      </c>
      <c r="AW766" s="40">
        <v>0.221</v>
      </c>
      <c r="AX766" s="39">
        <f t="shared" si="550"/>
        <v>0.78700000000000003</v>
      </c>
      <c r="AY766" s="40">
        <v>0.21299999999999999</v>
      </c>
      <c r="BA766" s="18"/>
      <c r="BB766">
        <f t="shared" si="551"/>
        <v>0.17500000000000004</v>
      </c>
      <c r="BC766" s="18">
        <v>0.82499999999999996</v>
      </c>
      <c r="BD766" s="18" t="s">
        <v>29</v>
      </c>
      <c r="BK766" s="18"/>
      <c r="BN766" s="18"/>
      <c r="BQ766" s="96">
        <f t="shared" si="552"/>
        <v>32.799999999999997</v>
      </c>
      <c r="BR766">
        <v>1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s="18">
        <v>0</v>
      </c>
      <c r="BZ766">
        <v>0</v>
      </c>
      <c r="CA766">
        <v>0</v>
      </c>
      <c r="CB766">
        <v>1</v>
      </c>
      <c r="CC766" s="18">
        <v>0</v>
      </c>
      <c r="CD766">
        <v>0</v>
      </c>
      <c r="CE766">
        <v>0</v>
      </c>
      <c r="CF766">
        <v>0</v>
      </c>
      <c r="CG766">
        <v>0</v>
      </c>
      <c r="CH766" s="18">
        <v>0</v>
      </c>
      <c r="CI766">
        <v>0</v>
      </c>
      <c r="CJ766">
        <v>0</v>
      </c>
      <c r="CK766">
        <v>1</v>
      </c>
      <c r="CL766">
        <v>0</v>
      </c>
      <c r="CM766">
        <v>0</v>
      </c>
      <c r="CN766">
        <v>0</v>
      </c>
      <c r="CO766">
        <v>1</v>
      </c>
      <c r="CP766">
        <v>1</v>
      </c>
      <c r="CQ766">
        <v>1</v>
      </c>
      <c r="CR766">
        <v>1</v>
      </c>
      <c r="CS766" s="18">
        <v>1</v>
      </c>
      <c r="DD766" s="34" t="s">
        <v>86</v>
      </c>
    </row>
    <row r="767" spans="1:108" x14ac:dyDescent="0.25">
      <c r="A767">
        <v>766</v>
      </c>
      <c r="B767">
        <v>46</v>
      </c>
      <c r="C767" s="25" t="s">
        <v>506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>
        <v>0</v>
      </c>
      <c r="O767" s="9">
        <v>1</v>
      </c>
      <c r="P767" s="8">
        <v>0</v>
      </c>
      <c r="Q767" s="9">
        <v>0</v>
      </c>
      <c r="R767" s="9">
        <v>1</v>
      </c>
      <c r="S767" s="9">
        <v>0</v>
      </c>
      <c r="T767" s="9">
        <v>0</v>
      </c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Y767" s="7">
        <v>8.41</v>
      </c>
      <c r="Z767" s="7">
        <v>18.39</v>
      </c>
      <c r="AA767" s="9">
        <v>1</v>
      </c>
      <c r="AB767" s="9">
        <v>0</v>
      </c>
      <c r="AC767" s="9">
        <v>0</v>
      </c>
      <c r="AD767" s="9">
        <v>1</v>
      </c>
      <c r="AE767" s="9">
        <v>0</v>
      </c>
      <c r="AF767" s="9">
        <v>0</v>
      </c>
      <c r="AG767" s="8">
        <v>0</v>
      </c>
      <c r="AH767" s="9">
        <v>0</v>
      </c>
      <c r="AI767" s="30">
        <v>1</v>
      </c>
      <c r="AJ767" s="9">
        <v>0</v>
      </c>
      <c r="AK767" s="30">
        <v>1</v>
      </c>
      <c r="AL767" s="21">
        <v>2007</v>
      </c>
      <c r="AM767" s="23">
        <f t="shared" si="528"/>
        <v>7.604396348796338</v>
      </c>
      <c r="AN767" s="33" t="s">
        <v>106</v>
      </c>
      <c r="AO767" s="33" t="s">
        <v>106</v>
      </c>
      <c r="AP767" s="33" t="s">
        <v>106</v>
      </c>
      <c r="AQ767" s="43" t="s">
        <v>106</v>
      </c>
      <c r="AR767" s="33" t="s">
        <v>106</v>
      </c>
      <c r="AS767" s="43" t="s">
        <v>106</v>
      </c>
      <c r="AT767" s="42">
        <v>0.60299999999999998</v>
      </c>
      <c r="AU767" s="18">
        <v>0.39700000000000002</v>
      </c>
      <c r="AV767" s="39">
        <f t="shared" si="550"/>
        <v>0.77900000000000003</v>
      </c>
      <c r="AW767" s="40">
        <v>0.221</v>
      </c>
      <c r="AX767" s="39">
        <f t="shared" si="550"/>
        <v>0.78700000000000003</v>
      </c>
      <c r="AY767" s="40">
        <v>0.21299999999999999</v>
      </c>
      <c r="BA767" s="18"/>
      <c r="BB767">
        <f t="shared" si="551"/>
        <v>0.17500000000000004</v>
      </c>
      <c r="BC767" s="18">
        <v>0.82499999999999996</v>
      </c>
      <c r="BD767" s="18" t="s">
        <v>29</v>
      </c>
      <c r="BK767" s="18"/>
      <c r="BN767" s="18"/>
      <c r="BQ767" s="96">
        <f t="shared" si="552"/>
        <v>32.799999999999997</v>
      </c>
      <c r="BR767">
        <v>1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s="18">
        <v>0</v>
      </c>
      <c r="BZ767">
        <v>0</v>
      </c>
      <c r="CA767">
        <v>0</v>
      </c>
      <c r="CB767">
        <v>1</v>
      </c>
      <c r="CC767" s="18">
        <v>0</v>
      </c>
      <c r="CD767">
        <v>0</v>
      </c>
      <c r="CE767">
        <v>0</v>
      </c>
      <c r="CF767">
        <v>0</v>
      </c>
      <c r="CG767">
        <v>0</v>
      </c>
      <c r="CH767" s="18">
        <v>0</v>
      </c>
      <c r="CI767">
        <v>0</v>
      </c>
      <c r="CJ767">
        <v>0</v>
      </c>
      <c r="CK767">
        <v>1</v>
      </c>
      <c r="CL767">
        <v>0</v>
      </c>
      <c r="CM767">
        <v>0</v>
      </c>
      <c r="CN767">
        <v>0</v>
      </c>
      <c r="CO767">
        <v>1</v>
      </c>
      <c r="CP767">
        <v>1</v>
      </c>
      <c r="CQ767">
        <v>1</v>
      </c>
      <c r="CR767">
        <v>1</v>
      </c>
      <c r="CS767" s="18">
        <v>1</v>
      </c>
      <c r="DD767" s="34" t="s">
        <v>86</v>
      </c>
    </row>
    <row r="768" spans="1:108" x14ac:dyDescent="0.25">
      <c r="A768">
        <v>767</v>
      </c>
      <c r="B768">
        <v>46</v>
      </c>
      <c r="C768" s="25" t="s">
        <v>506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>
        <v>0</v>
      </c>
      <c r="O768" s="9">
        <v>1</v>
      </c>
      <c r="P768" s="8">
        <v>0</v>
      </c>
      <c r="Q768" s="9">
        <v>0</v>
      </c>
      <c r="R768" s="9">
        <v>1</v>
      </c>
      <c r="S768" s="9">
        <v>0</v>
      </c>
      <c r="T768" s="9">
        <v>0</v>
      </c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Y768" s="7">
        <v>8.41</v>
      </c>
      <c r="Z768" s="7">
        <v>18.39</v>
      </c>
      <c r="AA768" s="9">
        <v>1</v>
      </c>
      <c r="AB768" s="9">
        <v>0</v>
      </c>
      <c r="AC768" s="9">
        <v>0</v>
      </c>
      <c r="AD768" s="9">
        <v>1</v>
      </c>
      <c r="AE768" s="9">
        <v>0</v>
      </c>
      <c r="AF768" s="9">
        <v>0</v>
      </c>
      <c r="AG768" s="8">
        <v>0</v>
      </c>
      <c r="AH768" s="9">
        <v>0</v>
      </c>
      <c r="AI768" s="30">
        <v>1</v>
      </c>
      <c r="AJ768" s="9">
        <v>0</v>
      </c>
      <c r="AK768" s="30">
        <v>1</v>
      </c>
      <c r="AL768" s="21">
        <v>2007</v>
      </c>
      <c r="AM768" s="23">
        <f t="shared" si="528"/>
        <v>7.604396348796338</v>
      </c>
      <c r="AN768" s="33" t="s">
        <v>106</v>
      </c>
      <c r="AO768" s="33" t="s">
        <v>106</v>
      </c>
      <c r="AP768" s="33" t="s">
        <v>106</v>
      </c>
      <c r="AQ768" s="43" t="s">
        <v>106</v>
      </c>
      <c r="AR768" s="33" t="s">
        <v>106</v>
      </c>
      <c r="AS768" s="43" t="s">
        <v>106</v>
      </c>
      <c r="AT768" s="42">
        <v>0.60299999999999998</v>
      </c>
      <c r="AU768" s="18">
        <v>0.39700000000000002</v>
      </c>
      <c r="AV768" s="39">
        <f t="shared" si="550"/>
        <v>0.77900000000000003</v>
      </c>
      <c r="AW768" s="40">
        <v>0.221</v>
      </c>
      <c r="AX768" s="39">
        <f t="shared" si="550"/>
        <v>0.78700000000000003</v>
      </c>
      <c r="AY768" s="40">
        <v>0.21299999999999999</v>
      </c>
      <c r="BA768" s="18"/>
      <c r="BB768">
        <f t="shared" si="551"/>
        <v>0.17500000000000004</v>
      </c>
      <c r="BC768" s="18">
        <v>0.82499999999999996</v>
      </c>
      <c r="BD768" s="18" t="s">
        <v>29</v>
      </c>
      <c r="BK768" s="18"/>
      <c r="BN768" s="18"/>
      <c r="BQ768" s="96">
        <f t="shared" si="552"/>
        <v>32.799999999999997</v>
      </c>
      <c r="BR768">
        <v>1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s="18">
        <v>0</v>
      </c>
      <c r="BZ768">
        <v>0</v>
      </c>
      <c r="CA768">
        <v>0</v>
      </c>
      <c r="CB768">
        <v>1</v>
      </c>
      <c r="CC768" s="18">
        <v>0</v>
      </c>
      <c r="CD768">
        <v>0</v>
      </c>
      <c r="CE768">
        <v>0</v>
      </c>
      <c r="CF768">
        <v>0</v>
      </c>
      <c r="CG768">
        <v>0</v>
      </c>
      <c r="CH768" s="18">
        <v>0</v>
      </c>
      <c r="CI768">
        <v>0</v>
      </c>
      <c r="CJ768">
        <v>0</v>
      </c>
      <c r="CK768">
        <v>1</v>
      </c>
      <c r="CL768">
        <v>0</v>
      </c>
      <c r="CM768">
        <v>0</v>
      </c>
      <c r="CN768">
        <v>0</v>
      </c>
      <c r="CO768">
        <v>1</v>
      </c>
      <c r="CP768">
        <v>1</v>
      </c>
      <c r="CQ768">
        <v>1</v>
      </c>
      <c r="CR768">
        <v>1</v>
      </c>
      <c r="CS768" s="18">
        <v>1</v>
      </c>
      <c r="DD768" s="34" t="s">
        <v>86</v>
      </c>
    </row>
    <row r="769" spans="1:108" s="153" customFormat="1" x14ac:dyDescent="0.25">
      <c r="A769" s="153">
        <v>768</v>
      </c>
      <c r="B769" s="153">
        <v>46</v>
      </c>
      <c r="C769" s="154" t="s">
        <v>506</v>
      </c>
      <c r="D769" s="155">
        <v>5.84</v>
      </c>
      <c r="E769" s="156">
        <v>0.04</v>
      </c>
      <c r="F769" s="157">
        <v>38.857142857142897</v>
      </c>
      <c r="G769" s="157">
        <f t="shared" si="542"/>
        <v>5.8</v>
      </c>
      <c r="H769" s="158">
        <f t="shared" si="543"/>
        <v>5.88</v>
      </c>
      <c r="I769" s="159">
        <f t="shared" si="544"/>
        <v>6.8099630283182694E-2</v>
      </c>
      <c r="J769" s="160">
        <f t="shared" si="545"/>
        <v>1.7525640146407295E-3</v>
      </c>
      <c r="K769" s="160">
        <f t="shared" si="546"/>
        <v>570.59256703099493</v>
      </c>
      <c r="L769" s="160">
        <f t="shared" si="547"/>
        <v>6.6347066268541963E-2</v>
      </c>
      <c r="M769" s="160">
        <f t="shared" si="548"/>
        <v>6.9852194297823425E-2</v>
      </c>
      <c r="N769" s="161">
        <v>0</v>
      </c>
      <c r="O769" s="162">
        <v>1</v>
      </c>
      <c r="P769" s="161">
        <v>0</v>
      </c>
      <c r="Q769" s="162">
        <v>0</v>
      </c>
      <c r="R769" s="162">
        <v>1</v>
      </c>
      <c r="S769" s="162">
        <v>0</v>
      </c>
      <c r="T769" s="162">
        <v>0</v>
      </c>
      <c r="U769" s="161">
        <v>324084</v>
      </c>
      <c r="V769" s="162">
        <v>17</v>
      </c>
      <c r="W769" s="162">
        <f t="shared" si="549"/>
        <v>324066</v>
      </c>
      <c r="X769" s="162">
        <f t="shared" si="527"/>
        <v>30</v>
      </c>
      <c r="Y769" s="157">
        <v>8.41</v>
      </c>
      <c r="Z769" s="157">
        <v>18.39</v>
      </c>
      <c r="AA769" s="162">
        <v>1</v>
      </c>
      <c r="AB769" s="162">
        <v>0</v>
      </c>
      <c r="AC769" s="162">
        <v>0</v>
      </c>
      <c r="AD769" s="162">
        <v>1</v>
      </c>
      <c r="AE769" s="162">
        <v>0</v>
      </c>
      <c r="AF769" s="162">
        <v>0</v>
      </c>
      <c r="AG769" s="161">
        <v>0</v>
      </c>
      <c r="AH769" s="162">
        <v>0</v>
      </c>
      <c r="AI769" s="163">
        <v>1</v>
      </c>
      <c r="AJ769" s="162">
        <v>0</v>
      </c>
      <c r="AK769" s="163">
        <v>1</v>
      </c>
      <c r="AL769" s="164">
        <v>2007</v>
      </c>
      <c r="AM769" s="165">
        <f t="shared" si="528"/>
        <v>7.604396348796338</v>
      </c>
      <c r="AN769" s="160" t="s">
        <v>106</v>
      </c>
      <c r="AO769" s="160" t="s">
        <v>106</v>
      </c>
      <c r="AP769" s="160" t="s">
        <v>106</v>
      </c>
      <c r="AQ769" s="166" t="s">
        <v>106</v>
      </c>
      <c r="AR769" s="160" t="s">
        <v>106</v>
      </c>
      <c r="AS769" s="166" t="s">
        <v>106</v>
      </c>
      <c r="AT769" s="167">
        <v>0.60299999999999998</v>
      </c>
      <c r="AU769" s="168">
        <v>0.39700000000000002</v>
      </c>
      <c r="AV769" s="188">
        <f t="shared" si="550"/>
        <v>0.77900000000000003</v>
      </c>
      <c r="AW769" s="169">
        <v>0.221</v>
      </c>
      <c r="AX769" s="188">
        <f t="shared" si="550"/>
        <v>0.78700000000000003</v>
      </c>
      <c r="AY769" s="169">
        <v>0.21299999999999999</v>
      </c>
      <c r="BA769" s="168"/>
      <c r="BB769" s="153">
        <f t="shared" si="551"/>
        <v>0.17500000000000004</v>
      </c>
      <c r="BC769" s="168">
        <v>0.82499999999999996</v>
      </c>
      <c r="BD769" s="168" t="s">
        <v>29</v>
      </c>
      <c r="BK769" s="168"/>
      <c r="BN769" s="168"/>
      <c r="BQ769" s="170">
        <f t="shared" si="552"/>
        <v>32.799999999999997</v>
      </c>
      <c r="BR769" s="153">
        <v>1</v>
      </c>
      <c r="BS769" s="153">
        <v>0</v>
      </c>
      <c r="BT769" s="153">
        <v>0</v>
      </c>
      <c r="BU769" s="153">
        <v>0</v>
      </c>
      <c r="BV769" s="153">
        <v>0</v>
      </c>
      <c r="BW769" s="153">
        <v>0</v>
      </c>
      <c r="BX769" s="153">
        <v>0</v>
      </c>
      <c r="BY769" s="168">
        <v>0</v>
      </c>
      <c r="BZ769" s="153">
        <v>0</v>
      </c>
      <c r="CA769" s="153">
        <v>0</v>
      </c>
      <c r="CB769" s="153">
        <v>1</v>
      </c>
      <c r="CC769" s="168">
        <v>0</v>
      </c>
      <c r="CD769" s="153">
        <v>0</v>
      </c>
      <c r="CE769" s="153">
        <v>0</v>
      </c>
      <c r="CF769" s="153">
        <v>0</v>
      </c>
      <c r="CG769" s="153">
        <v>0</v>
      </c>
      <c r="CH769" s="168">
        <v>0</v>
      </c>
      <c r="CI769" s="153">
        <v>0</v>
      </c>
      <c r="CJ769" s="153">
        <v>0</v>
      </c>
      <c r="CK769" s="153">
        <v>1</v>
      </c>
      <c r="CL769" s="153">
        <v>0</v>
      </c>
      <c r="CM769" s="153">
        <v>0</v>
      </c>
      <c r="CN769" s="153">
        <v>0</v>
      </c>
      <c r="CO769" s="153">
        <v>1</v>
      </c>
      <c r="CP769" s="153">
        <v>1</v>
      </c>
      <c r="CQ769" s="153">
        <v>1</v>
      </c>
      <c r="CR769" s="153">
        <v>1</v>
      </c>
      <c r="CS769" s="168">
        <v>1</v>
      </c>
      <c r="CY769" s="171"/>
      <c r="DD769" s="171" t="s">
        <v>86</v>
      </c>
    </row>
    <row r="770" spans="1:108" x14ac:dyDescent="0.25">
      <c r="A770">
        <v>769</v>
      </c>
      <c r="B770">
        <v>47</v>
      </c>
      <c r="C770" s="25" t="s">
        <v>507</v>
      </c>
      <c r="D770" s="12">
        <v>8.5</v>
      </c>
      <c r="E770" s="14">
        <v>1.6</v>
      </c>
      <c r="F770" s="7">
        <f>D770/E770</f>
        <v>5.3125</v>
      </c>
      <c r="G770" s="7">
        <f t="shared" si="542"/>
        <v>6.9</v>
      </c>
      <c r="H770" s="16">
        <f t="shared" si="543"/>
        <v>10.1</v>
      </c>
      <c r="I770" s="11">
        <f t="shared" ref="I770:I784" si="553">IFERROR(F770/SQRT(F770^2+W770), "X")</f>
        <v>0.3708397595494462</v>
      </c>
      <c r="J770" s="33">
        <f t="shared" ref="J770:J784" si="554">IFERROR(SQRT((1-I770^2)/W770), "X")</f>
        <v>6.9805131209307508E-2</v>
      </c>
      <c r="K770" s="33">
        <f t="shared" ref="K770:K784" si="555">IFERROR(1/J770, "X")</f>
        <v>14.325594446653865</v>
      </c>
      <c r="L770" s="33">
        <f t="shared" ref="L770:L784" si="556">IFERROR(I770-J770, "X")</f>
        <v>0.30103462834013872</v>
      </c>
      <c r="M770" s="33">
        <f t="shared" ref="M770:M784" si="557">IFERROR(I770+J770, "X")</f>
        <v>0.44064489075875368</v>
      </c>
      <c r="N770" s="8">
        <v>1</v>
      </c>
      <c r="O770" s="9">
        <v>0</v>
      </c>
      <c r="P770" s="8">
        <v>1</v>
      </c>
      <c r="Q770" s="9">
        <v>0</v>
      </c>
      <c r="R770" s="9">
        <v>0</v>
      </c>
      <c r="S770" s="9">
        <v>0</v>
      </c>
      <c r="T770" s="9">
        <v>0</v>
      </c>
      <c r="U770" s="8">
        <v>180</v>
      </c>
      <c r="V770" s="9">
        <v>2</v>
      </c>
      <c r="W770" s="9">
        <f t="shared" si="549"/>
        <v>177</v>
      </c>
      <c r="X770" s="9">
        <f t="shared" si="527"/>
        <v>14</v>
      </c>
      <c r="Y770" s="7">
        <v>7.8</v>
      </c>
      <c r="Z770" s="7">
        <f>BQ770-Y770-7</f>
        <v>19.059999999999999</v>
      </c>
      <c r="AA770" s="9">
        <v>1</v>
      </c>
      <c r="AB770" s="9">
        <v>0</v>
      </c>
      <c r="AC770" s="9">
        <v>0</v>
      </c>
      <c r="AD770" s="9">
        <v>1</v>
      </c>
      <c r="AE770" s="9">
        <v>0</v>
      </c>
      <c r="AF770" s="9">
        <v>0</v>
      </c>
      <c r="AG770" s="8">
        <v>0</v>
      </c>
      <c r="AH770" s="9">
        <v>0</v>
      </c>
      <c r="AI770" s="30">
        <v>1</v>
      </c>
      <c r="AJ770" s="9">
        <v>1</v>
      </c>
      <c r="AK770" s="30">
        <v>0</v>
      </c>
      <c r="AL770" s="21">
        <v>1960</v>
      </c>
      <c r="AM770" s="23">
        <f t="shared" si="528"/>
        <v>7.5806997522245627</v>
      </c>
      <c r="AN770" s="33" t="s">
        <v>106</v>
      </c>
      <c r="AO770" s="33" t="s">
        <v>106</v>
      </c>
      <c r="AP770" s="33" t="s">
        <v>106</v>
      </c>
      <c r="AQ770" s="43" t="s">
        <v>106</v>
      </c>
      <c r="AR770" s="33" t="s">
        <v>106</v>
      </c>
      <c r="AS770" s="43" t="s">
        <v>106</v>
      </c>
      <c r="AT770" s="42">
        <f>1-AU770</f>
        <v>0.66999999999999993</v>
      </c>
      <c r="AU770" s="18">
        <v>0.33</v>
      </c>
      <c r="AV770">
        <v>1</v>
      </c>
      <c r="AW770" s="40">
        <v>0</v>
      </c>
      <c r="AX770" t="s">
        <v>106</v>
      </c>
      <c r="AY770" s="40" t="s">
        <v>106</v>
      </c>
      <c r="BA770" s="18"/>
      <c r="BB770">
        <v>0</v>
      </c>
      <c r="BC770" s="18">
        <v>1</v>
      </c>
      <c r="BD770" s="18" t="s">
        <v>508</v>
      </c>
      <c r="BK770" s="18"/>
      <c r="BN770" s="18"/>
      <c r="BQ770" s="25">
        <v>33.86</v>
      </c>
      <c r="BR770">
        <v>1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s="18">
        <v>0</v>
      </c>
      <c r="BZ770">
        <v>0</v>
      </c>
      <c r="CA770">
        <v>0</v>
      </c>
      <c r="CB770">
        <v>1</v>
      </c>
      <c r="CC770" s="18">
        <v>0</v>
      </c>
      <c r="CD770">
        <v>0</v>
      </c>
      <c r="CE770">
        <v>0</v>
      </c>
      <c r="CF770">
        <v>0</v>
      </c>
      <c r="CG770">
        <v>0</v>
      </c>
      <c r="CH770" s="18">
        <v>0</v>
      </c>
      <c r="CI770">
        <v>0</v>
      </c>
      <c r="CJ770">
        <v>0</v>
      </c>
      <c r="CK770">
        <v>1</v>
      </c>
      <c r="CL770">
        <v>0</v>
      </c>
      <c r="CM770">
        <v>1</v>
      </c>
      <c r="CN770">
        <v>0</v>
      </c>
      <c r="CO770">
        <v>0</v>
      </c>
      <c r="CP770">
        <v>0</v>
      </c>
      <c r="CQ770">
        <v>0</v>
      </c>
      <c r="CR770">
        <v>0</v>
      </c>
      <c r="CS770" s="18">
        <v>1</v>
      </c>
      <c r="DD770" s="34" t="s">
        <v>86</v>
      </c>
    </row>
    <row r="771" spans="1:108" x14ac:dyDescent="0.25">
      <c r="A771">
        <v>770</v>
      </c>
      <c r="B771">
        <v>47</v>
      </c>
      <c r="C771" s="25" t="s">
        <v>507</v>
      </c>
      <c r="D771" s="12">
        <v>8.1</v>
      </c>
      <c r="E771" s="14">
        <v>1.7</v>
      </c>
      <c r="F771" s="7">
        <f t="shared" ref="F771:F821" si="558">D771/E771</f>
        <v>4.7647058823529411</v>
      </c>
      <c r="G771" s="7">
        <f t="shared" si="542"/>
        <v>6.3999999999999995</v>
      </c>
      <c r="H771" s="16">
        <f t="shared" si="543"/>
        <v>9.7999999999999989</v>
      </c>
      <c r="I771" s="11">
        <f t="shared" si="553"/>
        <v>0.34323574598937379</v>
      </c>
      <c r="J771" s="33">
        <f t="shared" si="554"/>
        <v>7.2037131874313015E-2</v>
      </c>
      <c r="K771" s="33">
        <f t="shared" si="555"/>
        <v>13.881729796582585</v>
      </c>
      <c r="L771" s="33">
        <f t="shared" si="556"/>
        <v>0.27119861411506074</v>
      </c>
      <c r="M771" s="33">
        <f t="shared" si="557"/>
        <v>0.41527287786368683</v>
      </c>
      <c r="N771" s="8">
        <v>1</v>
      </c>
      <c r="O771" s="9">
        <v>0</v>
      </c>
      <c r="P771" s="8">
        <v>1</v>
      </c>
      <c r="Q771" s="9">
        <v>0</v>
      </c>
      <c r="R771" s="9">
        <v>0</v>
      </c>
      <c r="S771" s="9">
        <v>0</v>
      </c>
      <c r="T771" s="9">
        <v>0</v>
      </c>
      <c r="U771" s="8">
        <v>180</v>
      </c>
      <c r="V771" s="9">
        <v>9</v>
      </c>
      <c r="W771" s="9">
        <f t="shared" si="549"/>
        <v>170</v>
      </c>
      <c r="X771" s="9">
        <f t="shared" ref="X771:X834" si="559">COUNTIF(B:B,B771)</f>
        <v>14</v>
      </c>
      <c r="Y771" s="7">
        <v>7.8</v>
      </c>
      <c r="Z771" s="7">
        <f t="shared" ref="Z771:Z783" si="560">BQ771-Y771-7</f>
        <v>19.059999999999999</v>
      </c>
      <c r="AA771" s="9">
        <v>1</v>
      </c>
      <c r="AB771" s="9">
        <v>0</v>
      </c>
      <c r="AC771" s="9">
        <v>0</v>
      </c>
      <c r="AD771" s="9">
        <v>1</v>
      </c>
      <c r="AE771" s="9">
        <v>0</v>
      </c>
      <c r="AF771" s="9">
        <v>0</v>
      </c>
      <c r="AG771" s="8">
        <v>0</v>
      </c>
      <c r="AH771" s="9">
        <v>0</v>
      </c>
      <c r="AI771" s="30">
        <v>1</v>
      </c>
      <c r="AJ771" s="9">
        <v>1</v>
      </c>
      <c r="AK771" s="30">
        <v>0</v>
      </c>
      <c r="AL771" s="21">
        <v>1960</v>
      </c>
      <c r="AM771" s="23">
        <f t="shared" ref="AM771:AM834" si="561">LN(AL771)</f>
        <v>7.5806997522245627</v>
      </c>
      <c r="AN771" s="33" t="s">
        <v>106</v>
      </c>
      <c r="AO771" s="33" t="s">
        <v>106</v>
      </c>
      <c r="AP771" s="33" t="s">
        <v>106</v>
      </c>
      <c r="AQ771" s="43" t="s">
        <v>106</v>
      </c>
      <c r="AR771" s="33" t="s">
        <v>106</v>
      </c>
      <c r="AS771" s="43" t="s">
        <v>106</v>
      </c>
      <c r="AT771" s="42">
        <f t="shared" ref="AT771:AT783" si="562">1-AU771</f>
        <v>0.66999999999999993</v>
      </c>
      <c r="AU771" s="18">
        <v>0.33</v>
      </c>
      <c r="AV771">
        <v>1</v>
      </c>
      <c r="AW771" s="40">
        <v>0</v>
      </c>
      <c r="AX771" t="s">
        <v>106</v>
      </c>
      <c r="AY771" s="40" t="s">
        <v>106</v>
      </c>
      <c r="BA771" s="18"/>
      <c r="BB771">
        <v>0</v>
      </c>
      <c r="BC771" s="18">
        <v>1</v>
      </c>
      <c r="BD771" s="18" t="s">
        <v>508</v>
      </c>
      <c r="BK771" s="18"/>
      <c r="BN771" s="18"/>
      <c r="BQ771" s="25">
        <v>33.86</v>
      </c>
      <c r="BR771">
        <v>1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s="18">
        <v>0</v>
      </c>
      <c r="BZ771">
        <v>0</v>
      </c>
      <c r="CA771">
        <v>0</v>
      </c>
      <c r="CB771">
        <v>1</v>
      </c>
      <c r="CC771" s="18">
        <v>0</v>
      </c>
      <c r="CD771">
        <v>0</v>
      </c>
      <c r="CE771">
        <v>0</v>
      </c>
      <c r="CF771">
        <v>0</v>
      </c>
      <c r="CG771">
        <v>0</v>
      </c>
      <c r="CH771" s="18">
        <v>0</v>
      </c>
      <c r="CI771">
        <v>0</v>
      </c>
      <c r="CJ771">
        <v>0</v>
      </c>
      <c r="CK771">
        <v>1</v>
      </c>
      <c r="CL771">
        <v>0</v>
      </c>
      <c r="CM771">
        <v>1</v>
      </c>
      <c r="CN771">
        <v>0</v>
      </c>
      <c r="CO771">
        <v>0</v>
      </c>
      <c r="CP771">
        <v>0</v>
      </c>
      <c r="CQ771">
        <v>0</v>
      </c>
      <c r="CR771">
        <v>0</v>
      </c>
      <c r="CS771" s="18">
        <v>1</v>
      </c>
      <c r="DD771" s="34" t="s">
        <v>86</v>
      </c>
    </row>
    <row r="772" spans="1:108" x14ac:dyDescent="0.25">
      <c r="A772">
        <v>771</v>
      </c>
      <c r="B772">
        <v>47</v>
      </c>
      <c r="C772" s="25" t="s">
        <v>507</v>
      </c>
      <c r="D772" s="12">
        <v>7.3</v>
      </c>
      <c r="E772" s="14">
        <v>1.6</v>
      </c>
      <c r="F772" s="7">
        <f t="shared" si="558"/>
        <v>4.5625</v>
      </c>
      <c r="G772" s="7">
        <f t="shared" si="542"/>
        <v>5.6999999999999993</v>
      </c>
      <c r="H772" s="16">
        <f t="shared" si="543"/>
        <v>8.9</v>
      </c>
      <c r="I772" s="11">
        <f t="shared" si="553"/>
        <v>0.33115857421468636</v>
      </c>
      <c r="J772" s="33">
        <f t="shared" si="554"/>
        <v>7.2582701197739477E-2</v>
      </c>
      <c r="K772" s="33">
        <f t="shared" si="555"/>
        <v>13.777387497272478</v>
      </c>
      <c r="L772" s="33">
        <f t="shared" si="556"/>
        <v>0.2585758730169469</v>
      </c>
      <c r="M772" s="33">
        <f t="shared" si="557"/>
        <v>0.40374127541242583</v>
      </c>
      <c r="N772" s="8">
        <v>1</v>
      </c>
      <c r="O772" s="9">
        <v>0</v>
      </c>
      <c r="P772" s="8">
        <v>1</v>
      </c>
      <c r="Q772" s="9">
        <v>0</v>
      </c>
      <c r="R772" s="9">
        <v>0</v>
      </c>
      <c r="S772" s="9">
        <v>0</v>
      </c>
      <c r="T772" s="9">
        <v>0</v>
      </c>
      <c r="U772" s="8">
        <v>180</v>
      </c>
      <c r="V772" s="9">
        <v>10</v>
      </c>
      <c r="W772" s="9">
        <f t="shared" si="549"/>
        <v>169</v>
      </c>
      <c r="X772" s="9">
        <f t="shared" si="559"/>
        <v>14</v>
      </c>
      <c r="Y772" s="7">
        <v>7.8</v>
      </c>
      <c r="Z772" s="7">
        <f t="shared" si="560"/>
        <v>19.059999999999999</v>
      </c>
      <c r="AA772" s="9">
        <v>1</v>
      </c>
      <c r="AB772" s="9">
        <v>0</v>
      </c>
      <c r="AC772" s="9">
        <v>0</v>
      </c>
      <c r="AD772" s="9">
        <v>1</v>
      </c>
      <c r="AE772" s="9">
        <v>0</v>
      </c>
      <c r="AF772" s="9">
        <v>0</v>
      </c>
      <c r="AG772" s="8">
        <v>0</v>
      </c>
      <c r="AH772" s="9">
        <v>0</v>
      </c>
      <c r="AI772" s="30">
        <v>1</v>
      </c>
      <c r="AJ772" s="9">
        <v>1</v>
      </c>
      <c r="AK772" s="30">
        <v>0</v>
      </c>
      <c r="AL772" s="21">
        <v>1960</v>
      </c>
      <c r="AM772" s="23">
        <f t="shared" si="561"/>
        <v>7.5806997522245627</v>
      </c>
      <c r="AN772" s="33" t="s">
        <v>106</v>
      </c>
      <c r="AO772" s="33" t="s">
        <v>106</v>
      </c>
      <c r="AP772" s="33" t="s">
        <v>106</v>
      </c>
      <c r="AQ772" s="43" t="s">
        <v>106</v>
      </c>
      <c r="AR772" s="33" t="s">
        <v>106</v>
      </c>
      <c r="AS772" s="43" t="s">
        <v>106</v>
      </c>
      <c r="AT772" s="42">
        <f t="shared" si="562"/>
        <v>0.66999999999999993</v>
      </c>
      <c r="AU772" s="18">
        <v>0.33</v>
      </c>
      <c r="AV772">
        <v>1</v>
      </c>
      <c r="AW772" s="40">
        <v>0</v>
      </c>
      <c r="AX772" t="s">
        <v>106</v>
      </c>
      <c r="AY772" s="40" t="s">
        <v>106</v>
      </c>
      <c r="BA772" s="18"/>
      <c r="BB772">
        <v>0</v>
      </c>
      <c r="BC772" s="18">
        <v>1</v>
      </c>
      <c r="BD772" s="18" t="s">
        <v>508</v>
      </c>
      <c r="BK772" s="18"/>
      <c r="BN772" s="18"/>
      <c r="BQ772" s="25">
        <v>33.86</v>
      </c>
      <c r="BR772">
        <v>1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s="18">
        <v>0</v>
      </c>
      <c r="BZ772">
        <v>0</v>
      </c>
      <c r="CA772">
        <v>0</v>
      </c>
      <c r="CB772">
        <v>1</v>
      </c>
      <c r="CC772" s="18">
        <v>0</v>
      </c>
      <c r="CD772">
        <v>0</v>
      </c>
      <c r="CE772">
        <v>0</v>
      </c>
      <c r="CF772">
        <v>0</v>
      </c>
      <c r="CG772">
        <v>0</v>
      </c>
      <c r="CH772" s="18">
        <v>0</v>
      </c>
      <c r="CI772">
        <v>0</v>
      </c>
      <c r="CJ772">
        <v>0</v>
      </c>
      <c r="CK772">
        <v>1</v>
      </c>
      <c r="CL772">
        <v>0</v>
      </c>
      <c r="CM772">
        <v>1</v>
      </c>
      <c r="CN772">
        <v>0</v>
      </c>
      <c r="CO772">
        <v>0</v>
      </c>
      <c r="CP772">
        <v>0</v>
      </c>
      <c r="CQ772">
        <v>0</v>
      </c>
      <c r="CR772">
        <v>0</v>
      </c>
      <c r="CS772" s="18">
        <v>1</v>
      </c>
      <c r="DD772" s="34" t="s">
        <v>86</v>
      </c>
    </row>
    <row r="773" spans="1:108" x14ac:dyDescent="0.25">
      <c r="A773">
        <v>772</v>
      </c>
      <c r="B773">
        <v>47</v>
      </c>
      <c r="C773" s="25" t="s">
        <v>507</v>
      </c>
      <c r="D773" s="12">
        <v>7.4</v>
      </c>
      <c r="E773" s="14">
        <v>2</v>
      </c>
      <c r="F773" s="7">
        <f t="shared" si="558"/>
        <v>3.7</v>
      </c>
      <c r="G773" s="7">
        <f t="shared" si="542"/>
        <v>5.4</v>
      </c>
      <c r="H773" s="16">
        <f t="shared" si="543"/>
        <v>9.4</v>
      </c>
      <c r="I773" s="11">
        <f t="shared" si="553"/>
        <v>0.27374382805481862</v>
      </c>
      <c r="J773" s="33">
        <f t="shared" si="554"/>
        <v>7.3984818393194207E-2</v>
      </c>
      <c r="K773" s="33">
        <f t="shared" si="555"/>
        <v>13.516286472252652</v>
      </c>
      <c r="L773" s="33">
        <f t="shared" si="556"/>
        <v>0.19975900966162441</v>
      </c>
      <c r="M773" s="33">
        <f t="shared" si="557"/>
        <v>0.34772864644801282</v>
      </c>
      <c r="N773" s="8">
        <v>1</v>
      </c>
      <c r="O773" s="9">
        <v>0</v>
      </c>
      <c r="P773" s="8">
        <v>1</v>
      </c>
      <c r="Q773" s="9">
        <v>0</v>
      </c>
      <c r="R773" s="9">
        <v>0</v>
      </c>
      <c r="S773" s="9">
        <v>0</v>
      </c>
      <c r="T773" s="9">
        <v>0</v>
      </c>
      <c r="U773" s="8">
        <v>180</v>
      </c>
      <c r="V773" s="9">
        <v>10</v>
      </c>
      <c r="W773" s="9">
        <f t="shared" si="549"/>
        <v>169</v>
      </c>
      <c r="X773" s="9">
        <f t="shared" si="559"/>
        <v>14</v>
      </c>
      <c r="Y773" s="7">
        <v>7.8</v>
      </c>
      <c r="Z773" s="7">
        <f t="shared" si="560"/>
        <v>19.059999999999999</v>
      </c>
      <c r="AA773" s="9">
        <v>1</v>
      </c>
      <c r="AB773" s="9">
        <v>0</v>
      </c>
      <c r="AC773" s="9">
        <v>0</v>
      </c>
      <c r="AD773" s="9">
        <v>1</v>
      </c>
      <c r="AE773" s="9">
        <v>0</v>
      </c>
      <c r="AF773" s="9">
        <v>0</v>
      </c>
      <c r="AG773" s="8">
        <v>0</v>
      </c>
      <c r="AH773" s="9">
        <v>0</v>
      </c>
      <c r="AI773" s="30">
        <v>1</v>
      </c>
      <c r="AJ773" s="9">
        <v>1</v>
      </c>
      <c r="AK773" s="30">
        <v>0</v>
      </c>
      <c r="AL773" s="21">
        <v>1960</v>
      </c>
      <c r="AM773" s="23">
        <f t="shared" si="561"/>
        <v>7.5806997522245627</v>
      </c>
      <c r="AN773" s="33" t="s">
        <v>106</v>
      </c>
      <c r="AO773" s="33" t="s">
        <v>106</v>
      </c>
      <c r="AP773" s="33" t="s">
        <v>106</v>
      </c>
      <c r="AQ773" s="43" t="s">
        <v>106</v>
      </c>
      <c r="AR773" s="33" t="s">
        <v>106</v>
      </c>
      <c r="AS773" s="43" t="s">
        <v>106</v>
      </c>
      <c r="AT773" s="42">
        <f t="shared" si="562"/>
        <v>0.66999999999999993</v>
      </c>
      <c r="AU773" s="18">
        <v>0.33</v>
      </c>
      <c r="AV773">
        <v>1</v>
      </c>
      <c r="AW773" s="40">
        <v>0</v>
      </c>
      <c r="AX773" t="s">
        <v>106</v>
      </c>
      <c r="AY773" s="40" t="s">
        <v>106</v>
      </c>
      <c r="BA773" s="18"/>
      <c r="BB773">
        <v>0</v>
      </c>
      <c r="BC773" s="18">
        <v>1</v>
      </c>
      <c r="BD773" s="18" t="s">
        <v>508</v>
      </c>
      <c r="BK773" s="18"/>
      <c r="BN773" s="18"/>
      <c r="BQ773" s="25">
        <v>33.86</v>
      </c>
      <c r="BR773">
        <v>1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s="18">
        <v>0</v>
      </c>
      <c r="BZ773">
        <v>0</v>
      </c>
      <c r="CA773">
        <v>0</v>
      </c>
      <c r="CB773">
        <v>1</v>
      </c>
      <c r="CC773" s="18">
        <v>0</v>
      </c>
      <c r="CD773">
        <v>0</v>
      </c>
      <c r="CE773">
        <v>0</v>
      </c>
      <c r="CF773">
        <v>0</v>
      </c>
      <c r="CG773">
        <v>0</v>
      </c>
      <c r="CH773" s="18">
        <v>0</v>
      </c>
      <c r="CI773">
        <v>0</v>
      </c>
      <c r="CJ773">
        <v>0</v>
      </c>
      <c r="CK773">
        <v>1</v>
      </c>
      <c r="CL773">
        <v>0</v>
      </c>
      <c r="CM773">
        <v>1</v>
      </c>
      <c r="CN773">
        <v>0</v>
      </c>
      <c r="CO773">
        <v>0</v>
      </c>
      <c r="CP773">
        <v>0</v>
      </c>
      <c r="CQ773">
        <v>0</v>
      </c>
      <c r="CR773">
        <v>0</v>
      </c>
      <c r="CS773" s="18">
        <v>1</v>
      </c>
      <c r="DD773" s="34" t="s">
        <v>86</v>
      </c>
    </row>
    <row r="774" spans="1:108" x14ac:dyDescent="0.25">
      <c r="A774">
        <v>773</v>
      </c>
      <c r="B774">
        <v>47</v>
      </c>
      <c r="C774" s="25" t="s">
        <v>507</v>
      </c>
      <c r="D774" s="12">
        <v>10.199999999999999</v>
      </c>
      <c r="E774" s="14">
        <v>0.8</v>
      </c>
      <c r="F774" s="7">
        <f t="shared" si="558"/>
        <v>12.749999999999998</v>
      </c>
      <c r="G774" s="7">
        <f t="shared" si="542"/>
        <v>9.3999999999999986</v>
      </c>
      <c r="H774" s="16">
        <f t="shared" si="543"/>
        <v>11</v>
      </c>
      <c r="I774" s="11">
        <f t="shared" si="553"/>
        <v>0.32484076433121012</v>
      </c>
      <c r="J774" s="33">
        <f t="shared" si="554"/>
        <v>2.5477707006369425E-2</v>
      </c>
      <c r="K774" s="33">
        <f t="shared" si="555"/>
        <v>39.25</v>
      </c>
      <c r="L774" s="33">
        <f t="shared" si="556"/>
        <v>0.2993630573248407</v>
      </c>
      <c r="M774" s="33">
        <f t="shared" si="557"/>
        <v>0.35031847133757954</v>
      </c>
      <c r="N774" s="8">
        <v>1</v>
      </c>
      <c r="O774" s="9">
        <v>0</v>
      </c>
      <c r="P774" s="8">
        <v>1</v>
      </c>
      <c r="Q774" s="9">
        <v>0</v>
      </c>
      <c r="R774" s="9">
        <v>0</v>
      </c>
      <c r="S774" s="9">
        <v>0</v>
      </c>
      <c r="T774" s="9">
        <v>0</v>
      </c>
      <c r="U774" s="8">
        <v>1381</v>
      </c>
      <c r="V774" s="9">
        <v>2</v>
      </c>
      <c r="W774" s="9">
        <f t="shared" si="549"/>
        <v>1378</v>
      </c>
      <c r="X774" s="9">
        <f t="shared" si="559"/>
        <v>14</v>
      </c>
      <c r="Y774" s="7">
        <v>8.75</v>
      </c>
      <c r="Z774" s="7">
        <f t="shared" si="560"/>
        <v>18.43</v>
      </c>
      <c r="AA774" s="9">
        <v>1</v>
      </c>
      <c r="AB774" s="9">
        <v>0</v>
      </c>
      <c r="AC774" s="9">
        <v>0</v>
      </c>
      <c r="AD774" s="9">
        <v>1</v>
      </c>
      <c r="AE774" s="9">
        <v>0</v>
      </c>
      <c r="AF774" s="9">
        <v>0</v>
      </c>
      <c r="AG774" s="8">
        <v>0</v>
      </c>
      <c r="AH774" s="9">
        <v>0</v>
      </c>
      <c r="AI774" s="30">
        <v>1</v>
      </c>
      <c r="AJ774" s="9">
        <v>1</v>
      </c>
      <c r="AK774" s="30">
        <v>0</v>
      </c>
      <c r="AL774" s="21">
        <v>1960</v>
      </c>
      <c r="AM774" s="23">
        <f t="shared" si="561"/>
        <v>7.5806997522245627</v>
      </c>
      <c r="AN774" s="33" t="s">
        <v>106</v>
      </c>
      <c r="AO774" s="33" t="s">
        <v>106</v>
      </c>
      <c r="AP774" s="33" t="s">
        <v>106</v>
      </c>
      <c r="AQ774" s="43" t="s">
        <v>106</v>
      </c>
      <c r="AR774" s="33" t="s">
        <v>106</v>
      </c>
      <c r="AS774" s="43" t="s">
        <v>106</v>
      </c>
      <c r="AT774" s="42">
        <f t="shared" si="562"/>
        <v>0.97</v>
      </c>
      <c r="AU774" s="18">
        <v>0.03</v>
      </c>
      <c r="AV774">
        <v>1</v>
      </c>
      <c r="AW774" s="40">
        <v>0</v>
      </c>
      <c r="AX774" t="s">
        <v>106</v>
      </c>
      <c r="AY774" s="40" t="s">
        <v>106</v>
      </c>
      <c r="BA774" s="18"/>
      <c r="BB774">
        <v>0</v>
      </c>
      <c r="BC774" s="18">
        <v>1</v>
      </c>
      <c r="BD774" s="18" t="s">
        <v>508</v>
      </c>
      <c r="BK774" s="18"/>
      <c r="BN774" s="18"/>
      <c r="BQ774" s="25">
        <v>34.18</v>
      </c>
      <c r="BR774">
        <v>1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s="18">
        <v>0</v>
      </c>
      <c r="BZ774">
        <v>0</v>
      </c>
      <c r="CA774">
        <v>0</v>
      </c>
      <c r="CB774">
        <v>1</v>
      </c>
      <c r="CC774" s="18">
        <v>0</v>
      </c>
      <c r="CD774">
        <v>0</v>
      </c>
      <c r="CE774">
        <v>0</v>
      </c>
      <c r="CF774">
        <v>0</v>
      </c>
      <c r="CG774">
        <v>0</v>
      </c>
      <c r="CH774" s="18">
        <v>0</v>
      </c>
      <c r="CI774">
        <v>0</v>
      </c>
      <c r="CJ774">
        <v>0</v>
      </c>
      <c r="CK774">
        <v>1</v>
      </c>
      <c r="CL774">
        <v>0</v>
      </c>
      <c r="CM774">
        <v>1</v>
      </c>
      <c r="CN774">
        <v>0</v>
      </c>
      <c r="CO774">
        <v>0</v>
      </c>
      <c r="CP774">
        <v>0</v>
      </c>
      <c r="CQ774">
        <v>0</v>
      </c>
      <c r="CR774">
        <v>0</v>
      </c>
      <c r="CS774" s="18">
        <v>1</v>
      </c>
      <c r="DD774" s="34" t="s">
        <v>86</v>
      </c>
    </row>
    <row r="775" spans="1:108" x14ac:dyDescent="0.25">
      <c r="A775">
        <v>774</v>
      </c>
      <c r="B775">
        <v>47</v>
      </c>
      <c r="C775" s="25" t="s">
        <v>507</v>
      </c>
      <c r="D775" s="12">
        <v>9.3000000000000007</v>
      </c>
      <c r="E775" s="14">
        <v>0.8</v>
      </c>
      <c r="F775" s="7">
        <f t="shared" si="558"/>
        <v>11.625</v>
      </c>
      <c r="G775" s="7">
        <f t="shared" si="542"/>
        <v>8.5</v>
      </c>
      <c r="H775" s="16">
        <f t="shared" si="543"/>
        <v>10.100000000000001</v>
      </c>
      <c r="I775" s="11">
        <f t="shared" si="553"/>
        <v>0.29954370702335192</v>
      </c>
      <c r="J775" s="33">
        <f t="shared" si="554"/>
        <v>2.5767200604159306E-2</v>
      </c>
      <c r="K775" s="33">
        <f t="shared" si="555"/>
        <v>38.80902762244888</v>
      </c>
      <c r="L775" s="33">
        <f t="shared" si="556"/>
        <v>0.2737765064191926</v>
      </c>
      <c r="M775" s="33">
        <f t="shared" si="557"/>
        <v>0.32531090762751125</v>
      </c>
      <c r="N775" s="8">
        <v>1</v>
      </c>
      <c r="O775" s="9">
        <v>0</v>
      </c>
      <c r="P775" s="8">
        <v>1</v>
      </c>
      <c r="Q775" s="9">
        <v>0</v>
      </c>
      <c r="R775" s="9">
        <v>0</v>
      </c>
      <c r="S775" s="9">
        <v>0</v>
      </c>
      <c r="T775" s="9">
        <v>0</v>
      </c>
      <c r="U775" s="8">
        <v>1381</v>
      </c>
      <c r="V775" s="9">
        <v>9</v>
      </c>
      <c r="W775" s="9">
        <f t="shared" si="549"/>
        <v>1371</v>
      </c>
      <c r="X775" s="9">
        <f t="shared" si="559"/>
        <v>14</v>
      </c>
      <c r="Y775" s="7">
        <v>8.75</v>
      </c>
      <c r="Z775" s="7">
        <f t="shared" si="560"/>
        <v>18.43</v>
      </c>
      <c r="AA775" s="9">
        <v>1</v>
      </c>
      <c r="AB775" s="9">
        <v>0</v>
      </c>
      <c r="AC775" s="9">
        <v>0</v>
      </c>
      <c r="AD775" s="9">
        <v>1</v>
      </c>
      <c r="AE775" s="9">
        <v>0</v>
      </c>
      <c r="AF775" s="9">
        <v>0</v>
      </c>
      <c r="AG775" s="8">
        <v>0</v>
      </c>
      <c r="AH775" s="9">
        <v>0</v>
      </c>
      <c r="AI775" s="30">
        <v>1</v>
      </c>
      <c r="AJ775" s="9">
        <v>1</v>
      </c>
      <c r="AK775" s="30">
        <v>0</v>
      </c>
      <c r="AL775" s="21">
        <v>1960</v>
      </c>
      <c r="AM775" s="23">
        <f t="shared" si="561"/>
        <v>7.5806997522245627</v>
      </c>
      <c r="AN775" s="33" t="s">
        <v>106</v>
      </c>
      <c r="AO775" s="33" t="s">
        <v>106</v>
      </c>
      <c r="AP775" s="33" t="s">
        <v>106</v>
      </c>
      <c r="AQ775" s="43" t="s">
        <v>106</v>
      </c>
      <c r="AR775" s="33" t="s">
        <v>106</v>
      </c>
      <c r="AS775" s="43" t="s">
        <v>106</v>
      </c>
      <c r="AT775" s="42">
        <f t="shared" si="562"/>
        <v>0.97</v>
      </c>
      <c r="AU775" s="18">
        <v>0.03</v>
      </c>
      <c r="AV775">
        <v>1</v>
      </c>
      <c r="AW775" s="40">
        <v>0</v>
      </c>
      <c r="AX775" t="s">
        <v>106</v>
      </c>
      <c r="AY775" s="40" t="s">
        <v>106</v>
      </c>
      <c r="BA775" s="18"/>
      <c r="BB775">
        <v>0</v>
      </c>
      <c r="BC775" s="18">
        <v>1</v>
      </c>
      <c r="BD775" s="18" t="s">
        <v>508</v>
      </c>
      <c r="BK775" s="18"/>
      <c r="BN775" s="18"/>
      <c r="BQ775" s="25">
        <v>34.18</v>
      </c>
      <c r="BR775">
        <v>1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s="18">
        <v>0</v>
      </c>
      <c r="BZ775">
        <v>0</v>
      </c>
      <c r="CA775">
        <v>0</v>
      </c>
      <c r="CB775">
        <v>1</v>
      </c>
      <c r="CC775" s="18">
        <v>0</v>
      </c>
      <c r="CD775">
        <v>0</v>
      </c>
      <c r="CE775">
        <v>0</v>
      </c>
      <c r="CF775">
        <v>0</v>
      </c>
      <c r="CG775">
        <v>0</v>
      </c>
      <c r="CH775" s="18">
        <v>0</v>
      </c>
      <c r="CI775">
        <v>0</v>
      </c>
      <c r="CJ775">
        <v>0</v>
      </c>
      <c r="CK775">
        <v>1</v>
      </c>
      <c r="CL775">
        <v>0</v>
      </c>
      <c r="CM775">
        <v>1</v>
      </c>
      <c r="CN775">
        <v>0</v>
      </c>
      <c r="CO775">
        <v>0</v>
      </c>
      <c r="CP775">
        <v>0</v>
      </c>
      <c r="CQ775">
        <v>0</v>
      </c>
      <c r="CR775">
        <v>0</v>
      </c>
      <c r="CS775" s="18">
        <v>1</v>
      </c>
      <c r="DD775" s="34" t="s">
        <v>86</v>
      </c>
    </row>
    <row r="776" spans="1:108" x14ac:dyDescent="0.25">
      <c r="A776">
        <v>775</v>
      </c>
      <c r="B776">
        <v>47</v>
      </c>
      <c r="C776" s="25" t="s">
        <v>507</v>
      </c>
      <c r="D776" s="12">
        <v>9.1</v>
      </c>
      <c r="E776" s="14">
        <v>0.9</v>
      </c>
      <c r="F776" s="7">
        <f t="shared" si="558"/>
        <v>10.111111111111111</v>
      </c>
      <c r="G776" s="7">
        <f t="shared" si="542"/>
        <v>8.1999999999999993</v>
      </c>
      <c r="H776" s="16">
        <f t="shared" si="543"/>
        <v>10</v>
      </c>
      <c r="I776" s="11">
        <f t="shared" si="553"/>
        <v>0.26351805571440351</v>
      </c>
      <c r="J776" s="33">
        <f t="shared" si="554"/>
        <v>2.6062225290435514E-2</v>
      </c>
      <c r="K776" s="33">
        <f t="shared" si="555"/>
        <v>38.369708989008956</v>
      </c>
      <c r="L776" s="33">
        <f t="shared" si="556"/>
        <v>0.23745583042396801</v>
      </c>
      <c r="M776" s="33">
        <f t="shared" si="557"/>
        <v>0.28958028100483901</v>
      </c>
      <c r="N776" s="8">
        <v>1</v>
      </c>
      <c r="O776" s="9">
        <v>0</v>
      </c>
      <c r="P776" s="8">
        <v>1</v>
      </c>
      <c r="Q776" s="9">
        <v>0</v>
      </c>
      <c r="R776" s="9">
        <v>0</v>
      </c>
      <c r="S776" s="9">
        <v>0</v>
      </c>
      <c r="T776" s="9">
        <v>0</v>
      </c>
      <c r="U776" s="8">
        <v>1381</v>
      </c>
      <c r="V776" s="9">
        <v>10</v>
      </c>
      <c r="W776" s="9">
        <f t="shared" si="549"/>
        <v>1370</v>
      </c>
      <c r="X776" s="9">
        <f t="shared" si="559"/>
        <v>14</v>
      </c>
      <c r="Y776" s="7">
        <v>8.75</v>
      </c>
      <c r="Z776" s="7">
        <f t="shared" si="560"/>
        <v>18.43</v>
      </c>
      <c r="AA776" s="9">
        <v>1</v>
      </c>
      <c r="AB776" s="9">
        <v>0</v>
      </c>
      <c r="AC776" s="9">
        <v>0</v>
      </c>
      <c r="AD776" s="9">
        <v>1</v>
      </c>
      <c r="AE776" s="9">
        <v>0</v>
      </c>
      <c r="AF776" s="9">
        <v>0</v>
      </c>
      <c r="AG776" s="8">
        <v>0</v>
      </c>
      <c r="AH776" s="9">
        <v>0</v>
      </c>
      <c r="AI776" s="30">
        <v>1</v>
      </c>
      <c r="AJ776" s="9">
        <v>1</v>
      </c>
      <c r="AK776" s="30">
        <v>0</v>
      </c>
      <c r="AL776" s="21">
        <v>1960</v>
      </c>
      <c r="AM776" s="23">
        <f t="shared" si="561"/>
        <v>7.5806997522245627</v>
      </c>
      <c r="AN776" s="33" t="s">
        <v>106</v>
      </c>
      <c r="AO776" s="33" t="s">
        <v>106</v>
      </c>
      <c r="AP776" s="33" t="s">
        <v>106</v>
      </c>
      <c r="AQ776" s="43" t="s">
        <v>106</v>
      </c>
      <c r="AR776" s="33" t="s">
        <v>106</v>
      </c>
      <c r="AS776" s="43" t="s">
        <v>106</v>
      </c>
      <c r="AT776" s="42">
        <f t="shared" si="562"/>
        <v>0.97</v>
      </c>
      <c r="AU776" s="18">
        <v>0.03</v>
      </c>
      <c r="AV776">
        <v>1</v>
      </c>
      <c r="AW776" s="40">
        <v>0</v>
      </c>
      <c r="AX776" t="s">
        <v>106</v>
      </c>
      <c r="AY776" s="40" t="s">
        <v>106</v>
      </c>
      <c r="BA776" s="18"/>
      <c r="BB776">
        <v>0</v>
      </c>
      <c r="BC776" s="18">
        <v>1</v>
      </c>
      <c r="BD776" s="18" t="s">
        <v>508</v>
      </c>
      <c r="BK776" s="18"/>
      <c r="BN776" s="18"/>
      <c r="BQ776" s="25">
        <v>34.18</v>
      </c>
      <c r="BR776">
        <v>1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 s="18">
        <v>0</v>
      </c>
      <c r="BZ776">
        <v>0</v>
      </c>
      <c r="CA776">
        <v>0</v>
      </c>
      <c r="CB776">
        <v>1</v>
      </c>
      <c r="CC776" s="18">
        <v>0</v>
      </c>
      <c r="CD776">
        <v>0</v>
      </c>
      <c r="CE776">
        <v>0</v>
      </c>
      <c r="CF776">
        <v>0</v>
      </c>
      <c r="CG776">
        <v>0</v>
      </c>
      <c r="CH776" s="18">
        <v>0</v>
      </c>
      <c r="CI776">
        <v>0</v>
      </c>
      <c r="CJ776">
        <v>0</v>
      </c>
      <c r="CK776">
        <v>1</v>
      </c>
      <c r="CL776">
        <v>0</v>
      </c>
      <c r="CM776">
        <v>1</v>
      </c>
      <c r="CN776">
        <v>0</v>
      </c>
      <c r="CO776">
        <v>0</v>
      </c>
      <c r="CP776">
        <v>0</v>
      </c>
      <c r="CQ776">
        <v>0</v>
      </c>
      <c r="CR776">
        <v>0</v>
      </c>
      <c r="CS776" s="18">
        <v>1</v>
      </c>
      <c r="DD776" s="34" t="s">
        <v>86</v>
      </c>
    </row>
    <row r="777" spans="1:108" x14ac:dyDescent="0.25">
      <c r="A777">
        <v>776</v>
      </c>
      <c r="B777">
        <v>47</v>
      </c>
      <c r="C777" s="25" t="s">
        <v>507</v>
      </c>
      <c r="D777" s="12">
        <v>9</v>
      </c>
      <c r="E777" s="14">
        <v>0.8</v>
      </c>
      <c r="F777" s="7">
        <f t="shared" si="558"/>
        <v>11.25</v>
      </c>
      <c r="G777" s="7">
        <f t="shared" si="542"/>
        <v>8.1999999999999993</v>
      </c>
      <c r="H777" s="16">
        <f t="shared" si="543"/>
        <v>9.8000000000000007</v>
      </c>
      <c r="I777" s="11">
        <f t="shared" si="553"/>
        <v>0.29080715862584822</v>
      </c>
      <c r="J777" s="33">
        <f t="shared" si="554"/>
        <v>2.5849525211186511E-2</v>
      </c>
      <c r="K777" s="33">
        <f t="shared" si="555"/>
        <v>38.685430073866307</v>
      </c>
      <c r="L777" s="33">
        <f t="shared" si="556"/>
        <v>0.26495763341466172</v>
      </c>
      <c r="M777" s="33">
        <f t="shared" si="557"/>
        <v>0.31665668383703471</v>
      </c>
      <c r="N777" s="8">
        <v>1</v>
      </c>
      <c r="O777" s="9">
        <v>0</v>
      </c>
      <c r="P777" s="8">
        <v>1</v>
      </c>
      <c r="Q777" s="9">
        <v>0</v>
      </c>
      <c r="R777" s="9">
        <v>0</v>
      </c>
      <c r="S777" s="9">
        <v>0</v>
      </c>
      <c r="T777" s="9">
        <v>0</v>
      </c>
      <c r="U777" s="8">
        <v>1381</v>
      </c>
      <c r="V777" s="9">
        <v>10</v>
      </c>
      <c r="W777" s="9">
        <f t="shared" si="549"/>
        <v>1370</v>
      </c>
      <c r="X777" s="9">
        <f t="shared" si="559"/>
        <v>14</v>
      </c>
      <c r="Y777" s="7">
        <v>8.75</v>
      </c>
      <c r="Z777" s="7">
        <f t="shared" si="560"/>
        <v>18.43</v>
      </c>
      <c r="AA777" s="9">
        <v>1</v>
      </c>
      <c r="AB777" s="9">
        <v>0</v>
      </c>
      <c r="AC777" s="9">
        <v>0</v>
      </c>
      <c r="AD777" s="9">
        <v>1</v>
      </c>
      <c r="AE777" s="9">
        <v>0</v>
      </c>
      <c r="AF777" s="9">
        <v>0</v>
      </c>
      <c r="AG777" s="8">
        <v>0</v>
      </c>
      <c r="AH777" s="9">
        <v>0</v>
      </c>
      <c r="AI777" s="30">
        <v>1</v>
      </c>
      <c r="AJ777" s="9">
        <v>1</v>
      </c>
      <c r="AK777" s="30">
        <v>0</v>
      </c>
      <c r="AL777" s="21">
        <v>1960</v>
      </c>
      <c r="AM777" s="23">
        <f t="shared" si="561"/>
        <v>7.5806997522245627</v>
      </c>
      <c r="AN777" s="33" t="s">
        <v>106</v>
      </c>
      <c r="AO777" s="33" t="s">
        <v>106</v>
      </c>
      <c r="AP777" s="33" t="s">
        <v>106</v>
      </c>
      <c r="AQ777" s="43" t="s">
        <v>106</v>
      </c>
      <c r="AR777" s="33" t="s">
        <v>106</v>
      </c>
      <c r="AS777" s="43" t="s">
        <v>106</v>
      </c>
      <c r="AT777" s="42">
        <f t="shared" si="562"/>
        <v>0.97</v>
      </c>
      <c r="AU777" s="18">
        <v>0.03</v>
      </c>
      <c r="AV777">
        <v>1</v>
      </c>
      <c r="AW777" s="40">
        <v>0</v>
      </c>
      <c r="AX777" t="s">
        <v>106</v>
      </c>
      <c r="AY777" s="40" t="s">
        <v>106</v>
      </c>
      <c r="BA777" s="18"/>
      <c r="BB777">
        <v>0</v>
      </c>
      <c r="BC777" s="18">
        <v>1</v>
      </c>
      <c r="BD777" s="18" t="s">
        <v>508</v>
      </c>
      <c r="BK777" s="18"/>
      <c r="BN777" s="18"/>
      <c r="BQ777" s="25">
        <v>34.18</v>
      </c>
      <c r="BR777">
        <v>1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s="18">
        <v>0</v>
      </c>
      <c r="BZ777">
        <v>0</v>
      </c>
      <c r="CA777">
        <v>0</v>
      </c>
      <c r="CB777">
        <v>1</v>
      </c>
      <c r="CC777" s="18">
        <v>0</v>
      </c>
      <c r="CD777">
        <v>0</v>
      </c>
      <c r="CE777">
        <v>0</v>
      </c>
      <c r="CF777">
        <v>0</v>
      </c>
      <c r="CG777">
        <v>0</v>
      </c>
      <c r="CH777" s="18">
        <v>0</v>
      </c>
      <c r="CI777">
        <v>0</v>
      </c>
      <c r="CJ777">
        <v>0</v>
      </c>
      <c r="CK777">
        <v>1</v>
      </c>
      <c r="CL777">
        <v>0</v>
      </c>
      <c r="CM777">
        <v>1</v>
      </c>
      <c r="CN777">
        <v>0</v>
      </c>
      <c r="CO777">
        <v>0</v>
      </c>
      <c r="CP777">
        <v>0</v>
      </c>
      <c r="CQ777">
        <v>0</v>
      </c>
      <c r="CR777">
        <v>0</v>
      </c>
      <c r="CS777" s="18">
        <v>1</v>
      </c>
      <c r="DD777" s="34" t="s">
        <v>86</v>
      </c>
    </row>
    <row r="778" spans="1:108" x14ac:dyDescent="0.25">
      <c r="A778">
        <v>777</v>
      </c>
      <c r="B778">
        <v>47</v>
      </c>
      <c r="C778" s="25" t="s">
        <v>507</v>
      </c>
      <c r="D778" s="12">
        <v>6.4</v>
      </c>
      <c r="E778" s="14">
        <v>1.5</v>
      </c>
      <c r="F778" s="7">
        <f t="shared" si="558"/>
        <v>4.2666666666666666</v>
      </c>
      <c r="G778" s="7">
        <f t="shared" si="542"/>
        <v>4.9000000000000004</v>
      </c>
      <c r="H778" s="16">
        <f t="shared" si="543"/>
        <v>7.9</v>
      </c>
      <c r="I778" s="11">
        <f t="shared" si="553"/>
        <v>0.2388109576210887</v>
      </c>
      <c r="J778" s="33">
        <f t="shared" si="554"/>
        <v>5.5971318192442665E-2</v>
      </c>
      <c r="K778" s="33">
        <f t="shared" si="555"/>
        <v>17.866293528441886</v>
      </c>
      <c r="L778" s="33">
        <f t="shared" si="556"/>
        <v>0.18283963942864603</v>
      </c>
      <c r="M778" s="33">
        <f t="shared" si="557"/>
        <v>0.29478227581353134</v>
      </c>
      <c r="N778" s="8">
        <v>1</v>
      </c>
      <c r="O778" s="9">
        <v>0</v>
      </c>
      <c r="P778" s="8">
        <v>1</v>
      </c>
      <c r="Q778" s="9">
        <v>0</v>
      </c>
      <c r="R778" s="9">
        <v>0</v>
      </c>
      <c r="S778" s="9">
        <v>0</v>
      </c>
      <c r="T778" s="9">
        <v>0</v>
      </c>
      <c r="U778" s="8">
        <v>304</v>
      </c>
      <c r="V778" s="9">
        <v>2</v>
      </c>
      <c r="W778" s="9">
        <f t="shared" si="549"/>
        <v>301</v>
      </c>
      <c r="X778" s="9">
        <f t="shared" si="559"/>
        <v>14</v>
      </c>
      <c r="Y778" s="7">
        <v>7.8</v>
      </c>
      <c r="Z778" s="7">
        <f t="shared" si="560"/>
        <v>19.059999999999999</v>
      </c>
      <c r="AA778" s="9">
        <v>1</v>
      </c>
      <c r="AB778" s="9">
        <v>0</v>
      </c>
      <c r="AC778" s="9">
        <v>0</v>
      </c>
      <c r="AD778" s="9">
        <v>1</v>
      </c>
      <c r="AE778" s="9">
        <v>0</v>
      </c>
      <c r="AF778" s="9">
        <v>0</v>
      </c>
      <c r="AG778" s="8">
        <v>0</v>
      </c>
      <c r="AH778" s="9">
        <v>0</v>
      </c>
      <c r="AI778" s="30">
        <v>1</v>
      </c>
      <c r="AJ778" s="9">
        <v>1</v>
      </c>
      <c r="AK778" s="30">
        <v>0</v>
      </c>
      <c r="AL778" s="21">
        <v>1960</v>
      </c>
      <c r="AM778" s="23">
        <f t="shared" si="561"/>
        <v>7.5806997522245627</v>
      </c>
      <c r="AN778" s="33" t="s">
        <v>106</v>
      </c>
      <c r="AO778" s="33" t="s">
        <v>106</v>
      </c>
      <c r="AP778" s="33" t="s">
        <v>106</v>
      </c>
      <c r="AQ778" s="43" t="s">
        <v>106</v>
      </c>
      <c r="AR778" s="33" t="s">
        <v>106</v>
      </c>
      <c r="AS778" s="43" t="s">
        <v>106</v>
      </c>
      <c r="AT778" s="42">
        <f t="shared" si="562"/>
        <v>0.66999999999999993</v>
      </c>
      <c r="AU778" s="18">
        <v>0.33</v>
      </c>
      <c r="AV778">
        <v>1</v>
      </c>
      <c r="AW778" s="40">
        <v>0</v>
      </c>
      <c r="AX778" t="s">
        <v>106</v>
      </c>
      <c r="AY778" s="40" t="s">
        <v>106</v>
      </c>
      <c r="BA778" s="18"/>
      <c r="BB778">
        <v>0</v>
      </c>
      <c r="BC778" s="18">
        <v>1</v>
      </c>
      <c r="BD778" s="18" t="s">
        <v>508</v>
      </c>
      <c r="BK778" s="18"/>
      <c r="BN778" s="18"/>
      <c r="BQ778" s="25">
        <v>33.86</v>
      </c>
      <c r="BR778">
        <v>1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s="18">
        <v>0</v>
      </c>
      <c r="BZ778">
        <v>0</v>
      </c>
      <c r="CA778">
        <v>0</v>
      </c>
      <c r="CB778">
        <v>1</v>
      </c>
      <c r="CC778" s="18">
        <v>0</v>
      </c>
      <c r="CD778">
        <v>0</v>
      </c>
      <c r="CE778">
        <v>0</v>
      </c>
      <c r="CF778">
        <v>0</v>
      </c>
      <c r="CG778">
        <v>0</v>
      </c>
      <c r="CH778" s="18">
        <v>0</v>
      </c>
      <c r="CI778">
        <v>0</v>
      </c>
      <c r="CJ778">
        <v>0</v>
      </c>
      <c r="CK778">
        <v>1</v>
      </c>
      <c r="CL778">
        <v>0</v>
      </c>
      <c r="CM778">
        <v>1</v>
      </c>
      <c r="CN778">
        <v>0</v>
      </c>
      <c r="CO778">
        <v>0</v>
      </c>
      <c r="CP778">
        <v>0</v>
      </c>
      <c r="CQ778">
        <v>0</v>
      </c>
      <c r="CR778">
        <v>0</v>
      </c>
      <c r="CS778" s="18">
        <v>1</v>
      </c>
      <c r="DD778" s="34" t="s">
        <v>86</v>
      </c>
    </row>
    <row r="779" spans="1:108" x14ac:dyDescent="0.25">
      <c r="A779">
        <v>778</v>
      </c>
      <c r="B779">
        <v>47</v>
      </c>
      <c r="C779" s="25" t="s">
        <v>507</v>
      </c>
      <c r="D779" s="12">
        <v>5.9</v>
      </c>
      <c r="E779" s="14">
        <v>1.6</v>
      </c>
      <c r="F779" s="7">
        <f t="shared" si="558"/>
        <v>3.6875</v>
      </c>
      <c r="G779" s="7">
        <f t="shared" si="542"/>
        <v>4.3000000000000007</v>
      </c>
      <c r="H779" s="16">
        <f t="shared" si="543"/>
        <v>7.5</v>
      </c>
      <c r="I779" s="11">
        <f t="shared" si="553"/>
        <v>0.21059478558883832</v>
      </c>
      <c r="J779" s="33">
        <f t="shared" si="554"/>
        <v>5.7110450329176492E-2</v>
      </c>
      <c r="K779" s="33">
        <f t="shared" si="555"/>
        <v>17.509930218307552</v>
      </c>
      <c r="L779" s="33">
        <f t="shared" si="556"/>
        <v>0.15348433525966182</v>
      </c>
      <c r="M779" s="33">
        <f t="shared" si="557"/>
        <v>0.26770523591801482</v>
      </c>
      <c r="N779" s="8">
        <v>1</v>
      </c>
      <c r="O779" s="9">
        <v>0</v>
      </c>
      <c r="P779" s="8">
        <v>1</v>
      </c>
      <c r="Q779" s="9">
        <v>0</v>
      </c>
      <c r="R779" s="9">
        <v>0</v>
      </c>
      <c r="S779" s="9">
        <v>0</v>
      </c>
      <c r="T779" s="9">
        <v>0</v>
      </c>
      <c r="U779" s="8">
        <v>304</v>
      </c>
      <c r="V779" s="9">
        <v>10</v>
      </c>
      <c r="W779" s="9">
        <f t="shared" si="549"/>
        <v>293</v>
      </c>
      <c r="X779" s="9">
        <f t="shared" si="559"/>
        <v>14</v>
      </c>
      <c r="Y779" s="7">
        <v>7.8</v>
      </c>
      <c r="Z779" s="7">
        <f t="shared" si="560"/>
        <v>19.059999999999999</v>
      </c>
      <c r="AA779" s="9">
        <v>1</v>
      </c>
      <c r="AB779" s="9">
        <v>0</v>
      </c>
      <c r="AC779" s="9">
        <v>0</v>
      </c>
      <c r="AD779" s="9">
        <v>1</v>
      </c>
      <c r="AE779" s="9">
        <v>0</v>
      </c>
      <c r="AF779" s="9">
        <v>0</v>
      </c>
      <c r="AG779" s="8">
        <v>0</v>
      </c>
      <c r="AH779" s="9">
        <v>0</v>
      </c>
      <c r="AI779" s="30">
        <v>1</v>
      </c>
      <c r="AJ779" s="9">
        <v>1</v>
      </c>
      <c r="AK779" s="30">
        <v>0</v>
      </c>
      <c r="AL779" s="21">
        <v>1960</v>
      </c>
      <c r="AM779" s="23">
        <f t="shared" si="561"/>
        <v>7.5806997522245627</v>
      </c>
      <c r="AN779" s="33" t="s">
        <v>106</v>
      </c>
      <c r="AO779" s="33" t="s">
        <v>106</v>
      </c>
      <c r="AP779" s="33" t="s">
        <v>106</v>
      </c>
      <c r="AQ779" s="43" t="s">
        <v>106</v>
      </c>
      <c r="AR779" s="33" t="s">
        <v>106</v>
      </c>
      <c r="AS779" s="43" t="s">
        <v>106</v>
      </c>
      <c r="AT779" s="42">
        <f t="shared" si="562"/>
        <v>0.66999999999999993</v>
      </c>
      <c r="AU779" s="18">
        <v>0.33</v>
      </c>
      <c r="AV779">
        <v>1</v>
      </c>
      <c r="AW779" s="40">
        <v>0</v>
      </c>
      <c r="AX779" t="s">
        <v>106</v>
      </c>
      <c r="AY779" s="40" t="s">
        <v>106</v>
      </c>
      <c r="BA779" s="18"/>
      <c r="BB779">
        <v>0</v>
      </c>
      <c r="BC779" s="18">
        <v>1</v>
      </c>
      <c r="BD779" s="18" t="s">
        <v>508</v>
      </c>
      <c r="BK779" s="18"/>
      <c r="BN779" s="18"/>
      <c r="BQ779" s="25">
        <v>33.86</v>
      </c>
      <c r="BR779">
        <v>1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s="18">
        <v>0</v>
      </c>
      <c r="BZ779">
        <v>0</v>
      </c>
      <c r="CA779">
        <v>0</v>
      </c>
      <c r="CB779">
        <v>1</v>
      </c>
      <c r="CC779" s="18">
        <v>0</v>
      </c>
      <c r="CD779">
        <v>0</v>
      </c>
      <c r="CE779">
        <v>0</v>
      </c>
      <c r="CF779">
        <v>0</v>
      </c>
      <c r="CG779">
        <v>0</v>
      </c>
      <c r="CH779" s="18">
        <v>0</v>
      </c>
      <c r="CI779">
        <v>0</v>
      </c>
      <c r="CJ779">
        <v>0</v>
      </c>
      <c r="CK779">
        <v>1</v>
      </c>
      <c r="CL779">
        <v>0</v>
      </c>
      <c r="CM779">
        <v>1</v>
      </c>
      <c r="CN779">
        <v>0</v>
      </c>
      <c r="CO779">
        <v>0</v>
      </c>
      <c r="CP779">
        <v>0</v>
      </c>
      <c r="CQ779">
        <v>0</v>
      </c>
      <c r="CR779">
        <v>0</v>
      </c>
      <c r="CS779" s="18">
        <v>1</v>
      </c>
      <c r="DD779" s="34" t="s">
        <v>86</v>
      </c>
    </row>
    <row r="780" spans="1:108" x14ac:dyDescent="0.25">
      <c r="A780">
        <v>779</v>
      </c>
      <c r="B780">
        <v>47</v>
      </c>
      <c r="C780" s="25" t="s">
        <v>507</v>
      </c>
      <c r="D780" s="12">
        <v>3.4</v>
      </c>
      <c r="E780" s="14">
        <v>1.5</v>
      </c>
      <c r="F780" s="7">
        <f t="shared" si="558"/>
        <v>2.2666666666666666</v>
      </c>
      <c r="G780" s="7">
        <f t="shared" si="542"/>
        <v>1.9</v>
      </c>
      <c r="H780" s="16">
        <f t="shared" si="543"/>
        <v>4.9000000000000004</v>
      </c>
      <c r="I780" s="11">
        <f t="shared" si="553"/>
        <v>0.13127413127413129</v>
      </c>
      <c r="J780" s="33">
        <f t="shared" si="554"/>
        <v>5.7915057915057917E-2</v>
      </c>
      <c r="K780" s="33">
        <f t="shared" si="555"/>
        <v>17.266666666666666</v>
      </c>
      <c r="L780" s="33">
        <f t="shared" si="556"/>
        <v>7.3359073359073379E-2</v>
      </c>
      <c r="M780" s="33">
        <f t="shared" si="557"/>
        <v>0.1891891891891892</v>
      </c>
      <c r="N780" s="8">
        <v>1</v>
      </c>
      <c r="O780" s="9">
        <v>0</v>
      </c>
      <c r="P780" s="8">
        <v>1</v>
      </c>
      <c r="Q780" s="9">
        <v>0</v>
      </c>
      <c r="R780" s="9">
        <v>0</v>
      </c>
      <c r="S780" s="9">
        <v>0</v>
      </c>
      <c r="T780" s="9">
        <v>0</v>
      </c>
      <c r="U780" s="8">
        <v>304</v>
      </c>
      <c r="V780" s="9">
        <v>10</v>
      </c>
      <c r="W780" s="9">
        <f t="shared" si="549"/>
        <v>293</v>
      </c>
      <c r="X780" s="9">
        <f t="shared" si="559"/>
        <v>14</v>
      </c>
      <c r="Y780" s="7">
        <v>7.8</v>
      </c>
      <c r="Z780" s="7">
        <f t="shared" si="560"/>
        <v>19.059999999999999</v>
      </c>
      <c r="AA780" s="9">
        <v>1</v>
      </c>
      <c r="AB780" s="9">
        <v>0</v>
      </c>
      <c r="AC780" s="9">
        <v>0</v>
      </c>
      <c r="AD780" s="9">
        <v>1</v>
      </c>
      <c r="AE780" s="9">
        <v>0</v>
      </c>
      <c r="AF780" s="9">
        <v>0</v>
      </c>
      <c r="AG780" s="8">
        <v>0</v>
      </c>
      <c r="AH780" s="9">
        <v>0</v>
      </c>
      <c r="AI780" s="30">
        <v>1</v>
      </c>
      <c r="AJ780" s="9">
        <v>1</v>
      </c>
      <c r="AK780" s="30">
        <v>0</v>
      </c>
      <c r="AL780" s="21">
        <v>1960</v>
      </c>
      <c r="AM780" s="23">
        <f t="shared" si="561"/>
        <v>7.5806997522245627</v>
      </c>
      <c r="AN780" s="33" t="s">
        <v>106</v>
      </c>
      <c r="AO780" s="33" t="s">
        <v>106</v>
      </c>
      <c r="AP780" s="33" t="s">
        <v>106</v>
      </c>
      <c r="AQ780" s="43" t="s">
        <v>106</v>
      </c>
      <c r="AR780" s="33" t="s">
        <v>106</v>
      </c>
      <c r="AS780" s="43" t="s">
        <v>106</v>
      </c>
      <c r="AT780" s="42">
        <f t="shared" si="562"/>
        <v>0.66999999999999993</v>
      </c>
      <c r="AU780" s="18">
        <v>0.33</v>
      </c>
      <c r="AV780">
        <v>1</v>
      </c>
      <c r="AW780" s="40">
        <v>0</v>
      </c>
      <c r="AX780" t="s">
        <v>106</v>
      </c>
      <c r="AY780" s="40" t="s">
        <v>106</v>
      </c>
      <c r="BA780" s="18"/>
      <c r="BB780">
        <v>0</v>
      </c>
      <c r="BC780" s="18">
        <v>1</v>
      </c>
      <c r="BD780" s="18" t="s">
        <v>508</v>
      </c>
      <c r="BK780" s="18"/>
      <c r="BN780" s="18"/>
      <c r="BQ780" s="25">
        <v>33.86</v>
      </c>
      <c r="BR780">
        <v>1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s="18">
        <v>0</v>
      </c>
      <c r="BZ780">
        <v>0</v>
      </c>
      <c r="CA780">
        <v>0</v>
      </c>
      <c r="CB780">
        <v>1</v>
      </c>
      <c r="CC780" s="18">
        <v>0</v>
      </c>
      <c r="CD780">
        <v>0</v>
      </c>
      <c r="CE780">
        <v>0</v>
      </c>
      <c r="CF780">
        <v>0</v>
      </c>
      <c r="CG780">
        <v>0</v>
      </c>
      <c r="CH780" s="18">
        <v>0</v>
      </c>
      <c r="CI780">
        <v>0</v>
      </c>
      <c r="CJ780">
        <v>0</v>
      </c>
      <c r="CK780">
        <v>1</v>
      </c>
      <c r="CL780">
        <v>0</v>
      </c>
      <c r="CM780">
        <v>1</v>
      </c>
      <c r="CN780">
        <v>0</v>
      </c>
      <c r="CO780">
        <v>0</v>
      </c>
      <c r="CP780">
        <v>0</v>
      </c>
      <c r="CQ780">
        <v>0</v>
      </c>
      <c r="CR780">
        <v>0</v>
      </c>
      <c r="CS780" s="18">
        <v>1</v>
      </c>
      <c r="DD780" s="34" t="s">
        <v>86</v>
      </c>
    </row>
    <row r="781" spans="1:108" x14ac:dyDescent="0.25">
      <c r="A781">
        <v>780</v>
      </c>
      <c r="B781">
        <v>47</v>
      </c>
      <c r="C781" s="25" t="s">
        <v>507</v>
      </c>
      <c r="D781" s="12">
        <v>5.7</v>
      </c>
      <c r="E781" s="14">
        <v>0.9</v>
      </c>
      <c r="F781" s="7">
        <f t="shared" si="558"/>
        <v>6.333333333333333</v>
      </c>
      <c r="G781" s="7">
        <f t="shared" si="542"/>
        <v>4.8</v>
      </c>
      <c r="H781" s="16">
        <f t="shared" si="543"/>
        <v>6.6000000000000005</v>
      </c>
      <c r="I781" s="11">
        <f t="shared" si="553"/>
        <v>0.14776263744368376</v>
      </c>
      <c r="J781" s="33">
        <f t="shared" si="554"/>
        <v>2.3330942754265858E-2</v>
      </c>
      <c r="K781" s="33">
        <f t="shared" si="555"/>
        <v>42.861534166559075</v>
      </c>
      <c r="L781" s="33">
        <f t="shared" si="556"/>
        <v>0.12443169468941789</v>
      </c>
      <c r="M781" s="33">
        <f t="shared" si="557"/>
        <v>0.17109358019794962</v>
      </c>
      <c r="N781" s="8">
        <v>1</v>
      </c>
      <c r="O781" s="9">
        <v>0</v>
      </c>
      <c r="P781" s="8">
        <v>1</v>
      </c>
      <c r="Q781" s="9">
        <v>0</v>
      </c>
      <c r="R781" s="9">
        <v>0</v>
      </c>
      <c r="S781" s="9">
        <v>0</v>
      </c>
      <c r="T781" s="9">
        <v>0</v>
      </c>
      <c r="U781" s="8">
        <v>1800</v>
      </c>
      <c r="V781" s="9">
        <v>2</v>
      </c>
      <c r="W781" s="9">
        <f t="shared" si="549"/>
        <v>1797</v>
      </c>
      <c r="X781" s="9">
        <f t="shared" si="559"/>
        <v>14</v>
      </c>
      <c r="Y781" s="7">
        <v>8.75</v>
      </c>
      <c r="Z781" s="7">
        <f t="shared" si="560"/>
        <v>18.43</v>
      </c>
      <c r="AA781" s="9">
        <v>1</v>
      </c>
      <c r="AB781" s="9">
        <v>0</v>
      </c>
      <c r="AC781" s="9">
        <v>0</v>
      </c>
      <c r="AD781" s="9">
        <v>1</v>
      </c>
      <c r="AE781" s="9">
        <v>0</v>
      </c>
      <c r="AF781" s="9">
        <v>0</v>
      </c>
      <c r="AG781" s="8">
        <v>0</v>
      </c>
      <c r="AH781" s="9">
        <v>0</v>
      </c>
      <c r="AI781" s="30">
        <v>1</v>
      </c>
      <c r="AJ781" s="9">
        <v>1</v>
      </c>
      <c r="AK781" s="30">
        <v>0</v>
      </c>
      <c r="AL781" s="21">
        <v>1960</v>
      </c>
      <c r="AM781" s="23">
        <f t="shared" si="561"/>
        <v>7.5806997522245627</v>
      </c>
      <c r="AN781" s="33" t="s">
        <v>106</v>
      </c>
      <c r="AO781" s="33" t="s">
        <v>106</v>
      </c>
      <c r="AP781" s="33" t="s">
        <v>106</v>
      </c>
      <c r="AQ781" s="43" t="s">
        <v>106</v>
      </c>
      <c r="AR781" s="33" t="s">
        <v>106</v>
      </c>
      <c r="AS781" s="43" t="s">
        <v>106</v>
      </c>
      <c r="AT781" s="42">
        <f t="shared" si="562"/>
        <v>0.97</v>
      </c>
      <c r="AU781" s="18">
        <v>0.03</v>
      </c>
      <c r="AV781">
        <v>1</v>
      </c>
      <c r="AW781" s="40">
        <v>0</v>
      </c>
      <c r="AX781" t="s">
        <v>106</v>
      </c>
      <c r="AY781" s="40" t="s">
        <v>106</v>
      </c>
      <c r="BA781" s="18"/>
      <c r="BB781">
        <v>0</v>
      </c>
      <c r="BC781" s="18">
        <v>1</v>
      </c>
      <c r="BD781" s="18" t="s">
        <v>508</v>
      </c>
      <c r="BK781" s="18"/>
      <c r="BN781" s="18"/>
      <c r="BQ781" s="25">
        <v>34.18</v>
      </c>
      <c r="BR781">
        <v>1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s="18">
        <v>0</v>
      </c>
      <c r="BZ781">
        <v>0</v>
      </c>
      <c r="CA781">
        <v>0</v>
      </c>
      <c r="CB781">
        <v>1</v>
      </c>
      <c r="CC781" s="18">
        <v>0</v>
      </c>
      <c r="CD781">
        <v>0</v>
      </c>
      <c r="CE781">
        <v>0</v>
      </c>
      <c r="CF781">
        <v>0</v>
      </c>
      <c r="CG781">
        <v>0</v>
      </c>
      <c r="CH781" s="18">
        <v>0</v>
      </c>
      <c r="CI781">
        <v>0</v>
      </c>
      <c r="CJ781">
        <v>0</v>
      </c>
      <c r="CK781">
        <v>1</v>
      </c>
      <c r="CL781">
        <v>0</v>
      </c>
      <c r="CM781">
        <v>1</v>
      </c>
      <c r="CN781">
        <v>0</v>
      </c>
      <c r="CO781">
        <v>0</v>
      </c>
      <c r="CP781">
        <v>0</v>
      </c>
      <c r="CQ781">
        <v>0</v>
      </c>
      <c r="CR781">
        <v>0</v>
      </c>
      <c r="CS781" s="18">
        <v>1</v>
      </c>
      <c r="DD781" s="34" t="s">
        <v>86</v>
      </c>
    </row>
    <row r="782" spans="1:108" x14ac:dyDescent="0.25">
      <c r="A782">
        <v>781</v>
      </c>
      <c r="B782">
        <v>47</v>
      </c>
      <c r="C782" s="25" t="s">
        <v>507</v>
      </c>
      <c r="D782" s="12">
        <v>5.7</v>
      </c>
      <c r="E782" s="14">
        <v>0.7</v>
      </c>
      <c r="F782" s="7">
        <f t="shared" si="558"/>
        <v>8.1428571428571441</v>
      </c>
      <c r="G782" s="7">
        <f t="shared" si="542"/>
        <v>5</v>
      </c>
      <c r="H782" s="16">
        <f t="shared" si="543"/>
        <v>6.4</v>
      </c>
      <c r="I782" s="11">
        <f t="shared" si="553"/>
        <v>0.18904666781928181</v>
      </c>
      <c r="J782" s="33">
        <f t="shared" si="554"/>
        <v>2.3216257451490741E-2</v>
      </c>
      <c r="K782" s="33">
        <f t="shared" si="555"/>
        <v>43.073264590102525</v>
      </c>
      <c r="L782" s="33">
        <f t="shared" si="556"/>
        <v>0.16583041036779106</v>
      </c>
      <c r="M782" s="33">
        <f t="shared" si="557"/>
        <v>0.21226292527077256</v>
      </c>
      <c r="N782" s="8">
        <v>1</v>
      </c>
      <c r="O782" s="9">
        <v>0</v>
      </c>
      <c r="P782" s="8">
        <v>1</v>
      </c>
      <c r="Q782" s="9">
        <v>0</v>
      </c>
      <c r="R782" s="9">
        <v>0</v>
      </c>
      <c r="S782" s="9">
        <v>0</v>
      </c>
      <c r="T782" s="9">
        <v>0</v>
      </c>
      <c r="U782" s="8">
        <v>1800</v>
      </c>
      <c r="V782" s="9">
        <v>10</v>
      </c>
      <c r="W782" s="9">
        <f t="shared" si="549"/>
        <v>1789</v>
      </c>
      <c r="X782" s="9">
        <f t="shared" si="559"/>
        <v>14</v>
      </c>
      <c r="Y782" s="7">
        <v>8.75</v>
      </c>
      <c r="Z782" s="7">
        <f t="shared" si="560"/>
        <v>18.43</v>
      </c>
      <c r="AA782" s="9">
        <v>1</v>
      </c>
      <c r="AB782" s="9">
        <v>0</v>
      </c>
      <c r="AC782" s="9">
        <v>0</v>
      </c>
      <c r="AD782" s="9">
        <v>1</v>
      </c>
      <c r="AE782" s="9">
        <v>0</v>
      </c>
      <c r="AF782" s="9">
        <v>0</v>
      </c>
      <c r="AG782" s="8">
        <v>0</v>
      </c>
      <c r="AH782" s="9">
        <v>0</v>
      </c>
      <c r="AI782" s="30">
        <v>1</v>
      </c>
      <c r="AJ782" s="9">
        <v>1</v>
      </c>
      <c r="AK782" s="30">
        <v>0</v>
      </c>
      <c r="AL782" s="21">
        <v>1960</v>
      </c>
      <c r="AM782" s="23">
        <f t="shared" si="561"/>
        <v>7.5806997522245627</v>
      </c>
      <c r="AN782" s="33" t="s">
        <v>106</v>
      </c>
      <c r="AO782" s="33" t="s">
        <v>106</v>
      </c>
      <c r="AP782" s="33" t="s">
        <v>106</v>
      </c>
      <c r="AQ782" s="43" t="s">
        <v>106</v>
      </c>
      <c r="AR782" s="33" t="s">
        <v>106</v>
      </c>
      <c r="AS782" s="43" t="s">
        <v>106</v>
      </c>
      <c r="AT782" s="42">
        <f t="shared" si="562"/>
        <v>0.97</v>
      </c>
      <c r="AU782" s="18">
        <v>0.03</v>
      </c>
      <c r="AV782">
        <v>1</v>
      </c>
      <c r="AW782" s="40">
        <v>0</v>
      </c>
      <c r="AX782" t="s">
        <v>106</v>
      </c>
      <c r="AY782" s="40" t="s">
        <v>106</v>
      </c>
      <c r="BA782" s="18"/>
      <c r="BB782">
        <v>0</v>
      </c>
      <c r="BC782" s="18">
        <v>1</v>
      </c>
      <c r="BD782" s="18" t="s">
        <v>508</v>
      </c>
      <c r="BK782" s="18"/>
      <c r="BN782" s="18"/>
      <c r="BQ782" s="25">
        <v>34.18</v>
      </c>
      <c r="BR782">
        <v>1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s="18">
        <v>0</v>
      </c>
      <c r="BZ782">
        <v>0</v>
      </c>
      <c r="CA782">
        <v>0</v>
      </c>
      <c r="CB782">
        <v>1</v>
      </c>
      <c r="CC782" s="18">
        <v>0</v>
      </c>
      <c r="CD782">
        <v>0</v>
      </c>
      <c r="CE782">
        <v>0</v>
      </c>
      <c r="CF782">
        <v>0</v>
      </c>
      <c r="CG782">
        <v>0</v>
      </c>
      <c r="CH782" s="18">
        <v>0</v>
      </c>
      <c r="CI782">
        <v>0</v>
      </c>
      <c r="CJ782">
        <v>0</v>
      </c>
      <c r="CK782">
        <v>1</v>
      </c>
      <c r="CL782">
        <v>0</v>
      </c>
      <c r="CM782">
        <v>1</v>
      </c>
      <c r="CN782">
        <v>0</v>
      </c>
      <c r="CO782">
        <v>0</v>
      </c>
      <c r="CP782">
        <v>0</v>
      </c>
      <c r="CQ782">
        <v>0</v>
      </c>
      <c r="CR782">
        <v>0</v>
      </c>
      <c r="CS782" s="18">
        <v>1</v>
      </c>
      <c r="DD782" s="34" t="s">
        <v>86</v>
      </c>
    </row>
    <row r="783" spans="1:108" s="153" customFormat="1" x14ac:dyDescent="0.25">
      <c r="A783" s="153">
        <v>782</v>
      </c>
      <c r="B783" s="153">
        <v>47</v>
      </c>
      <c r="C783" s="154" t="s">
        <v>507</v>
      </c>
      <c r="D783" s="155">
        <v>4.3</v>
      </c>
      <c r="E783" s="156">
        <v>0.8</v>
      </c>
      <c r="F783" s="157">
        <f t="shared" si="558"/>
        <v>5.3749999999999991</v>
      </c>
      <c r="G783" s="157">
        <f t="shared" si="542"/>
        <v>3.5</v>
      </c>
      <c r="H783" s="158">
        <f t="shared" si="543"/>
        <v>5.0999999999999996</v>
      </c>
      <c r="I783" s="159">
        <f t="shared" si="553"/>
        <v>0.12606501899983297</v>
      </c>
      <c r="J783" s="160">
        <f t="shared" si="554"/>
        <v>2.3453957023224743E-2</v>
      </c>
      <c r="K783" s="160">
        <f t="shared" si="555"/>
        <v>42.636728591673162</v>
      </c>
      <c r="L783" s="160">
        <f t="shared" si="556"/>
        <v>0.10261106197660823</v>
      </c>
      <c r="M783" s="160">
        <f t="shared" si="557"/>
        <v>0.14951897602305772</v>
      </c>
      <c r="N783" s="161">
        <v>1</v>
      </c>
      <c r="O783" s="162">
        <v>0</v>
      </c>
      <c r="P783" s="161">
        <v>1</v>
      </c>
      <c r="Q783" s="162">
        <v>0</v>
      </c>
      <c r="R783" s="162">
        <v>0</v>
      </c>
      <c r="S783" s="162">
        <v>0</v>
      </c>
      <c r="T783" s="162">
        <v>0</v>
      </c>
      <c r="U783" s="161">
        <v>1800</v>
      </c>
      <c r="V783" s="162">
        <v>10</v>
      </c>
      <c r="W783" s="162">
        <f t="shared" si="549"/>
        <v>1789</v>
      </c>
      <c r="X783" s="162">
        <f t="shared" si="559"/>
        <v>14</v>
      </c>
      <c r="Y783" s="157">
        <v>8.75</v>
      </c>
      <c r="Z783" s="157">
        <f t="shared" si="560"/>
        <v>18.43</v>
      </c>
      <c r="AA783" s="162">
        <v>1</v>
      </c>
      <c r="AB783" s="162">
        <v>0</v>
      </c>
      <c r="AC783" s="162">
        <v>0</v>
      </c>
      <c r="AD783" s="162">
        <v>1</v>
      </c>
      <c r="AE783" s="162">
        <v>0</v>
      </c>
      <c r="AF783" s="162">
        <v>0</v>
      </c>
      <c r="AG783" s="161">
        <v>0</v>
      </c>
      <c r="AH783" s="162">
        <v>0</v>
      </c>
      <c r="AI783" s="163">
        <v>1</v>
      </c>
      <c r="AJ783" s="162">
        <v>1</v>
      </c>
      <c r="AK783" s="163">
        <v>0</v>
      </c>
      <c r="AL783" s="164">
        <v>1960</v>
      </c>
      <c r="AM783" s="165">
        <f t="shared" si="561"/>
        <v>7.5806997522245627</v>
      </c>
      <c r="AN783" s="160" t="s">
        <v>106</v>
      </c>
      <c r="AO783" s="160" t="s">
        <v>106</v>
      </c>
      <c r="AP783" s="160" t="s">
        <v>106</v>
      </c>
      <c r="AQ783" s="166" t="s">
        <v>106</v>
      </c>
      <c r="AR783" s="160" t="s">
        <v>106</v>
      </c>
      <c r="AS783" s="166" t="s">
        <v>106</v>
      </c>
      <c r="AT783" s="167">
        <f t="shared" si="562"/>
        <v>0.97</v>
      </c>
      <c r="AU783" s="168">
        <v>0.03</v>
      </c>
      <c r="AV783" s="153">
        <v>1</v>
      </c>
      <c r="AW783" s="169">
        <v>0</v>
      </c>
      <c r="AX783" s="153" t="s">
        <v>106</v>
      </c>
      <c r="AY783" s="169" t="s">
        <v>106</v>
      </c>
      <c r="BA783" s="168"/>
      <c r="BB783" s="153">
        <v>0</v>
      </c>
      <c r="BC783" s="168">
        <v>1</v>
      </c>
      <c r="BD783" s="168" t="s">
        <v>508</v>
      </c>
      <c r="BK783" s="168"/>
      <c r="BN783" s="168"/>
      <c r="BQ783" s="154">
        <v>34.18</v>
      </c>
      <c r="BR783" s="153">
        <v>1</v>
      </c>
      <c r="BS783" s="153">
        <v>0</v>
      </c>
      <c r="BT783" s="153">
        <v>0</v>
      </c>
      <c r="BU783" s="153">
        <v>0</v>
      </c>
      <c r="BV783" s="153">
        <v>0</v>
      </c>
      <c r="BW783" s="153">
        <v>0</v>
      </c>
      <c r="BX783" s="153">
        <v>0</v>
      </c>
      <c r="BY783" s="168">
        <v>0</v>
      </c>
      <c r="BZ783" s="153">
        <v>0</v>
      </c>
      <c r="CA783" s="153">
        <v>0</v>
      </c>
      <c r="CB783" s="153">
        <v>1</v>
      </c>
      <c r="CC783" s="168">
        <v>0</v>
      </c>
      <c r="CD783" s="153">
        <v>0</v>
      </c>
      <c r="CE783" s="153">
        <v>0</v>
      </c>
      <c r="CF783" s="153">
        <v>0</v>
      </c>
      <c r="CG783" s="153">
        <v>0</v>
      </c>
      <c r="CH783" s="168">
        <v>0</v>
      </c>
      <c r="CI783" s="153">
        <v>0</v>
      </c>
      <c r="CJ783" s="153">
        <v>0</v>
      </c>
      <c r="CK783" s="153">
        <v>1</v>
      </c>
      <c r="CL783" s="153">
        <v>0</v>
      </c>
      <c r="CM783" s="153">
        <v>1</v>
      </c>
      <c r="CN783" s="153">
        <v>0</v>
      </c>
      <c r="CO783" s="153">
        <v>0</v>
      </c>
      <c r="CP783" s="153">
        <v>0</v>
      </c>
      <c r="CQ783" s="153">
        <v>0</v>
      </c>
      <c r="CR783" s="153">
        <v>0</v>
      </c>
      <c r="CS783" s="168">
        <v>1</v>
      </c>
      <c r="CY783" s="171"/>
      <c r="DD783" s="171" t="s">
        <v>86</v>
      </c>
    </row>
    <row r="784" spans="1:108" x14ac:dyDescent="0.25">
      <c r="A784">
        <v>783</v>
      </c>
      <c r="B784">
        <v>48</v>
      </c>
      <c r="C784" s="25" t="s">
        <v>509</v>
      </c>
      <c r="D784" s="12">
        <v>18.399999999999999</v>
      </c>
      <c r="E784" s="14">
        <v>0.4</v>
      </c>
      <c r="F784" s="7">
        <f t="shared" si="558"/>
        <v>45.999999999999993</v>
      </c>
      <c r="G784" s="7">
        <f t="shared" si="542"/>
        <v>18</v>
      </c>
      <c r="H784" s="16">
        <f t="shared" si="543"/>
        <v>18.799999999999997</v>
      </c>
      <c r="I784" s="11">
        <f t="shared" si="553"/>
        <v>0.56442779993810444</v>
      </c>
      <c r="J784" s="33">
        <f t="shared" si="554"/>
        <v>1.2270169563871839E-2</v>
      </c>
      <c r="K784" s="33">
        <f t="shared" si="555"/>
        <v>81.498466243236749</v>
      </c>
      <c r="L784" s="33">
        <f t="shared" si="556"/>
        <v>0.5521576303742326</v>
      </c>
      <c r="M784" s="33">
        <f t="shared" si="557"/>
        <v>0.57669796950197627</v>
      </c>
      <c r="N784" s="8">
        <v>0</v>
      </c>
      <c r="O784" s="9">
        <v>1</v>
      </c>
      <c r="P784" s="8">
        <v>0</v>
      </c>
      <c r="Q784" s="9">
        <v>0</v>
      </c>
      <c r="R784" s="9">
        <v>1</v>
      </c>
      <c r="S784" s="9">
        <v>0</v>
      </c>
      <c r="T784" s="9">
        <v>0</v>
      </c>
      <c r="U784" s="8">
        <v>4530</v>
      </c>
      <c r="V784" s="9">
        <v>3</v>
      </c>
      <c r="W784" s="9">
        <f t="shared" si="549"/>
        <v>4526</v>
      </c>
      <c r="X784" s="9">
        <f t="shared" si="559"/>
        <v>9</v>
      </c>
      <c r="Y784" s="7">
        <f>(0*AN784+9*AO784+15*AP784+18*AQ784)</f>
        <v>10.29</v>
      </c>
      <c r="Z784" s="7">
        <f>BQ784-Y784-6</f>
        <v>23.21</v>
      </c>
      <c r="AA784" s="9">
        <v>1</v>
      </c>
      <c r="AB784" s="9">
        <v>0</v>
      </c>
      <c r="AC784" s="9">
        <v>0</v>
      </c>
      <c r="AD784" s="9">
        <v>0</v>
      </c>
      <c r="AE784" s="9">
        <v>0</v>
      </c>
      <c r="AF784" s="9">
        <v>1</v>
      </c>
      <c r="AG784" s="8">
        <v>0</v>
      </c>
      <c r="AH784" s="9">
        <v>0</v>
      </c>
      <c r="AI784" s="30">
        <v>1</v>
      </c>
      <c r="AJ784" s="9">
        <v>0</v>
      </c>
      <c r="AK784" s="30">
        <v>1</v>
      </c>
      <c r="AL784" s="21">
        <v>2001</v>
      </c>
      <c r="AM784" s="23">
        <f t="shared" si="561"/>
        <v>7.6014023345837334</v>
      </c>
      <c r="AN784" s="33">
        <v>0</v>
      </c>
      <c r="AO784" s="33">
        <v>0.79</v>
      </c>
      <c r="AP784" s="33">
        <v>0.2</v>
      </c>
      <c r="AQ784" s="43">
        <v>0.01</v>
      </c>
      <c r="AR784" s="33" t="s">
        <v>106</v>
      </c>
      <c r="AS784" s="43" t="s">
        <v>106</v>
      </c>
      <c r="AT784" s="42" t="s">
        <v>106</v>
      </c>
      <c r="AU784" s="18" t="s">
        <v>106</v>
      </c>
      <c r="AV784" s="39">
        <f>1-AW784</f>
        <v>0.61</v>
      </c>
      <c r="AW784" s="40">
        <v>0.39</v>
      </c>
      <c r="AX784" s="39">
        <f>1-AY784</f>
        <v>0.78800000000000003</v>
      </c>
      <c r="AY784" s="40">
        <v>0.21199999999999999</v>
      </c>
      <c r="BA784" s="18"/>
      <c r="BB784">
        <v>0.36820000000000003</v>
      </c>
      <c r="BC784" s="18">
        <f>1-BB784</f>
        <v>0.63179999999999992</v>
      </c>
      <c r="BD784" s="18" t="s">
        <v>510</v>
      </c>
      <c r="BK784" s="18"/>
      <c r="BN784" s="18"/>
      <c r="BQ784" s="25">
        <v>39.5</v>
      </c>
      <c r="BR784">
        <v>1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s="18">
        <v>0</v>
      </c>
      <c r="BZ784">
        <v>0</v>
      </c>
      <c r="CA784">
        <v>0</v>
      </c>
      <c r="CB784">
        <v>1</v>
      </c>
      <c r="CC784" s="18">
        <v>0</v>
      </c>
      <c r="CD784">
        <v>0</v>
      </c>
      <c r="CE784">
        <v>0</v>
      </c>
      <c r="CF784">
        <v>0</v>
      </c>
      <c r="CG784">
        <v>0</v>
      </c>
      <c r="CH784" s="18">
        <v>0</v>
      </c>
      <c r="CI784">
        <v>1</v>
      </c>
      <c r="CJ784">
        <v>1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0</v>
      </c>
      <c r="CS784" s="18">
        <v>0</v>
      </c>
      <c r="DD784" s="34" t="s">
        <v>86</v>
      </c>
    </row>
    <row r="785" spans="1:108" x14ac:dyDescent="0.25">
      <c r="A785">
        <v>784</v>
      </c>
      <c r="B785">
        <v>48</v>
      </c>
      <c r="C785" s="25" t="s">
        <v>509</v>
      </c>
      <c r="D785" s="12">
        <v>16</v>
      </c>
      <c r="E785" s="14">
        <v>0.4</v>
      </c>
      <c r="F785" s="7">
        <f t="shared" si="558"/>
        <v>40</v>
      </c>
      <c r="G785" s="7">
        <f t="shared" si="542"/>
        <v>15.6</v>
      </c>
      <c r="H785" s="16">
        <f t="shared" si="543"/>
        <v>16.399999999999999</v>
      </c>
      <c r="I785" s="11">
        <f t="shared" ref="I785:I807" si="563">IFERROR(F785/SQRT(F785^2+W785), "X")</f>
        <v>0.36366641995444088</v>
      </c>
      <c r="J785" s="33">
        <f t="shared" ref="J785:J807" si="564">IFERROR(SQRT((1-I785^2)/W785), "X")</f>
        <v>9.0916604988610216E-3</v>
      </c>
      <c r="K785" s="33">
        <f t="shared" ref="K785:K807" si="565">IFERROR(1/J785, "X")</f>
        <v>109.99090871522064</v>
      </c>
      <c r="L785" s="33">
        <f t="shared" ref="L785:L807" si="566">IFERROR(I785-J785, "X")</f>
        <v>0.35457475945557987</v>
      </c>
      <c r="M785" s="33">
        <f t="shared" ref="M785:M807" si="567">IFERROR(I785+J785, "X")</f>
        <v>0.37275808045330189</v>
      </c>
      <c r="N785" s="8">
        <v>0</v>
      </c>
      <c r="O785" s="9">
        <v>1</v>
      </c>
      <c r="P785" s="8">
        <v>0</v>
      </c>
      <c r="Q785" s="9">
        <v>0</v>
      </c>
      <c r="R785" s="9">
        <v>1</v>
      </c>
      <c r="S785" s="9">
        <v>0</v>
      </c>
      <c r="T785" s="9">
        <v>0</v>
      </c>
      <c r="U785" s="8">
        <v>10502</v>
      </c>
      <c r="V785" s="9">
        <v>3</v>
      </c>
      <c r="W785" s="9">
        <f t="shared" si="549"/>
        <v>10498</v>
      </c>
      <c r="X785" s="9">
        <f t="shared" si="559"/>
        <v>9</v>
      </c>
      <c r="Y785" s="7">
        <f t="shared" ref="Y785:Y792" si="568">(0*AN785+9*AO785+15*AP785+18*AQ785)</f>
        <v>10.079999999999998</v>
      </c>
      <c r="Z785" s="7">
        <f t="shared" ref="Z785:Z792" si="569">BQ785-Y785-6</f>
        <v>23.42</v>
      </c>
      <c r="AA785" s="9">
        <v>1</v>
      </c>
      <c r="AB785" s="9">
        <v>0</v>
      </c>
      <c r="AC785" s="9">
        <v>0</v>
      </c>
      <c r="AD785" s="9">
        <v>0</v>
      </c>
      <c r="AE785" s="9">
        <v>0</v>
      </c>
      <c r="AF785" s="9">
        <v>1</v>
      </c>
      <c r="AG785" s="8">
        <v>0</v>
      </c>
      <c r="AH785" s="9">
        <v>0</v>
      </c>
      <c r="AI785" s="30">
        <v>1</v>
      </c>
      <c r="AJ785" s="9">
        <v>0</v>
      </c>
      <c r="AK785" s="30">
        <v>1</v>
      </c>
      <c r="AL785" s="21">
        <v>2006</v>
      </c>
      <c r="AM785" s="23">
        <f t="shared" si="561"/>
        <v>7.6038979685218813</v>
      </c>
      <c r="AN785" s="33">
        <v>0</v>
      </c>
      <c r="AO785" s="33">
        <v>0.83</v>
      </c>
      <c r="AP785" s="33">
        <v>0.15</v>
      </c>
      <c r="AQ785" s="43">
        <v>0.02</v>
      </c>
      <c r="AR785" s="33" t="s">
        <v>106</v>
      </c>
      <c r="AS785" s="43" t="s">
        <v>106</v>
      </c>
      <c r="AT785" s="42" t="s">
        <v>106</v>
      </c>
      <c r="AU785" s="18" t="s">
        <v>106</v>
      </c>
      <c r="AV785" s="39">
        <f t="shared" ref="AV785:AV792" si="570">1-AW785</f>
        <v>0.62</v>
      </c>
      <c r="AW785" s="40">
        <v>0.38</v>
      </c>
      <c r="AX785" s="39">
        <f t="shared" ref="AX785:AX792" si="571">1-AY785</f>
        <v>0.80259999999999998</v>
      </c>
      <c r="AY785" s="40">
        <v>0.19739999999999999</v>
      </c>
      <c r="BA785" s="18"/>
      <c r="BB785">
        <v>0.39300000000000002</v>
      </c>
      <c r="BC785" s="18">
        <f t="shared" ref="BC785:BC792" si="572">1-BB785</f>
        <v>0.60699999999999998</v>
      </c>
      <c r="BD785" s="18" t="s">
        <v>510</v>
      </c>
      <c r="BK785" s="18"/>
      <c r="BN785" s="18"/>
      <c r="BQ785" s="25">
        <v>39.5</v>
      </c>
      <c r="BR785">
        <v>1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s="18">
        <v>0</v>
      </c>
      <c r="BZ785">
        <v>0</v>
      </c>
      <c r="CA785">
        <v>0</v>
      </c>
      <c r="CB785">
        <v>1</v>
      </c>
      <c r="CC785" s="18">
        <v>0</v>
      </c>
      <c r="CD785">
        <v>0</v>
      </c>
      <c r="CE785">
        <v>0</v>
      </c>
      <c r="CF785">
        <v>0</v>
      </c>
      <c r="CG785">
        <v>0</v>
      </c>
      <c r="CH785" s="18">
        <v>0</v>
      </c>
      <c r="CI785">
        <v>1</v>
      </c>
      <c r="CJ785">
        <v>1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0</v>
      </c>
      <c r="CR785">
        <v>0</v>
      </c>
      <c r="CS785" s="18">
        <v>0</v>
      </c>
      <c r="DD785" s="34" t="s">
        <v>86</v>
      </c>
    </row>
    <row r="786" spans="1:108" x14ac:dyDescent="0.25">
      <c r="A786">
        <v>785</v>
      </c>
      <c r="B786">
        <v>48</v>
      </c>
      <c r="C786" s="25" t="s">
        <v>509</v>
      </c>
      <c r="D786" s="12">
        <v>16.399999999999999</v>
      </c>
      <c r="E786" s="14">
        <v>0.4</v>
      </c>
      <c r="F786" s="7">
        <f t="shared" si="558"/>
        <v>40.999999999999993</v>
      </c>
      <c r="G786" s="7">
        <f t="shared" si="542"/>
        <v>15.999999999999998</v>
      </c>
      <c r="H786" s="16">
        <f t="shared" si="543"/>
        <v>16.799999999999997</v>
      </c>
      <c r="I786" s="11">
        <f t="shared" si="563"/>
        <v>0.32424493852851566</v>
      </c>
      <c r="J786" s="33">
        <f t="shared" si="564"/>
        <v>7.9084131348418473E-3</v>
      </c>
      <c r="K786" s="33">
        <f t="shared" si="565"/>
        <v>126.44761761298628</v>
      </c>
      <c r="L786" s="33">
        <f t="shared" si="566"/>
        <v>0.3163365253936738</v>
      </c>
      <c r="M786" s="33">
        <f t="shared" si="567"/>
        <v>0.33215335166335752</v>
      </c>
      <c r="N786" s="8">
        <v>0</v>
      </c>
      <c r="O786" s="9">
        <v>1</v>
      </c>
      <c r="P786" s="8">
        <v>0</v>
      </c>
      <c r="Q786" s="9">
        <v>0</v>
      </c>
      <c r="R786" s="9">
        <v>1</v>
      </c>
      <c r="S786" s="9">
        <v>0</v>
      </c>
      <c r="T786" s="9">
        <v>0</v>
      </c>
      <c r="U786" s="8">
        <v>14312</v>
      </c>
      <c r="V786" s="9">
        <v>3</v>
      </c>
      <c r="W786" s="9">
        <f t="shared" si="549"/>
        <v>14308</v>
      </c>
      <c r="X786" s="9">
        <f t="shared" si="559"/>
        <v>9</v>
      </c>
      <c r="Y786" s="7">
        <f t="shared" si="568"/>
        <v>11.01</v>
      </c>
      <c r="Z786" s="7">
        <f t="shared" si="569"/>
        <v>22.490000000000002</v>
      </c>
      <c r="AA786" s="9">
        <v>1</v>
      </c>
      <c r="AB786" s="9">
        <v>0</v>
      </c>
      <c r="AC786" s="9">
        <v>0</v>
      </c>
      <c r="AD786" s="9">
        <v>0</v>
      </c>
      <c r="AE786" s="9">
        <v>0</v>
      </c>
      <c r="AF786" s="9">
        <v>1</v>
      </c>
      <c r="AG786" s="8">
        <v>0</v>
      </c>
      <c r="AH786" s="9">
        <v>0</v>
      </c>
      <c r="AI786" s="30">
        <v>1</v>
      </c>
      <c r="AJ786" s="9">
        <v>0</v>
      </c>
      <c r="AK786" s="30">
        <v>1</v>
      </c>
      <c r="AL786" s="21">
        <v>2014</v>
      </c>
      <c r="AM786" s="23">
        <f t="shared" si="561"/>
        <v>7.6078780732785072</v>
      </c>
      <c r="AN786" s="33">
        <v>0</v>
      </c>
      <c r="AO786" s="33">
        <v>0.7</v>
      </c>
      <c r="AP786" s="33">
        <v>0.23</v>
      </c>
      <c r="AQ786" s="43">
        <v>7.0000000000000007E-2</v>
      </c>
      <c r="AR786" s="33" t="s">
        <v>106</v>
      </c>
      <c r="AS786" s="43" t="s">
        <v>106</v>
      </c>
      <c r="AT786" s="42" t="s">
        <v>106</v>
      </c>
      <c r="AU786" s="18" t="s">
        <v>106</v>
      </c>
      <c r="AV786" s="39">
        <f t="shared" si="570"/>
        <v>0.59000000000000008</v>
      </c>
      <c r="AW786" s="40">
        <v>0.41</v>
      </c>
      <c r="AX786" s="39">
        <f t="shared" si="571"/>
        <v>0.79889999999999994</v>
      </c>
      <c r="AY786" s="40">
        <v>0.2011</v>
      </c>
      <c r="BA786" s="18"/>
      <c r="BB786">
        <v>0.1943</v>
      </c>
      <c r="BC786" s="18">
        <f t="shared" si="572"/>
        <v>0.80569999999999997</v>
      </c>
      <c r="BD786" s="18" t="s">
        <v>510</v>
      </c>
      <c r="BK786" s="18"/>
      <c r="BN786" s="18"/>
      <c r="BQ786" s="25">
        <v>39.5</v>
      </c>
      <c r="BR786">
        <v>1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s="18">
        <v>0</v>
      </c>
      <c r="BZ786">
        <v>0</v>
      </c>
      <c r="CA786">
        <v>0</v>
      </c>
      <c r="CB786">
        <v>1</v>
      </c>
      <c r="CC786" s="18">
        <v>0</v>
      </c>
      <c r="CD786">
        <v>0</v>
      </c>
      <c r="CE786">
        <v>0</v>
      </c>
      <c r="CF786">
        <v>0</v>
      </c>
      <c r="CG786">
        <v>0</v>
      </c>
      <c r="CH786" s="18">
        <v>0</v>
      </c>
      <c r="CI786">
        <v>1</v>
      </c>
      <c r="CJ786">
        <v>1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 s="18">
        <v>0</v>
      </c>
      <c r="DD786" s="34" t="s">
        <v>86</v>
      </c>
    </row>
    <row r="787" spans="1:108" x14ac:dyDescent="0.25">
      <c r="A787">
        <v>786</v>
      </c>
      <c r="B787">
        <v>48</v>
      </c>
      <c r="C787" s="25" t="s">
        <v>509</v>
      </c>
      <c r="D787" s="12">
        <v>9.6</v>
      </c>
      <c r="E787" s="14">
        <v>0.4</v>
      </c>
      <c r="F787" s="7">
        <f t="shared" si="558"/>
        <v>23.999999999999996</v>
      </c>
      <c r="G787" s="7">
        <f t="shared" si="542"/>
        <v>9.1999999999999993</v>
      </c>
      <c r="H787" s="16">
        <f t="shared" si="543"/>
        <v>10</v>
      </c>
      <c r="I787" s="11">
        <f t="shared" si="563"/>
        <v>0.26153475390982339</v>
      </c>
      <c r="J787" s="33">
        <f t="shared" si="564"/>
        <v>1.0897281412909309E-2</v>
      </c>
      <c r="K787" s="33">
        <f t="shared" si="565"/>
        <v>91.766006778109286</v>
      </c>
      <c r="L787" s="33">
        <f t="shared" si="566"/>
        <v>0.25063747249691409</v>
      </c>
      <c r="M787" s="33">
        <f t="shared" si="567"/>
        <v>0.27243203532273269</v>
      </c>
      <c r="N787" s="8">
        <v>0</v>
      </c>
      <c r="O787" s="9">
        <v>1</v>
      </c>
      <c r="P787" s="8">
        <v>0</v>
      </c>
      <c r="Q787" s="9">
        <v>0</v>
      </c>
      <c r="R787" s="9">
        <v>1</v>
      </c>
      <c r="S787" s="9">
        <v>0</v>
      </c>
      <c r="T787" s="9">
        <v>0</v>
      </c>
      <c r="U787" s="8">
        <v>7860</v>
      </c>
      <c r="V787" s="9">
        <v>14</v>
      </c>
      <c r="W787" s="9">
        <f t="shared" si="549"/>
        <v>7845</v>
      </c>
      <c r="X787" s="9">
        <f t="shared" si="559"/>
        <v>9</v>
      </c>
      <c r="Y787" s="7">
        <f t="shared" si="568"/>
        <v>10.29</v>
      </c>
      <c r="Z787" s="7">
        <f t="shared" si="569"/>
        <v>23.21</v>
      </c>
      <c r="AA787" s="9">
        <v>1</v>
      </c>
      <c r="AB787" s="9">
        <v>0</v>
      </c>
      <c r="AC787" s="9">
        <v>0</v>
      </c>
      <c r="AD787" s="9">
        <v>0</v>
      </c>
      <c r="AE787" s="9">
        <v>0</v>
      </c>
      <c r="AF787" s="9">
        <v>1</v>
      </c>
      <c r="AG787" s="8">
        <v>0</v>
      </c>
      <c r="AH787" s="9">
        <v>0</v>
      </c>
      <c r="AI787" s="30">
        <v>1</v>
      </c>
      <c r="AJ787" s="9">
        <v>0</v>
      </c>
      <c r="AK787" s="30">
        <v>1</v>
      </c>
      <c r="AL787" s="21">
        <v>2001</v>
      </c>
      <c r="AM787" s="23">
        <f t="shared" si="561"/>
        <v>7.6014023345837334</v>
      </c>
      <c r="AN787" s="33">
        <v>0</v>
      </c>
      <c r="AO787" s="33">
        <v>0.79</v>
      </c>
      <c r="AP787" s="33">
        <v>0.2</v>
      </c>
      <c r="AQ787" s="43">
        <v>0.01</v>
      </c>
      <c r="AR787" s="33" t="s">
        <v>106</v>
      </c>
      <c r="AS787" s="43" t="s">
        <v>106</v>
      </c>
      <c r="AT787" s="42" t="s">
        <v>106</v>
      </c>
      <c r="AU787" s="18" t="s">
        <v>106</v>
      </c>
      <c r="AV787" s="39">
        <f t="shared" si="570"/>
        <v>0.61</v>
      </c>
      <c r="AW787" s="40">
        <v>0.39</v>
      </c>
      <c r="AX787" s="39">
        <f t="shared" si="571"/>
        <v>0.78800000000000003</v>
      </c>
      <c r="AY787" s="40">
        <v>0.21199999999999999</v>
      </c>
      <c r="BA787" s="18"/>
      <c r="BB787">
        <v>0.36820000000000003</v>
      </c>
      <c r="BC787" s="18">
        <f t="shared" si="572"/>
        <v>0.63179999999999992</v>
      </c>
      <c r="BD787" s="18" t="s">
        <v>510</v>
      </c>
      <c r="BK787" s="18"/>
      <c r="BN787" s="18"/>
      <c r="BQ787" s="25">
        <v>39.5</v>
      </c>
      <c r="BR787">
        <v>1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s="18">
        <v>0</v>
      </c>
      <c r="BZ787">
        <v>0</v>
      </c>
      <c r="CA787">
        <v>0</v>
      </c>
      <c r="CB787">
        <v>1</v>
      </c>
      <c r="CC787" s="18">
        <v>0</v>
      </c>
      <c r="CD787">
        <v>0</v>
      </c>
      <c r="CE787">
        <v>0</v>
      </c>
      <c r="CF787">
        <v>0</v>
      </c>
      <c r="CG787">
        <v>0</v>
      </c>
      <c r="CH787" s="18">
        <v>0</v>
      </c>
      <c r="CI787">
        <v>1</v>
      </c>
      <c r="CJ787">
        <v>1</v>
      </c>
      <c r="CK787">
        <v>0</v>
      </c>
      <c r="CL787">
        <v>0</v>
      </c>
      <c r="CM787">
        <v>0</v>
      </c>
      <c r="CN787">
        <v>0</v>
      </c>
      <c r="CO787">
        <v>1</v>
      </c>
      <c r="CP787">
        <v>1</v>
      </c>
      <c r="CQ787">
        <v>0</v>
      </c>
      <c r="CR787">
        <v>1</v>
      </c>
      <c r="CS787" s="18">
        <v>0</v>
      </c>
      <c r="DD787" s="34" t="s">
        <v>86</v>
      </c>
    </row>
    <row r="788" spans="1:108" x14ac:dyDescent="0.25">
      <c r="A788">
        <v>787</v>
      </c>
      <c r="B788">
        <v>48</v>
      </c>
      <c r="C788" s="25" t="s">
        <v>509</v>
      </c>
      <c r="D788" s="12">
        <v>8.9</v>
      </c>
      <c r="E788" s="14">
        <v>0.4</v>
      </c>
      <c r="F788" s="7">
        <f t="shared" si="558"/>
        <v>22.25</v>
      </c>
      <c r="G788" s="7">
        <f t="shared" si="542"/>
        <v>8.5</v>
      </c>
      <c r="H788" s="16">
        <f t="shared" si="543"/>
        <v>9.3000000000000007</v>
      </c>
      <c r="I788" s="11">
        <f t="shared" si="563"/>
        <v>0.21231860878491449</v>
      </c>
      <c r="J788" s="33">
        <f t="shared" si="564"/>
        <v>9.5424093835916619E-3</v>
      </c>
      <c r="K788" s="33">
        <f t="shared" si="565"/>
        <v>104.79533625119011</v>
      </c>
      <c r="L788" s="33">
        <f t="shared" si="566"/>
        <v>0.20277619940132283</v>
      </c>
      <c r="M788" s="33">
        <f t="shared" si="567"/>
        <v>0.22186101816850615</v>
      </c>
      <c r="N788" s="8">
        <v>0</v>
      </c>
      <c r="O788" s="9">
        <v>1</v>
      </c>
      <c r="P788" s="8">
        <v>0</v>
      </c>
      <c r="Q788" s="9">
        <v>0</v>
      </c>
      <c r="R788" s="9">
        <v>1</v>
      </c>
      <c r="S788" s="9">
        <v>0</v>
      </c>
      <c r="T788" s="9">
        <v>0</v>
      </c>
      <c r="U788" s="8">
        <v>10502</v>
      </c>
      <c r="V788" s="9">
        <v>14</v>
      </c>
      <c r="W788" s="9">
        <f t="shared" si="549"/>
        <v>10487</v>
      </c>
      <c r="X788" s="9">
        <f t="shared" si="559"/>
        <v>9</v>
      </c>
      <c r="Y788" s="7">
        <f t="shared" si="568"/>
        <v>10.079999999999998</v>
      </c>
      <c r="Z788" s="7">
        <f t="shared" si="569"/>
        <v>23.42</v>
      </c>
      <c r="AA788" s="9">
        <v>1</v>
      </c>
      <c r="AB788" s="9">
        <v>0</v>
      </c>
      <c r="AC788" s="9">
        <v>0</v>
      </c>
      <c r="AD788" s="9">
        <v>0</v>
      </c>
      <c r="AE788" s="9">
        <v>0</v>
      </c>
      <c r="AF788" s="9">
        <v>1</v>
      </c>
      <c r="AG788" s="8">
        <v>0</v>
      </c>
      <c r="AH788" s="9">
        <v>0</v>
      </c>
      <c r="AI788" s="30">
        <v>1</v>
      </c>
      <c r="AJ788" s="9">
        <v>0</v>
      </c>
      <c r="AK788" s="30">
        <v>1</v>
      </c>
      <c r="AL788" s="21">
        <v>2006</v>
      </c>
      <c r="AM788" s="23">
        <f t="shared" si="561"/>
        <v>7.6038979685218813</v>
      </c>
      <c r="AN788" s="33">
        <v>0</v>
      </c>
      <c r="AO788" s="33">
        <v>0.83</v>
      </c>
      <c r="AP788" s="33">
        <v>0.15</v>
      </c>
      <c r="AQ788" s="43">
        <v>0.02</v>
      </c>
      <c r="AR788" s="33" t="s">
        <v>106</v>
      </c>
      <c r="AS788" s="43" t="s">
        <v>106</v>
      </c>
      <c r="AT788" s="42" t="s">
        <v>106</v>
      </c>
      <c r="AU788" s="18" t="s">
        <v>106</v>
      </c>
      <c r="AV788" s="39">
        <f t="shared" si="570"/>
        <v>0.62</v>
      </c>
      <c r="AW788" s="40">
        <v>0.38</v>
      </c>
      <c r="AX788" s="39">
        <f t="shared" si="571"/>
        <v>0.80259999999999998</v>
      </c>
      <c r="AY788" s="40">
        <v>0.19739999999999999</v>
      </c>
      <c r="BA788" s="18"/>
      <c r="BB788">
        <v>0.39300000000000002</v>
      </c>
      <c r="BC788" s="18">
        <f t="shared" si="572"/>
        <v>0.60699999999999998</v>
      </c>
      <c r="BD788" s="18" t="s">
        <v>510</v>
      </c>
      <c r="BK788" s="18"/>
      <c r="BN788" s="18"/>
      <c r="BQ788" s="25">
        <v>39.5</v>
      </c>
      <c r="BR788">
        <v>1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s="18">
        <v>0</v>
      </c>
      <c r="BZ788">
        <v>0</v>
      </c>
      <c r="CA788">
        <v>0</v>
      </c>
      <c r="CB788">
        <v>1</v>
      </c>
      <c r="CC788" s="18">
        <v>0</v>
      </c>
      <c r="CD788">
        <v>0</v>
      </c>
      <c r="CE788">
        <v>0</v>
      </c>
      <c r="CF788">
        <v>0</v>
      </c>
      <c r="CG788">
        <v>0</v>
      </c>
      <c r="CH788" s="18">
        <v>0</v>
      </c>
      <c r="CI788">
        <v>1</v>
      </c>
      <c r="CJ788">
        <v>1</v>
      </c>
      <c r="CK788">
        <v>0</v>
      </c>
      <c r="CL788">
        <v>0</v>
      </c>
      <c r="CM788">
        <v>0</v>
      </c>
      <c r="CN788">
        <v>0</v>
      </c>
      <c r="CO788">
        <v>1</v>
      </c>
      <c r="CP788">
        <v>1</v>
      </c>
      <c r="CQ788">
        <v>0</v>
      </c>
      <c r="CR788">
        <v>1</v>
      </c>
      <c r="CS788" s="18">
        <v>0</v>
      </c>
      <c r="DD788" s="34" t="s">
        <v>86</v>
      </c>
    </row>
    <row r="789" spans="1:108" x14ac:dyDescent="0.25">
      <c r="A789">
        <v>788</v>
      </c>
      <c r="B789">
        <v>48</v>
      </c>
      <c r="C789" s="25" t="s">
        <v>509</v>
      </c>
      <c r="D789" s="12">
        <v>10.8</v>
      </c>
      <c r="E789" s="14">
        <v>0.3</v>
      </c>
      <c r="F789" s="7">
        <f t="shared" si="558"/>
        <v>36.000000000000007</v>
      </c>
      <c r="G789" s="7">
        <f t="shared" si="542"/>
        <v>10.5</v>
      </c>
      <c r="H789" s="16">
        <f t="shared" si="543"/>
        <v>11.100000000000001</v>
      </c>
      <c r="I789" s="11">
        <f t="shared" si="563"/>
        <v>0.28829536575931408</v>
      </c>
      <c r="J789" s="33">
        <f t="shared" si="564"/>
        <v>8.0082046044253896E-3</v>
      </c>
      <c r="K789" s="33">
        <f t="shared" si="565"/>
        <v>124.87193439680513</v>
      </c>
      <c r="L789" s="33">
        <f t="shared" si="566"/>
        <v>0.28028716115488872</v>
      </c>
      <c r="M789" s="33">
        <f t="shared" si="567"/>
        <v>0.29630357036373944</v>
      </c>
      <c r="N789" s="8">
        <v>0</v>
      </c>
      <c r="O789" s="9">
        <v>1</v>
      </c>
      <c r="P789" s="8">
        <v>0</v>
      </c>
      <c r="Q789" s="9">
        <v>0</v>
      </c>
      <c r="R789" s="9">
        <v>1</v>
      </c>
      <c r="S789" s="9">
        <v>0</v>
      </c>
      <c r="T789" s="9">
        <v>0</v>
      </c>
      <c r="U789" s="8">
        <v>14312</v>
      </c>
      <c r="V789" s="9">
        <v>14</v>
      </c>
      <c r="W789" s="9">
        <f t="shared" si="549"/>
        <v>14297</v>
      </c>
      <c r="X789" s="9">
        <f t="shared" si="559"/>
        <v>9</v>
      </c>
      <c r="Y789" s="7">
        <f t="shared" si="568"/>
        <v>11.01</v>
      </c>
      <c r="Z789" s="7">
        <f t="shared" si="569"/>
        <v>22.490000000000002</v>
      </c>
      <c r="AA789" s="9">
        <v>1</v>
      </c>
      <c r="AB789" s="9">
        <v>0</v>
      </c>
      <c r="AC789" s="9">
        <v>0</v>
      </c>
      <c r="AD789" s="9">
        <v>0</v>
      </c>
      <c r="AE789" s="9">
        <v>0</v>
      </c>
      <c r="AF789" s="9">
        <v>1</v>
      </c>
      <c r="AG789" s="8">
        <v>0</v>
      </c>
      <c r="AH789" s="9">
        <v>0</v>
      </c>
      <c r="AI789" s="30">
        <v>1</v>
      </c>
      <c r="AJ789" s="9">
        <v>0</v>
      </c>
      <c r="AK789" s="30">
        <v>1</v>
      </c>
      <c r="AL789" s="21">
        <v>2014</v>
      </c>
      <c r="AM789" s="23">
        <f t="shared" si="561"/>
        <v>7.6078780732785072</v>
      </c>
      <c r="AN789" s="33">
        <v>0</v>
      </c>
      <c r="AO789" s="33">
        <v>0.7</v>
      </c>
      <c r="AP789" s="33">
        <v>0.23</v>
      </c>
      <c r="AQ789" s="43">
        <v>7.0000000000000007E-2</v>
      </c>
      <c r="AR789" s="33" t="s">
        <v>106</v>
      </c>
      <c r="AS789" s="43" t="s">
        <v>106</v>
      </c>
      <c r="AT789" s="42" t="s">
        <v>106</v>
      </c>
      <c r="AU789" s="18" t="s">
        <v>106</v>
      </c>
      <c r="AV789" s="39">
        <f t="shared" si="570"/>
        <v>0.59000000000000008</v>
      </c>
      <c r="AW789" s="40">
        <v>0.41</v>
      </c>
      <c r="AX789" s="39">
        <f t="shared" si="571"/>
        <v>0.79889999999999994</v>
      </c>
      <c r="AY789" s="40">
        <v>0.2011</v>
      </c>
      <c r="BA789" s="18"/>
      <c r="BB789">
        <v>0.1943</v>
      </c>
      <c r="BC789" s="18">
        <f t="shared" si="572"/>
        <v>0.80569999999999997</v>
      </c>
      <c r="BD789" s="18" t="s">
        <v>510</v>
      </c>
      <c r="BK789" s="18"/>
      <c r="BN789" s="18"/>
      <c r="BQ789" s="25">
        <v>39.5</v>
      </c>
      <c r="BR789">
        <v>1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s="18">
        <v>0</v>
      </c>
      <c r="BZ789">
        <v>0</v>
      </c>
      <c r="CA789">
        <v>0</v>
      </c>
      <c r="CB789">
        <v>1</v>
      </c>
      <c r="CC789" s="18">
        <v>0</v>
      </c>
      <c r="CD789">
        <v>0</v>
      </c>
      <c r="CE789">
        <v>0</v>
      </c>
      <c r="CF789">
        <v>0</v>
      </c>
      <c r="CG789">
        <v>0</v>
      </c>
      <c r="CH789" s="18">
        <v>0</v>
      </c>
      <c r="CI789">
        <v>1</v>
      </c>
      <c r="CJ789">
        <v>1</v>
      </c>
      <c r="CK789">
        <v>0</v>
      </c>
      <c r="CL789">
        <v>0</v>
      </c>
      <c r="CM789">
        <v>0</v>
      </c>
      <c r="CN789">
        <v>0</v>
      </c>
      <c r="CO789">
        <v>1</v>
      </c>
      <c r="CP789">
        <v>1</v>
      </c>
      <c r="CQ789">
        <v>0</v>
      </c>
      <c r="CR789">
        <v>1</v>
      </c>
      <c r="CS789" s="18">
        <v>0</v>
      </c>
      <c r="DD789" s="34" t="s">
        <v>86</v>
      </c>
    </row>
    <row r="790" spans="1:108" x14ac:dyDescent="0.25">
      <c r="A790">
        <v>789</v>
      </c>
      <c r="B790">
        <v>48</v>
      </c>
      <c r="C790" s="25" t="s">
        <v>509</v>
      </c>
      <c r="D790" s="12">
        <v>10.8</v>
      </c>
      <c r="E790" s="14">
        <v>0.7</v>
      </c>
      <c r="F790" s="7">
        <f t="shared" si="558"/>
        <v>15.428571428571431</v>
      </c>
      <c r="G790" s="7">
        <f t="shared" si="542"/>
        <v>10.100000000000001</v>
      </c>
      <c r="H790" s="16">
        <f t="shared" si="543"/>
        <v>11.5</v>
      </c>
      <c r="I790" s="11">
        <f t="shared" si="563"/>
        <v>0.17160831599091331</v>
      </c>
      <c r="J790" s="33">
        <f t="shared" si="564"/>
        <v>1.1122761221633269E-2</v>
      </c>
      <c r="K790" s="33">
        <f t="shared" si="565"/>
        <v>89.905732944715666</v>
      </c>
      <c r="L790" s="33">
        <f t="shared" si="566"/>
        <v>0.16048555476928003</v>
      </c>
      <c r="M790" s="33">
        <f t="shared" si="567"/>
        <v>0.18273107721254658</v>
      </c>
      <c r="N790" s="8">
        <v>0</v>
      </c>
      <c r="O790" s="9">
        <v>1</v>
      </c>
      <c r="P790" s="8">
        <v>0</v>
      </c>
      <c r="Q790" s="9">
        <v>0</v>
      </c>
      <c r="R790" s="9">
        <v>1</v>
      </c>
      <c r="S790" s="9">
        <v>0</v>
      </c>
      <c r="T790" s="9">
        <v>0</v>
      </c>
      <c r="U790" s="8">
        <v>7860</v>
      </c>
      <c r="V790" s="9">
        <v>14</v>
      </c>
      <c r="W790" s="9">
        <f t="shared" ref="W790:W814" si="573">U790-V790-1</f>
        <v>7845</v>
      </c>
      <c r="X790" s="9">
        <f t="shared" si="559"/>
        <v>9</v>
      </c>
      <c r="Y790" s="7">
        <f t="shared" si="568"/>
        <v>10.29</v>
      </c>
      <c r="Z790" s="7">
        <f t="shared" si="569"/>
        <v>23.21</v>
      </c>
      <c r="AA790" s="9">
        <v>1</v>
      </c>
      <c r="AB790" s="9">
        <v>0</v>
      </c>
      <c r="AC790" s="9">
        <v>0</v>
      </c>
      <c r="AD790" s="9">
        <v>0</v>
      </c>
      <c r="AE790" s="9">
        <v>0</v>
      </c>
      <c r="AF790" s="9">
        <v>1</v>
      </c>
      <c r="AG790" s="8">
        <v>0</v>
      </c>
      <c r="AH790" s="9">
        <v>0</v>
      </c>
      <c r="AI790" s="30">
        <v>1</v>
      </c>
      <c r="AJ790" s="9">
        <v>0</v>
      </c>
      <c r="AK790" s="30">
        <v>1</v>
      </c>
      <c r="AL790" s="21">
        <v>2001</v>
      </c>
      <c r="AM790" s="23">
        <f t="shared" si="561"/>
        <v>7.6014023345837334</v>
      </c>
      <c r="AN790" s="33">
        <v>0</v>
      </c>
      <c r="AO790" s="33">
        <v>0.79</v>
      </c>
      <c r="AP790" s="33">
        <v>0.2</v>
      </c>
      <c r="AQ790" s="43">
        <v>0.01</v>
      </c>
      <c r="AR790" s="33" t="s">
        <v>106</v>
      </c>
      <c r="AS790" s="43" t="s">
        <v>106</v>
      </c>
      <c r="AT790" s="42" t="s">
        <v>106</v>
      </c>
      <c r="AU790" s="18" t="s">
        <v>106</v>
      </c>
      <c r="AV790" s="39">
        <f t="shared" si="570"/>
        <v>0.61</v>
      </c>
      <c r="AW790" s="40">
        <v>0.39</v>
      </c>
      <c r="AX790" s="39">
        <f t="shared" si="571"/>
        <v>0.78800000000000003</v>
      </c>
      <c r="AY790" s="40">
        <v>0.21199999999999999</v>
      </c>
      <c r="BA790" s="18"/>
      <c r="BB790">
        <v>0.36820000000000003</v>
      </c>
      <c r="BC790" s="18">
        <f t="shared" si="572"/>
        <v>0.63179999999999992</v>
      </c>
      <c r="BD790" s="18" t="s">
        <v>510</v>
      </c>
      <c r="BK790" s="18"/>
      <c r="BN790" s="18"/>
      <c r="BQ790" s="25">
        <v>39.5</v>
      </c>
      <c r="BR790">
        <v>1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s="18">
        <v>0</v>
      </c>
      <c r="BZ790">
        <v>0</v>
      </c>
      <c r="CA790">
        <v>1</v>
      </c>
      <c r="CB790">
        <v>0</v>
      </c>
      <c r="CC790" s="18">
        <v>0</v>
      </c>
      <c r="CD790">
        <v>0</v>
      </c>
      <c r="CE790">
        <v>0</v>
      </c>
      <c r="CF790">
        <v>0</v>
      </c>
      <c r="CG790">
        <v>0</v>
      </c>
      <c r="CH790" s="18">
        <v>0</v>
      </c>
      <c r="CI790">
        <v>1</v>
      </c>
      <c r="CJ790">
        <v>1</v>
      </c>
      <c r="CK790">
        <v>0</v>
      </c>
      <c r="CL790">
        <v>0</v>
      </c>
      <c r="CM790">
        <v>0</v>
      </c>
      <c r="CN790">
        <v>0</v>
      </c>
      <c r="CO790">
        <v>1</v>
      </c>
      <c r="CP790">
        <v>1</v>
      </c>
      <c r="CQ790">
        <v>0</v>
      </c>
      <c r="CR790">
        <v>1</v>
      </c>
      <c r="CS790" s="18">
        <v>0</v>
      </c>
      <c r="DD790" s="34" t="s">
        <v>86</v>
      </c>
    </row>
    <row r="791" spans="1:108" x14ac:dyDescent="0.25">
      <c r="A791">
        <v>790</v>
      </c>
      <c r="B791">
        <v>48</v>
      </c>
      <c r="C791" s="25" t="s">
        <v>509</v>
      </c>
      <c r="D791" s="12">
        <v>12.3</v>
      </c>
      <c r="E791" s="14">
        <v>1</v>
      </c>
      <c r="F791" s="7">
        <f t="shared" si="558"/>
        <v>12.3</v>
      </c>
      <c r="G791" s="7">
        <f t="shared" si="542"/>
        <v>11.3</v>
      </c>
      <c r="H791" s="16">
        <f t="shared" si="543"/>
        <v>13.3</v>
      </c>
      <c r="I791" s="11">
        <f t="shared" si="563"/>
        <v>0.11925296861604824</v>
      </c>
      <c r="J791" s="33">
        <f t="shared" si="564"/>
        <v>9.6953633021177425E-3</v>
      </c>
      <c r="K791" s="33">
        <f t="shared" si="565"/>
        <v>103.14208646328618</v>
      </c>
      <c r="L791" s="33">
        <f t="shared" si="566"/>
        <v>0.1095576053139305</v>
      </c>
      <c r="M791" s="33">
        <f t="shared" si="567"/>
        <v>0.12894833191816599</v>
      </c>
      <c r="N791" s="8">
        <v>0</v>
      </c>
      <c r="O791" s="9">
        <v>1</v>
      </c>
      <c r="P791" s="8">
        <v>0</v>
      </c>
      <c r="Q791" s="9">
        <v>0</v>
      </c>
      <c r="R791" s="9">
        <v>1</v>
      </c>
      <c r="S791" s="9">
        <v>0</v>
      </c>
      <c r="T791" s="9">
        <v>0</v>
      </c>
      <c r="U791" s="8">
        <v>10502</v>
      </c>
      <c r="V791" s="9">
        <v>14</v>
      </c>
      <c r="W791" s="9">
        <f t="shared" si="573"/>
        <v>10487</v>
      </c>
      <c r="X791" s="9">
        <f t="shared" si="559"/>
        <v>9</v>
      </c>
      <c r="Y791" s="7">
        <f t="shared" si="568"/>
        <v>10.079999999999998</v>
      </c>
      <c r="Z791" s="7">
        <f t="shared" si="569"/>
        <v>23.42</v>
      </c>
      <c r="AA791" s="9">
        <v>1</v>
      </c>
      <c r="AB791" s="9">
        <v>0</v>
      </c>
      <c r="AC791" s="9">
        <v>0</v>
      </c>
      <c r="AD791" s="9">
        <v>0</v>
      </c>
      <c r="AE791" s="9">
        <v>0</v>
      </c>
      <c r="AF791" s="9">
        <v>1</v>
      </c>
      <c r="AG791" s="8">
        <v>0</v>
      </c>
      <c r="AH791" s="9">
        <v>0</v>
      </c>
      <c r="AI791" s="30">
        <v>1</v>
      </c>
      <c r="AJ791" s="9">
        <v>0</v>
      </c>
      <c r="AK791" s="30">
        <v>1</v>
      </c>
      <c r="AL791" s="21">
        <v>2006</v>
      </c>
      <c r="AM791" s="23">
        <f t="shared" si="561"/>
        <v>7.6038979685218813</v>
      </c>
      <c r="AN791" s="33">
        <v>0</v>
      </c>
      <c r="AO791" s="33">
        <v>0.83</v>
      </c>
      <c r="AP791" s="33">
        <v>0.15</v>
      </c>
      <c r="AQ791" s="43">
        <v>0.02</v>
      </c>
      <c r="AR791" s="33" t="s">
        <v>106</v>
      </c>
      <c r="AS791" s="43" t="s">
        <v>106</v>
      </c>
      <c r="AT791" s="42" t="s">
        <v>106</v>
      </c>
      <c r="AU791" s="18" t="s">
        <v>106</v>
      </c>
      <c r="AV791" s="39">
        <f t="shared" si="570"/>
        <v>0.62</v>
      </c>
      <c r="AW791" s="40">
        <v>0.38</v>
      </c>
      <c r="AX791" s="39">
        <f t="shared" si="571"/>
        <v>0.80259999999999998</v>
      </c>
      <c r="AY791" s="40">
        <v>0.19739999999999999</v>
      </c>
      <c r="BA791" s="18"/>
      <c r="BB791">
        <v>0.39300000000000002</v>
      </c>
      <c r="BC791" s="18">
        <f t="shared" si="572"/>
        <v>0.60699999999999998</v>
      </c>
      <c r="BD791" s="18" t="s">
        <v>510</v>
      </c>
      <c r="BK791" s="18"/>
      <c r="BN791" s="18"/>
      <c r="BQ791" s="25">
        <v>39.5</v>
      </c>
      <c r="BR791">
        <v>1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s="18">
        <v>0</v>
      </c>
      <c r="BZ791">
        <v>0</v>
      </c>
      <c r="CA791">
        <v>1</v>
      </c>
      <c r="CB791">
        <v>0</v>
      </c>
      <c r="CC791" s="18">
        <v>0</v>
      </c>
      <c r="CD791">
        <v>0</v>
      </c>
      <c r="CE791">
        <v>0</v>
      </c>
      <c r="CF791">
        <v>0</v>
      </c>
      <c r="CG791">
        <v>0</v>
      </c>
      <c r="CH791" s="18">
        <v>0</v>
      </c>
      <c r="CI791">
        <v>1</v>
      </c>
      <c r="CJ791">
        <v>1</v>
      </c>
      <c r="CK791">
        <v>0</v>
      </c>
      <c r="CL791">
        <v>0</v>
      </c>
      <c r="CM791">
        <v>0</v>
      </c>
      <c r="CN791">
        <v>0</v>
      </c>
      <c r="CO791">
        <v>1</v>
      </c>
      <c r="CP791">
        <v>1</v>
      </c>
      <c r="CQ791">
        <v>0</v>
      </c>
      <c r="CR791">
        <v>1</v>
      </c>
      <c r="CS791" s="18">
        <v>0</v>
      </c>
      <c r="DD791" s="34" t="s">
        <v>86</v>
      </c>
    </row>
    <row r="792" spans="1:108" s="153" customFormat="1" x14ac:dyDescent="0.25">
      <c r="A792" s="153">
        <v>791</v>
      </c>
      <c r="B792" s="153">
        <v>48</v>
      </c>
      <c r="C792" s="154" t="s">
        <v>509</v>
      </c>
      <c r="D792" s="155">
        <v>17.399999999999999</v>
      </c>
      <c r="E792" s="156">
        <v>1</v>
      </c>
      <c r="F792" s="157">
        <f t="shared" si="558"/>
        <v>17.399999999999999</v>
      </c>
      <c r="G792" s="157">
        <f t="shared" si="542"/>
        <v>16.399999999999999</v>
      </c>
      <c r="H792" s="158">
        <f t="shared" si="543"/>
        <v>18.399999999999999</v>
      </c>
      <c r="I792" s="159">
        <f t="shared" si="563"/>
        <v>0.14400460822119579</v>
      </c>
      <c r="J792" s="160">
        <f t="shared" si="564"/>
        <v>8.2761269092641258E-3</v>
      </c>
      <c r="K792" s="160">
        <f t="shared" si="565"/>
        <v>120.82946660479803</v>
      </c>
      <c r="L792" s="160">
        <f t="shared" si="566"/>
        <v>0.13572848131193166</v>
      </c>
      <c r="M792" s="160">
        <f t="shared" si="567"/>
        <v>0.15228073513045992</v>
      </c>
      <c r="N792" s="161">
        <v>0</v>
      </c>
      <c r="O792" s="162">
        <v>1</v>
      </c>
      <c r="P792" s="161">
        <v>0</v>
      </c>
      <c r="Q792" s="162">
        <v>0</v>
      </c>
      <c r="R792" s="162">
        <v>1</v>
      </c>
      <c r="S792" s="162">
        <v>0</v>
      </c>
      <c r="T792" s="162">
        <v>0</v>
      </c>
      <c r="U792" s="161">
        <v>14312</v>
      </c>
      <c r="V792" s="162">
        <v>14</v>
      </c>
      <c r="W792" s="162">
        <f t="shared" si="573"/>
        <v>14297</v>
      </c>
      <c r="X792" s="162">
        <f t="shared" si="559"/>
        <v>9</v>
      </c>
      <c r="Y792" s="157">
        <f t="shared" si="568"/>
        <v>11.01</v>
      </c>
      <c r="Z792" s="157">
        <f t="shared" si="569"/>
        <v>22.490000000000002</v>
      </c>
      <c r="AA792" s="162">
        <v>1</v>
      </c>
      <c r="AB792" s="162">
        <v>0</v>
      </c>
      <c r="AC792" s="162">
        <v>0</v>
      </c>
      <c r="AD792" s="162">
        <v>0</v>
      </c>
      <c r="AE792" s="162">
        <v>0</v>
      </c>
      <c r="AF792" s="162">
        <v>1</v>
      </c>
      <c r="AG792" s="161">
        <v>0</v>
      </c>
      <c r="AH792" s="162">
        <v>0</v>
      </c>
      <c r="AI792" s="163">
        <v>1</v>
      </c>
      <c r="AJ792" s="162">
        <v>0</v>
      </c>
      <c r="AK792" s="163">
        <v>1</v>
      </c>
      <c r="AL792" s="164">
        <v>2014</v>
      </c>
      <c r="AM792" s="165">
        <f t="shared" si="561"/>
        <v>7.6078780732785072</v>
      </c>
      <c r="AN792" s="160">
        <v>0</v>
      </c>
      <c r="AO792" s="160">
        <v>0.7</v>
      </c>
      <c r="AP792" s="160">
        <v>0.23</v>
      </c>
      <c r="AQ792" s="166">
        <v>7.0000000000000007E-2</v>
      </c>
      <c r="AR792" s="160" t="s">
        <v>106</v>
      </c>
      <c r="AS792" s="166" t="s">
        <v>106</v>
      </c>
      <c r="AT792" s="167" t="s">
        <v>106</v>
      </c>
      <c r="AU792" s="168" t="s">
        <v>106</v>
      </c>
      <c r="AV792" s="188">
        <f t="shared" si="570"/>
        <v>0.59000000000000008</v>
      </c>
      <c r="AW792" s="169">
        <v>0.41</v>
      </c>
      <c r="AX792" s="188">
        <f t="shared" si="571"/>
        <v>0.79889999999999994</v>
      </c>
      <c r="AY792" s="169">
        <v>0.2011</v>
      </c>
      <c r="BA792" s="168"/>
      <c r="BB792" s="153">
        <v>0.1943</v>
      </c>
      <c r="BC792" s="168">
        <f t="shared" si="572"/>
        <v>0.80569999999999997</v>
      </c>
      <c r="BD792" s="168" t="s">
        <v>510</v>
      </c>
      <c r="BK792" s="168"/>
      <c r="BN792" s="168"/>
      <c r="BQ792" s="154">
        <v>39.5</v>
      </c>
      <c r="BR792" s="153">
        <v>1</v>
      </c>
      <c r="BS792" s="153">
        <v>0</v>
      </c>
      <c r="BT792" s="153">
        <v>0</v>
      </c>
      <c r="BU792" s="153">
        <v>0</v>
      </c>
      <c r="BV792" s="153">
        <v>0</v>
      </c>
      <c r="BW792" s="153">
        <v>0</v>
      </c>
      <c r="BX792" s="153">
        <v>0</v>
      </c>
      <c r="BY792" s="168">
        <v>0</v>
      </c>
      <c r="BZ792" s="153">
        <v>0</v>
      </c>
      <c r="CA792" s="153">
        <v>1</v>
      </c>
      <c r="CB792" s="153">
        <v>0</v>
      </c>
      <c r="CC792" s="168">
        <v>0</v>
      </c>
      <c r="CD792" s="153">
        <v>0</v>
      </c>
      <c r="CE792" s="153">
        <v>0</v>
      </c>
      <c r="CF792" s="153">
        <v>0</v>
      </c>
      <c r="CG792" s="153">
        <v>0</v>
      </c>
      <c r="CH792" s="168">
        <v>0</v>
      </c>
      <c r="CI792" s="153">
        <v>1</v>
      </c>
      <c r="CJ792" s="153">
        <v>1</v>
      </c>
      <c r="CK792" s="153">
        <v>0</v>
      </c>
      <c r="CL792" s="153">
        <v>0</v>
      </c>
      <c r="CM792" s="153">
        <v>0</v>
      </c>
      <c r="CN792" s="153">
        <v>0</v>
      </c>
      <c r="CO792" s="153">
        <v>1</v>
      </c>
      <c r="CP792" s="153">
        <v>1</v>
      </c>
      <c r="CQ792" s="153">
        <v>0</v>
      </c>
      <c r="CR792" s="153">
        <v>1</v>
      </c>
      <c r="CS792" s="168">
        <v>0</v>
      </c>
      <c r="CY792" s="171"/>
      <c r="DD792" s="171" t="s">
        <v>86</v>
      </c>
    </row>
    <row r="793" spans="1:108" x14ac:dyDescent="0.25">
      <c r="A793">
        <v>792</v>
      </c>
      <c r="B793">
        <v>49</v>
      </c>
      <c r="C793" s="25" t="s">
        <v>511</v>
      </c>
      <c r="D793" s="12">
        <v>11.7</v>
      </c>
      <c r="E793" s="14">
        <v>0.3</v>
      </c>
      <c r="F793" s="7">
        <f t="shared" si="558"/>
        <v>39</v>
      </c>
      <c r="G793" s="7">
        <f t="shared" si="542"/>
        <v>11.399999999999999</v>
      </c>
      <c r="H793" s="16">
        <f t="shared" si="543"/>
        <v>12</v>
      </c>
      <c r="I793" s="11">
        <f t="shared" si="563"/>
        <v>0.38390587509210189</v>
      </c>
      <c r="J793" s="33">
        <f t="shared" si="564"/>
        <v>9.8437403869769714E-3</v>
      </c>
      <c r="K793" s="33">
        <f t="shared" si="565"/>
        <v>101.58740079360236</v>
      </c>
      <c r="L793" s="33">
        <f t="shared" si="566"/>
        <v>0.37406213470512489</v>
      </c>
      <c r="M793" s="33">
        <f t="shared" si="567"/>
        <v>0.39374961547907888</v>
      </c>
      <c r="N793" s="8">
        <v>0</v>
      </c>
      <c r="O793" s="9">
        <v>1</v>
      </c>
      <c r="P793" s="8">
        <v>0</v>
      </c>
      <c r="Q793" s="9">
        <v>1</v>
      </c>
      <c r="R793" s="9">
        <v>0</v>
      </c>
      <c r="S793" s="9">
        <v>0</v>
      </c>
      <c r="T793" s="9">
        <v>0</v>
      </c>
      <c r="U793" s="8">
        <v>8807</v>
      </c>
      <c r="V793" s="9">
        <v>7</v>
      </c>
      <c r="W793" s="9">
        <f t="shared" si="573"/>
        <v>8799</v>
      </c>
      <c r="X793" s="9">
        <f t="shared" si="559"/>
        <v>10</v>
      </c>
      <c r="Y793" s="7">
        <v>9.6470000000000002</v>
      </c>
      <c r="Z793" s="7">
        <v>17.068999999999999</v>
      </c>
      <c r="AA793" s="9">
        <v>1</v>
      </c>
      <c r="AB793" s="9">
        <v>0</v>
      </c>
      <c r="AC793" s="9">
        <v>0</v>
      </c>
      <c r="AD793" s="9">
        <v>0</v>
      </c>
      <c r="AE793" s="9">
        <v>0</v>
      </c>
      <c r="AF793" s="9">
        <v>1</v>
      </c>
      <c r="AG793" s="8">
        <v>0</v>
      </c>
      <c r="AH793" s="9">
        <v>0</v>
      </c>
      <c r="AI793" s="30">
        <v>1</v>
      </c>
      <c r="AJ793" s="9">
        <v>0</v>
      </c>
      <c r="AK793" s="30">
        <v>1</v>
      </c>
      <c r="AL793" s="21">
        <v>2000</v>
      </c>
      <c r="AM793" s="23">
        <f t="shared" si="561"/>
        <v>7.6009024595420822</v>
      </c>
      <c r="AN793" s="33">
        <v>2.9000000000000001E-2</v>
      </c>
      <c r="AO793" s="33">
        <v>0.28000000000000003</v>
      </c>
      <c r="AP793" s="33">
        <f>1-SUM(AN793,AO793,AQ793)</f>
        <v>0.498</v>
      </c>
      <c r="AQ793" s="43">
        <v>0.193</v>
      </c>
      <c r="AR793" s="33" t="s">
        <v>106</v>
      </c>
      <c r="AS793" s="43" t="s">
        <v>106</v>
      </c>
      <c r="AT793" s="42">
        <v>1</v>
      </c>
      <c r="AU793" s="18">
        <v>0</v>
      </c>
      <c r="AV793">
        <v>0.6391</v>
      </c>
      <c r="AW793" s="40">
        <f>1-AV793</f>
        <v>0.3609</v>
      </c>
      <c r="AX793" t="s">
        <v>106</v>
      </c>
      <c r="AY793" s="40" t="s">
        <v>106</v>
      </c>
      <c r="BA793" s="18"/>
      <c r="BB793">
        <f>1-BC793</f>
        <v>0.34599999999999997</v>
      </c>
      <c r="BC793" s="18">
        <v>0.65400000000000003</v>
      </c>
      <c r="BD793" s="18" t="s">
        <v>13</v>
      </c>
      <c r="BK793" s="18"/>
      <c r="BN793" s="18"/>
      <c r="BQ793" s="96">
        <f>Y793+Z793+6</f>
        <v>32.716000000000001</v>
      </c>
      <c r="BR793">
        <v>1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s="18">
        <v>0</v>
      </c>
      <c r="BZ793">
        <v>0</v>
      </c>
      <c r="CA793">
        <v>0</v>
      </c>
      <c r="CB793">
        <v>1</v>
      </c>
      <c r="CC793" s="18">
        <v>0</v>
      </c>
      <c r="CD793">
        <v>0</v>
      </c>
      <c r="CE793">
        <v>0</v>
      </c>
      <c r="CF793">
        <v>0</v>
      </c>
      <c r="CG793">
        <v>0</v>
      </c>
      <c r="CH793" s="18">
        <v>0</v>
      </c>
      <c r="CI793">
        <v>0</v>
      </c>
      <c r="CJ793">
        <v>0</v>
      </c>
      <c r="CK793">
        <v>1</v>
      </c>
      <c r="CL793">
        <v>1</v>
      </c>
      <c r="CM793">
        <v>0</v>
      </c>
      <c r="CN793">
        <v>0</v>
      </c>
      <c r="CO793">
        <v>0</v>
      </c>
      <c r="CP793">
        <v>0</v>
      </c>
      <c r="CQ793">
        <v>0</v>
      </c>
      <c r="CR793">
        <v>1</v>
      </c>
      <c r="CS793" s="18">
        <v>0</v>
      </c>
      <c r="DD793" s="34" t="s">
        <v>86</v>
      </c>
    </row>
    <row r="794" spans="1:108" x14ac:dyDescent="0.25">
      <c r="A794">
        <v>793</v>
      </c>
      <c r="B794">
        <v>49</v>
      </c>
      <c r="C794" s="25" t="s">
        <v>511</v>
      </c>
      <c r="D794" s="12">
        <v>10.9</v>
      </c>
      <c r="E794" s="14">
        <v>0.3</v>
      </c>
      <c r="F794" s="7">
        <f t="shared" si="558"/>
        <v>36.333333333333336</v>
      </c>
      <c r="G794" s="7">
        <f t="shared" si="542"/>
        <v>10.6</v>
      </c>
      <c r="H794" s="16">
        <f t="shared" si="543"/>
        <v>11.200000000000001</v>
      </c>
      <c r="I794" s="11">
        <f t="shared" si="563"/>
        <v>0.43610467768547451</v>
      </c>
      <c r="J794" s="33">
        <f t="shared" si="564"/>
        <v>1.2002881037214894E-2</v>
      </c>
      <c r="K794" s="33">
        <f t="shared" si="565"/>
        <v>83.313330932757154</v>
      </c>
      <c r="L794" s="33">
        <f t="shared" si="566"/>
        <v>0.42410179664825959</v>
      </c>
      <c r="M794" s="33">
        <f t="shared" si="567"/>
        <v>0.44810755872268943</v>
      </c>
      <c r="N794" s="8">
        <v>0</v>
      </c>
      <c r="O794" s="9">
        <v>1</v>
      </c>
      <c r="P794" s="8">
        <v>0</v>
      </c>
      <c r="Q794" s="9">
        <v>1</v>
      </c>
      <c r="R794" s="9">
        <v>0</v>
      </c>
      <c r="S794" s="9">
        <v>0</v>
      </c>
      <c r="T794" s="9">
        <v>0</v>
      </c>
      <c r="U794" s="8">
        <v>5629</v>
      </c>
      <c r="V794" s="9">
        <v>7</v>
      </c>
      <c r="W794" s="9">
        <f t="shared" si="573"/>
        <v>5621</v>
      </c>
      <c r="X794" s="9">
        <f t="shared" si="559"/>
        <v>10</v>
      </c>
      <c r="Y794" s="7">
        <v>9.7219999999999995</v>
      </c>
      <c r="Z794" s="7">
        <v>17.300999999999998</v>
      </c>
      <c r="AA794" s="9">
        <v>1</v>
      </c>
      <c r="AB794" s="9">
        <v>0</v>
      </c>
      <c r="AC794" s="9">
        <v>0</v>
      </c>
      <c r="AD794" s="9">
        <v>0</v>
      </c>
      <c r="AE794" s="9">
        <v>0</v>
      </c>
      <c r="AF794" s="9">
        <v>1</v>
      </c>
      <c r="AG794" s="8">
        <v>0</v>
      </c>
      <c r="AH794" s="9">
        <v>0</v>
      </c>
      <c r="AI794" s="30">
        <v>1</v>
      </c>
      <c r="AJ794" s="9">
        <v>0</v>
      </c>
      <c r="AK794" s="30">
        <v>1</v>
      </c>
      <c r="AL794" s="21">
        <v>2000</v>
      </c>
      <c r="AM794" s="23">
        <f t="shared" si="561"/>
        <v>7.6009024595420822</v>
      </c>
      <c r="AN794" s="33">
        <v>1.4999999999999999E-2</v>
      </c>
      <c r="AO794" s="33">
        <v>0.27400000000000002</v>
      </c>
      <c r="AP794" s="33">
        <f t="shared" ref="AP794:AP802" si="574">1-SUM(AN794,AO794,AQ794)</f>
        <v>0.54899999999999993</v>
      </c>
      <c r="AQ794" s="43">
        <v>0.16200000000000001</v>
      </c>
      <c r="AR794" s="33" t="s">
        <v>106</v>
      </c>
      <c r="AS794" s="43" t="s">
        <v>106</v>
      </c>
      <c r="AT794" s="42">
        <v>1</v>
      </c>
      <c r="AU794" s="18">
        <v>0</v>
      </c>
      <c r="AV794">
        <v>1</v>
      </c>
      <c r="AW794" s="40">
        <v>0</v>
      </c>
      <c r="AX794" t="s">
        <v>106</v>
      </c>
      <c r="AY794" s="40" t="s">
        <v>106</v>
      </c>
      <c r="BA794" s="18"/>
      <c r="BB794">
        <f t="shared" ref="BB794:BB802" si="575">1-BC794</f>
        <v>0.35699999999999998</v>
      </c>
      <c r="BC794" s="18">
        <v>0.64300000000000002</v>
      </c>
      <c r="BD794" s="18" t="s">
        <v>13</v>
      </c>
      <c r="BK794" s="18"/>
      <c r="BN794" s="18"/>
      <c r="BQ794" s="96">
        <f t="shared" ref="BQ794:BQ802" si="576">Y794+Z794+6</f>
        <v>33.022999999999996</v>
      </c>
      <c r="BR794">
        <v>1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 s="18">
        <v>0</v>
      </c>
      <c r="BZ794">
        <v>0</v>
      </c>
      <c r="CA794">
        <v>0</v>
      </c>
      <c r="CB794">
        <v>1</v>
      </c>
      <c r="CC794" s="18">
        <v>0</v>
      </c>
      <c r="CD794">
        <v>0</v>
      </c>
      <c r="CE794">
        <v>0</v>
      </c>
      <c r="CF794">
        <v>0</v>
      </c>
      <c r="CG794">
        <v>0</v>
      </c>
      <c r="CH794" s="18">
        <v>0</v>
      </c>
      <c r="CI794">
        <v>0</v>
      </c>
      <c r="CJ794">
        <v>0</v>
      </c>
      <c r="CK794">
        <v>1</v>
      </c>
      <c r="CL794">
        <v>1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1</v>
      </c>
      <c r="CS794" s="18">
        <v>0</v>
      </c>
      <c r="DD794" s="34" t="s">
        <v>86</v>
      </c>
    </row>
    <row r="795" spans="1:108" x14ac:dyDescent="0.25">
      <c r="A795">
        <v>794</v>
      </c>
      <c r="B795">
        <v>49</v>
      </c>
      <c r="C795" s="25" t="s">
        <v>511</v>
      </c>
      <c r="D795" s="12">
        <v>11.8</v>
      </c>
      <c r="E795" s="14">
        <v>0.4</v>
      </c>
      <c r="F795" s="7">
        <f t="shared" si="558"/>
        <v>29.5</v>
      </c>
      <c r="G795" s="7">
        <f t="shared" si="542"/>
        <v>11.4</v>
      </c>
      <c r="H795" s="16">
        <f t="shared" si="543"/>
        <v>12.200000000000001</v>
      </c>
      <c r="I795" s="11">
        <f t="shared" si="563"/>
        <v>0.46410676243477589</v>
      </c>
      <c r="J795" s="33">
        <f t="shared" si="564"/>
        <v>1.5732432624907658E-2</v>
      </c>
      <c r="K795" s="33">
        <f t="shared" si="565"/>
        <v>63.562960912783161</v>
      </c>
      <c r="L795" s="33">
        <f t="shared" si="566"/>
        <v>0.44837432980986824</v>
      </c>
      <c r="M795" s="33">
        <f t="shared" si="567"/>
        <v>0.47983919505968353</v>
      </c>
      <c r="N795" s="8">
        <v>0</v>
      </c>
      <c r="O795" s="9">
        <v>1</v>
      </c>
      <c r="P795" s="8">
        <v>0</v>
      </c>
      <c r="Q795" s="9">
        <v>1</v>
      </c>
      <c r="R795" s="9">
        <v>0</v>
      </c>
      <c r="S795" s="9">
        <v>0</v>
      </c>
      <c r="T795" s="9">
        <v>0</v>
      </c>
      <c r="U795" s="8">
        <v>3178</v>
      </c>
      <c r="V795" s="9">
        <v>7</v>
      </c>
      <c r="W795" s="9">
        <f t="shared" si="573"/>
        <v>3170</v>
      </c>
      <c r="X795" s="9">
        <f t="shared" si="559"/>
        <v>10</v>
      </c>
      <c r="Y795" s="7">
        <v>9.5139999999999993</v>
      </c>
      <c r="Z795" s="7">
        <v>16.657</v>
      </c>
      <c r="AA795" s="9">
        <v>1</v>
      </c>
      <c r="AB795" s="9">
        <v>0</v>
      </c>
      <c r="AC795" s="9">
        <v>0</v>
      </c>
      <c r="AD795" s="9">
        <v>0</v>
      </c>
      <c r="AE795" s="9">
        <v>0</v>
      </c>
      <c r="AF795" s="9">
        <v>1</v>
      </c>
      <c r="AG795" s="8">
        <v>0</v>
      </c>
      <c r="AH795" s="9">
        <v>0</v>
      </c>
      <c r="AI795" s="30">
        <v>1</v>
      </c>
      <c r="AJ795" s="9">
        <v>0</v>
      </c>
      <c r="AK795" s="30">
        <v>1</v>
      </c>
      <c r="AL795" s="21">
        <v>2000</v>
      </c>
      <c r="AM795" s="23">
        <f t="shared" si="561"/>
        <v>7.6009024595420822</v>
      </c>
      <c r="AN795" s="33">
        <v>5.1999999999999998E-2</v>
      </c>
      <c r="AO795" s="33">
        <v>0.29099999999999998</v>
      </c>
      <c r="AP795" s="33">
        <f t="shared" si="574"/>
        <v>0.40800000000000003</v>
      </c>
      <c r="AQ795" s="43">
        <v>0.249</v>
      </c>
      <c r="AR795" s="33" t="s">
        <v>106</v>
      </c>
      <c r="AS795" s="43" t="s">
        <v>106</v>
      </c>
      <c r="AT795" s="42">
        <v>1</v>
      </c>
      <c r="AU795" s="18">
        <v>0</v>
      </c>
      <c r="AV795">
        <v>0</v>
      </c>
      <c r="AW795" s="40">
        <v>1</v>
      </c>
      <c r="AX795" t="s">
        <v>106</v>
      </c>
      <c r="AY795" s="40" t="s">
        <v>106</v>
      </c>
      <c r="BA795" s="18"/>
      <c r="BB795">
        <f t="shared" si="575"/>
        <v>0.32599999999999996</v>
      </c>
      <c r="BC795" s="18">
        <v>0.67400000000000004</v>
      </c>
      <c r="BD795" s="18" t="s">
        <v>13</v>
      </c>
      <c r="BK795" s="18"/>
      <c r="BN795" s="18"/>
      <c r="BQ795" s="96">
        <f t="shared" si="576"/>
        <v>32.170999999999999</v>
      </c>
      <c r="BR795">
        <v>1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s="18">
        <v>0</v>
      </c>
      <c r="BZ795">
        <v>0</v>
      </c>
      <c r="CA795">
        <v>0</v>
      </c>
      <c r="CB795">
        <v>1</v>
      </c>
      <c r="CC795" s="18">
        <v>0</v>
      </c>
      <c r="CD795">
        <v>0</v>
      </c>
      <c r="CE795">
        <v>0</v>
      </c>
      <c r="CF795">
        <v>0</v>
      </c>
      <c r="CG795">
        <v>0</v>
      </c>
      <c r="CH795" s="18">
        <v>0</v>
      </c>
      <c r="CI795">
        <v>0</v>
      </c>
      <c r="CJ795">
        <v>0</v>
      </c>
      <c r="CK795">
        <v>1</v>
      </c>
      <c r="CL795">
        <v>1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1</v>
      </c>
      <c r="CS795" s="18">
        <v>0</v>
      </c>
      <c r="DD795" s="34" t="s">
        <v>86</v>
      </c>
    </row>
    <row r="796" spans="1:108" x14ac:dyDescent="0.25">
      <c r="A796">
        <v>795</v>
      </c>
      <c r="B796">
        <v>49</v>
      </c>
      <c r="C796" s="25" t="s">
        <v>511</v>
      </c>
      <c r="D796" s="12">
        <v>4.5</v>
      </c>
      <c r="E796" s="14">
        <v>0.5</v>
      </c>
      <c r="F796" s="7">
        <f t="shared" si="558"/>
        <v>9</v>
      </c>
      <c r="G796" s="7">
        <f t="shared" si="542"/>
        <v>4</v>
      </c>
      <c r="H796" s="16">
        <f t="shared" si="543"/>
        <v>5</v>
      </c>
      <c r="I796" s="11">
        <f t="shared" si="563"/>
        <v>0.12928579327743625</v>
      </c>
      <c r="J796" s="33">
        <f t="shared" si="564"/>
        <v>1.4365088141937361E-2</v>
      </c>
      <c r="K796" s="33">
        <f t="shared" si="565"/>
        <v>69.613217135828449</v>
      </c>
      <c r="L796" s="33">
        <f t="shared" si="566"/>
        <v>0.11492070513549889</v>
      </c>
      <c r="M796" s="33">
        <f t="shared" si="567"/>
        <v>0.1436508814193736</v>
      </c>
      <c r="N796" s="8">
        <v>0</v>
      </c>
      <c r="O796" s="9">
        <v>1</v>
      </c>
      <c r="P796" s="8">
        <v>0</v>
      </c>
      <c r="Q796" s="9">
        <v>1</v>
      </c>
      <c r="R796" s="9">
        <v>0</v>
      </c>
      <c r="S796" s="9">
        <v>0</v>
      </c>
      <c r="T796" s="9">
        <v>0</v>
      </c>
      <c r="U796" s="8">
        <v>4777</v>
      </c>
      <c r="V796" s="9">
        <v>11</v>
      </c>
      <c r="W796" s="9">
        <f t="shared" si="573"/>
        <v>4765</v>
      </c>
      <c r="X796" s="9">
        <f t="shared" si="559"/>
        <v>10</v>
      </c>
      <c r="Y796" s="7">
        <v>9.5139999999999993</v>
      </c>
      <c r="Z796" s="7">
        <v>16.657</v>
      </c>
      <c r="AA796" s="9">
        <v>1</v>
      </c>
      <c r="AB796" s="9">
        <v>0</v>
      </c>
      <c r="AC796" s="9">
        <v>0</v>
      </c>
      <c r="AD796" s="9">
        <v>0</v>
      </c>
      <c r="AE796" s="9">
        <v>0</v>
      </c>
      <c r="AF796" s="9">
        <v>1</v>
      </c>
      <c r="AG796" s="8">
        <v>0</v>
      </c>
      <c r="AH796" s="9">
        <v>0</v>
      </c>
      <c r="AI796" s="30">
        <v>1</v>
      </c>
      <c r="AJ796" s="9">
        <v>0</v>
      </c>
      <c r="AK796" s="30">
        <v>1</v>
      </c>
      <c r="AL796" s="21">
        <v>2000</v>
      </c>
      <c r="AM796" s="23">
        <f t="shared" si="561"/>
        <v>7.6009024595420822</v>
      </c>
      <c r="AN796" s="33">
        <v>5.1999999999999998E-2</v>
      </c>
      <c r="AO796" s="33">
        <v>0.29099999999999998</v>
      </c>
      <c r="AP796" s="33">
        <f t="shared" si="574"/>
        <v>0.40800000000000003</v>
      </c>
      <c r="AQ796" s="43">
        <v>0.249</v>
      </c>
      <c r="AR796" s="33" t="s">
        <v>106</v>
      </c>
      <c r="AS796" s="43" t="s">
        <v>106</v>
      </c>
      <c r="AT796" s="42">
        <v>1</v>
      </c>
      <c r="AU796" s="18">
        <v>0</v>
      </c>
      <c r="AV796">
        <v>0</v>
      </c>
      <c r="AW796" s="40">
        <v>1</v>
      </c>
      <c r="AX796" t="s">
        <v>106</v>
      </c>
      <c r="AY796" s="40" t="s">
        <v>106</v>
      </c>
      <c r="BA796" s="18"/>
      <c r="BB796">
        <f t="shared" si="575"/>
        <v>0.32599999999999996</v>
      </c>
      <c r="BC796" s="18">
        <v>0.67400000000000004</v>
      </c>
      <c r="BD796" s="18" t="s">
        <v>13</v>
      </c>
      <c r="BK796" s="18"/>
      <c r="BN796" s="18"/>
      <c r="BQ796" s="96">
        <f t="shared" si="576"/>
        <v>32.170999999999999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1</v>
      </c>
      <c r="BX796">
        <v>0</v>
      </c>
      <c r="BY796" s="18">
        <v>0</v>
      </c>
      <c r="BZ796">
        <v>0</v>
      </c>
      <c r="CA796">
        <v>0</v>
      </c>
      <c r="CB796">
        <v>1</v>
      </c>
      <c r="CC796" s="18">
        <v>0</v>
      </c>
      <c r="CD796">
        <v>0</v>
      </c>
      <c r="CE796">
        <v>0</v>
      </c>
      <c r="CF796">
        <v>0</v>
      </c>
      <c r="CG796">
        <v>0</v>
      </c>
      <c r="CH796" s="18">
        <v>0</v>
      </c>
      <c r="CI796">
        <v>0</v>
      </c>
      <c r="CJ796">
        <v>0</v>
      </c>
      <c r="CK796">
        <v>1</v>
      </c>
      <c r="CL796">
        <v>1</v>
      </c>
      <c r="CM796">
        <v>0</v>
      </c>
      <c r="CN796">
        <v>0</v>
      </c>
      <c r="CO796">
        <v>0</v>
      </c>
      <c r="CP796">
        <v>1</v>
      </c>
      <c r="CQ796">
        <v>0</v>
      </c>
      <c r="CR796">
        <v>1</v>
      </c>
      <c r="CS796" s="18">
        <v>1</v>
      </c>
      <c r="DD796" s="34" t="s">
        <v>86</v>
      </c>
    </row>
    <row r="797" spans="1:108" x14ac:dyDescent="0.25">
      <c r="A797">
        <v>796</v>
      </c>
      <c r="B797">
        <v>49</v>
      </c>
      <c r="C797" s="25" t="s">
        <v>511</v>
      </c>
      <c r="D797" s="12">
        <v>11</v>
      </c>
      <c r="E797" s="14">
        <v>0.5</v>
      </c>
      <c r="F797" s="7">
        <f t="shared" si="558"/>
        <v>22</v>
      </c>
      <c r="G797" s="7">
        <f t="shared" si="542"/>
        <v>10.5</v>
      </c>
      <c r="H797" s="16">
        <f t="shared" si="543"/>
        <v>11.5</v>
      </c>
      <c r="I797" s="11">
        <f t="shared" si="563"/>
        <v>0.30354213217309406</v>
      </c>
      <c r="J797" s="33">
        <f t="shared" si="564"/>
        <v>1.3797369644231547E-2</v>
      </c>
      <c r="K797" s="33">
        <f t="shared" si="565"/>
        <v>72.477582741148311</v>
      </c>
      <c r="L797" s="33">
        <f t="shared" si="566"/>
        <v>0.2897447625288625</v>
      </c>
      <c r="M797" s="33">
        <f t="shared" si="567"/>
        <v>0.31733950181732562</v>
      </c>
      <c r="N797" s="8">
        <v>0</v>
      </c>
      <c r="O797" s="9">
        <v>1</v>
      </c>
      <c r="P797" s="8">
        <v>0</v>
      </c>
      <c r="Q797" s="9">
        <v>1</v>
      </c>
      <c r="R797" s="9">
        <v>0</v>
      </c>
      <c r="S797" s="9">
        <v>0</v>
      </c>
      <c r="T797" s="9">
        <v>0</v>
      </c>
      <c r="U797" s="8">
        <v>4777</v>
      </c>
      <c r="V797" s="9">
        <v>7</v>
      </c>
      <c r="W797" s="9">
        <f t="shared" si="573"/>
        <v>4769</v>
      </c>
      <c r="X797" s="9">
        <f t="shared" si="559"/>
        <v>10</v>
      </c>
      <c r="Y797" s="7">
        <v>9.5139999999999993</v>
      </c>
      <c r="Z797" s="7">
        <v>16.657</v>
      </c>
      <c r="AA797" s="9">
        <v>1</v>
      </c>
      <c r="AB797" s="9">
        <v>0</v>
      </c>
      <c r="AC797" s="9">
        <v>0</v>
      </c>
      <c r="AD797" s="9">
        <v>0</v>
      </c>
      <c r="AE797" s="9">
        <v>0</v>
      </c>
      <c r="AF797" s="9">
        <v>1</v>
      </c>
      <c r="AG797" s="8">
        <v>0</v>
      </c>
      <c r="AH797" s="9">
        <v>0</v>
      </c>
      <c r="AI797" s="30">
        <v>1</v>
      </c>
      <c r="AJ797" s="9">
        <v>0</v>
      </c>
      <c r="AK797" s="30">
        <v>1</v>
      </c>
      <c r="AL797" s="21">
        <v>2000</v>
      </c>
      <c r="AM797" s="23">
        <f t="shared" si="561"/>
        <v>7.6009024595420822</v>
      </c>
      <c r="AN797" s="33">
        <v>5.1999999999999998E-2</v>
      </c>
      <c r="AO797" s="33">
        <v>0.29099999999999998</v>
      </c>
      <c r="AP797" s="33">
        <f t="shared" si="574"/>
        <v>0.40800000000000003</v>
      </c>
      <c r="AQ797" s="43">
        <v>0.249</v>
      </c>
      <c r="AR797" s="33" t="s">
        <v>106</v>
      </c>
      <c r="AS797" s="43" t="s">
        <v>106</v>
      </c>
      <c r="AT797" s="42">
        <v>1</v>
      </c>
      <c r="AU797" s="18">
        <v>0</v>
      </c>
      <c r="AV797">
        <v>0</v>
      </c>
      <c r="AW797" s="40">
        <v>1</v>
      </c>
      <c r="AX797" t="s">
        <v>106</v>
      </c>
      <c r="AY797" s="40" t="s">
        <v>106</v>
      </c>
      <c r="BA797" s="18"/>
      <c r="BB797">
        <f t="shared" si="575"/>
        <v>0.32599999999999996</v>
      </c>
      <c r="BC797" s="18">
        <v>0.67400000000000004</v>
      </c>
      <c r="BD797" s="18" t="s">
        <v>13</v>
      </c>
      <c r="BK797" s="18"/>
      <c r="BN797" s="18"/>
      <c r="BQ797" s="96">
        <f t="shared" si="576"/>
        <v>32.170999999999999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1</v>
      </c>
      <c r="BX797">
        <v>0</v>
      </c>
      <c r="BY797" s="18">
        <v>0</v>
      </c>
      <c r="BZ797">
        <v>0</v>
      </c>
      <c r="CA797">
        <v>0</v>
      </c>
      <c r="CB797">
        <v>1</v>
      </c>
      <c r="CC797" s="18">
        <v>0</v>
      </c>
      <c r="CD797">
        <v>0</v>
      </c>
      <c r="CE797">
        <v>0</v>
      </c>
      <c r="CF797">
        <v>0</v>
      </c>
      <c r="CG797">
        <v>0</v>
      </c>
      <c r="CH797" s="18">
        <v>0</v>
      </c>
      <c r="CI797">
        <v>0</v>
      </c>
      <c r="CJ797">
        <v>0</v>
      </c>
      <c r="CK797">
        <v>1</v>
      </c>
      <c r="CL797">
        <v>1</v>
      </c>
      <c r="CM797">
        <v>0</v>
      </c>
      <c r="CN797">
        <v>0</v>
      </c>
      <c r="CO797">
        <v>0</v>
      </c>
      <c r="CP797">
        <v>1</v>
      </c>
      <c r="CQ797">
        <v>0</v>
      </c>
      <c r="CR797">
        <v>1</v>
      </c>
      <c r="CS797" s="18">
        <v>1</v>
      </c>
      <c r="DD797" s="34" t="s">
        <v>86</v>
      </c>
    </row>
    <row r="798" spans="1:108" x14ac:dyDescent="0.25">
      <c r="A798">
        <v>797</v>
      </c>
      <c r="B798">
        <v>49</v>
      </c>
      <c r="C798" s="25" t="s">
        <v>511</v>
      </c>
      <c r="D798" s="12">
        <v>17.3</v>
      </c>
      <c r="E798" s="14">
        <v>0.8</v>
      </c>
      <c r="F798" s="7">
        <f t="shared" si="558"/>
        <v>21.625</v>
      </c>
      <c r="G798" s="7">
        <f t="shared" si="542"/>
        <v>16.5</v>
      </c>
      <c r="H798" s="16">
        <f t="shared" si="543"/>
        <v>18.100000000000001</v>
      </c>
      <c r="I798" s="11">
        <f t="shared" si="563"/>
        <v>0.29280132979162882</v>
      </c>
      <c r="J798" s="33">
        <f t="shared" si="564"/>
        <v>1.3539945886318095E-2</v>
      </c>
      <c r="K798" s="33">
        <f t="shared" si="565"/>
        <v>73.855538891812301</v>
      </c>
      <c r="L798" s="33">
        <f t="shared" si="566"/>
        <v>0.27926138390531074</v>
      </c>
      <c r="M798" s="33">
        <f t="shared" si="567"/>
        <v>0.30634127567794689</v>
      </c>
      <c r="N798" s="8">
        <v>0</v>
      </c>
      <c r="O798" s="9">
        <v>1</v>
      </c>
      <c r="P798" s="8">
        <v>0</v>
      </c>
      <c r="Q798" s="9">
        <v>1</v>
      </c>
      <c r="R798" s="9">
        <v>0</v>
      </c>
      <c r="S798" s="9">
        <v>0</v>
      </c>
      <c r="T798" s="9">
        <v>0</v>
      </c>
      <c r="U798" s="8">
        <v>4994</v>
      </c>
      <c r="V798" s="9">
        <v>6</v>
      </c>
      <c r="W798" s="9">
        <f t="shared" si="573"/>
        <v>4987</v>
      </c>
      <c r="X798" s="9">
        <f t="shared" si="559"/>
        <v>10</v>
      </c>
      <c r="Y798" s="7">
        <v>9.6470000000000002</v>
      </c>
      <c r="Z798" s="7">
        <v>17.068999999999999</v>
      </c>
      <c r="AA798" s="9">
        <v>1</v>
      </c>
      <c r="AB798" s="9">
        <v>0</v>
      </c>
      <c r="AC798" s="9">
        <v>0</v>
      </c>
      <c r="AD798" s="9">
        <v>0</v>
      </c>
      <c r="AE798" s="9">
        <v>0</v>
      </c>
      <c r="AF798" s="9">
        <v>1</v>
      </c>
      <c r="AG798" s="8">
        <v>0</v>
      </c>
      <c r="AH798" s="9">
        <v>0</v>
      </c>
      <c r="AI798" s="30">
        <v>1</v>
      </c>
      <c r="AJ798" s="9">
        <v>0</v>
      </c>
      <c r="AK798" s="30">
        <v>1</v>
      </c>
      <c r="AL798" s="21">
        <v>2000</v>
      </c>
      <c r="AM798" s="23">
        <f t="shared" si="561"/>
        <v>7.6009024595420822</v>
      </c>
      <c r="AN798" s="33">
        <v>2.9000000000000001E-2</v>
      </c>
      <c r="AO798" s="33">
        <v>0.28000000000000003</v>
      </c>
      <c r="AP798" s="33">
        <f t="shared" si="574"/>
        <v>0.498</v>
      </c>
      <c r="AQ798" s="43">
        <v>0.193</v>
      </c>
      <c r="AR798" s="33" t="s">
        <v>106</v>
      </c>
      <c r="AS798" s="43" t="s">
        <v>106</v>
      </c>
      <c r="AT798" s="42">
        <v>1</v>
      </c>
      <c r="AU798" s="18">
        <v>0</v>
      </c>
      <c r="AV798">
        <v>0.65210000000000001</v>
      </c>
      <c r="AW798" s="40">
        <f>1-AV798</f>
        <v>0.34789999999999999</v>
      </c>
      <c r="AX798" t="s">
        <v>106</v>
      </c>
      <c r="AY798" s="40" t="s">
        <v>106</v>
      </c>
      <c r="BA798" s="18"/>
      <c r="BB798">
        <f t="shared" si="575"/>
        <v>0.34599999999999997</v>
      </c>
      <c r="BC798" s="18">
        <v>0.65400000000000003</v>
      </c>
      <c r="BD798" s="18" t="s">
        <v>13</v>
      </c>
      <c r="BK798" s="18"/>
      <c r="BN798" s="18"/>
      <c r="BQ798" s="96">
        <f t="shared" si="576"/>
        <v>32.716000000000001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s="18">
        <v>1</v>
      </c>
      <c r="BZ798">
        <v>0</v>
      </c>
      <c r="CA798">
        <v>1</v>
      </c>
      <c r="CB798">
        <v>0</v>
      </c>
      <c r="CC798" s="18">
        <v>0</v>
      </c>
      <c r="CD798">
        <v>1</v>
      </c>
      <c r="CE798">
        <v>0</v>
      </c>
      <c r="CF798">
        <v>0</v>
      </c>
      <c r="CG798">
        <v>0</v>
      </c>
      <c r="CH798" s="18">
        <v>0</v>
      </c>
      <c r="CI798">
        <v>0</v>
      </c>
      <c r="CJ798">
        <v>0</v>
      </c>
      <c r="CK798">
        <v>1</v>
      </c>
      <c r="CL798">
        <v>1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1</v>
      </c>
      <c r="CS798" s="18">
        <v>0</v>
      </c>
      <c r="DD798" s="34" t="s">
        <v>86</v>
      </c>
    </row>
    <row r="799" spans="1:108" x14ac:dyDescent="0.25">
      <c r="A799">
        <v>798</v>
      </c>
      <c r="B799">
        <v>49</v>
      </c>
      <c r="C799" s="25" t="s">
        <v>511</v>
      </c>
      <c r="D799" s="12">
        <v>16.3</v>
      </c>
      <c r="E799" s="14">
        <v>1</v>
      </c>
      <c r="F799" s="7">
        <f t="shared" si="558"/>
        <v>16.3</v>
      </c>
      <c r="G799" s="7">
        <f t="shared" si="542"/>
        <v>15.3</v>
      </c>
      <c r="H799" s="16">
        <f t="shared" si="543"/>
        <v>17.3</v>
      </c>
      <c r="I799" s="11">
        <f t="shared" si="563"/>
        <v>0.27490479659359807</v>
      </c>
      <c r="J799" s="33">
        <f t="shared" si="564"/>
        <v>1.6865324944392517E-2</v>
      </c>
      <c r="K799" s="33">
        <f t="shared" si="565"/>
        <v>59.293254253751329</v>
      </c>
      <c r="L799" s="33">
        <f t="shared" si="566"/>
        <v>0.25803947164920554</v>
      </c>
      <c r="M799" s="33">
        <f t="shared" si="567"/>
        <v>0.29177012153799059</v>
      </c>
      <c r="N799" s="8">
        <v>0</v>
      </c>
      <c r="O799" s="9">
        <v>1</v>
      </c>
      <c r="P799" s="8">
        <v>0</v>
      </c>
      <c r="Q799" s="9">
        <v>1</v>
      </c>
      <c r="R799" s="9">
        <v>0</v>
      </c>
      <c r="S799" s="9">
        <v>0</v>
      </c>
      <c r="T799" s="9">
        <v>0</v>
      </c>
      <c r="U799" s="8">
        <v>3257</v>
      </c>
      <c r="V799" s="9">
        <v>6</v>
      </c>
      <c r="W799" s="9">
        <f t="shared" si="573"/>
        <v>3250</v>
      </c>
      <c r="X799" s="9">
        <f t="shared" si="559"/>
        <v>10</v>
      </c>
      <c r="Y799" s="7">
        <v>9.7219999999999995</v>
      </c>
      <c r="Z799" s="7">
        <v>17.300999999999998</v>
      </c>
      <c r="AA799" s="9">
        <v>1</v>
      </c>
      <c r="AB799" s="9">
        <v>0</v>
      </c>
      <c r="AC799" s="9">
        <v>0</v>
      </c>
      <c r="AD799" s="9">
        <v>0</v>
      </c>
      <c r="AE799" s="9">
        <v>0</v>
      </c>
      <c r="AF799" s="9">
        <v>1</v>
      </c>
      <c r="AG799" s="8">
        <v>0</v>
      </c>
      <c r="AH799" s="9">
        <v>0</v>
      </c>
      <c r="AI799" s="30">
        <v>1</v>
      </c>
      <c r="AJ799" s="9">
        <v>0</v>
      </c>
      <c r="AK799" s="30">
        <v>1</v>
      </c>
      <c r="AL799" s="21">
        <v>2000</v>
      </c>
      <c r="AM799" s="23">
        <f t="shared" si="561"/>
        <v>7.6009024595420822</v>
      </c>
      <c r="AN799" s="33">
        <v>1.4999999999999999E-2</v>
      </c>
      <c r="AO799" s="33">
        <v>0.27400000000000002</v>
      </c>
      <c r="AP799" s="33">
        <f t="shared" si="574"/>
        <v>0.54899999999999993</v>
      </c>
      <c r="AQ799" s="43">
        <v>0.16200000000000001</v>
      </c>
      <c r="AR799" s="33" t="s">
        <v>106</v>
      </c>
      <c r="AS799" s="43" t="s">
        <v>106</v>
      </c>
      <c r="AT799" s="42">
        <v>1</v>
      </c>
      <c r="AU799" s="18">
        <v>0</v>
      </c>
      <c r="AV799">
        <v>1</v>
      </c>
      <c r="AW799" s="40">
        <v>0</v>
      </c>
      <c r="AX799" t="s">
        <v>106</v>
      </c>
      <c r="AY799" s="40" t="s">
        <v>106</v>
      </c>
      <c r="BA799" s="18"/>
      <c r="BB799">
        <f t="shared" si="575"/>
        <v>0.35699999999999998</v>
      </c>
      <c r="BC799" s="18">
        <v>0.64300000000000002</v>
      </c>
      <c r="BD799" s="18" t="s">
        <v>13</v>
      </c>
      <c r="BK799" s="18"/>
      <c r="BN799" s="18"/>
      <c r="BQ799" s="96">
        <f t="shared" si="576"/>
        <v>33.022999999999996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s="18">
        <v>1</v>
      </c>
      <c r="BZ799">
        <v>0</v>
      </c>
      <c r="CA799">
        <v>1</v>
      </c>
      <c r="CB799">
        <v>0</v>
      </c>
      <c r="CC799" s="18">
        <v>0</v>
      </c>
      <c r="CD799">
        <v>1</v>
      </c>
      <c r="CE799">
        <v>0</v>
      </c>
      <c r="CF799">
        <v>0</v>
      </c>
      <c r="CG799">
        <v>0</v>
      </c>
      <c r="CH799" s="18">
        <v>0</v>
      </c>
      <c r="CI799">
        <v>0</v>
      </c>
      <c r="CJ799">
        <v>0</v>
      </c>
      <c r="CK799">
        <v>1</v>
      </c>
      <c r="CL799">
        <v>1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1</v>
      </c>
      <c r="CS799" s="18">
        <v>0</v>
      </c>
      <c r="DD799" s="34" t="s">
        <v>86</v>
      </c>
    </row>
    <row r="800" spans="1:108" x14ac:dyDescent="0.25">
      <c r="A800">
        <v>799</v>
      </c>
      <c r="B800">
        <v>49</v>
      </c>
      <c r="C800" s="25" t="s">
        <v>511</v>
      </c>
      <c r="D800" s="12">
        <v>18.7</v>
      </c>
      <c r="E800" s="14">
        <v>1.2</v>
      </c>
      <c r="F800" s="7">
        <f t="shared" si="558"/>
        <v>15.583333333333334</v>
      </c>
      <c r="G800" s="7">
        <f t="shared" si="542"/>
        <v>17.5</v>
      </c>
      <c r="H800" s="16">
        <f t="shared" si="543"/>
        <v>19.899999999999999</v>
      </c>
      <c r="I800" s="11">
        <f t="shared" si="563"/>
        <v>0.35084427767354598</v>
      </c>
      <c r="J800" s="33">
        <f t="shared" si="564"/>
        <v>2.2514071294559099E-2</v>
      </c>
      <c r="K800" s="33">
        <f t="shared" si="565"/>
        <v>44.416666666666664</v>
      </c>
      <c r="L800" s="33">
        <f t="shared" si="566"/>
        <v>0.32833020637898686</v>
      </c>
      <c r="M800" s="33">
        <f t="shared" si="567"/>
        <v>0.3733583489681051</v>
      </c>
      <c r="N800" s="8">
        <v>0</v>
      </c>
      <c r="O800" s="9">
        <v>1</v>
      </c>
      <c r="P800" s="8">
        <v>0</v>
      </c>
      <c r="Q800" s="9">
        <v>1</v>
      </c>
      <c r="R800" s="9">
        <v>0</v>
      </c>
      <c r="S800" s="9">
        <v>0</v>
      </c>
      <c r="T800" s="9">
        <v>0</v>
      </c>
      <c r="U800" s="8">
        <v>1737</v>
      </c>
      <c r="V800" s="9">
        <v>6</v>
      </c>
      <c r="W800" s="9">
        <f t="shared" si="573"/>
        <v>1730</v>
      </c>
      <c r="X800" s="9">
        <f t="shared" si="559"/>
        <v>10</v>
      </c>
      <c r="Y800" s="7">
        <v>9.5139999999999993</v>
      </c>
      <c r="Z800" s="7">
        <v>16.657</v>
      </c>
      <c r="AA800" s="9">
        <v>1</v>
      </c>
      <c r="AB800" s="9">
        <v>0</v>
      </c>
      <c r="AC800" s="9">
        <v>0</v>
      </c>
      <c r="AD800" s="9">
        <v>0</v>
      </c>
      <c r="AE800" s="9">
        <v>0</v>
      </c>
      <c r="AF800" s="9">
        <v>1</v>
      </c>
      <c r="AG800" s="8">
        <v>0</v>
      </c>
      <c r="AH800" s="9">
        <v>0</v>
      </c>
      <c r="AI800" s="30">
        <v>1</v>
      </c>
      <c r="AJ800" s="9">
        <v>0</v>
      </c>
      <c r="AK800" s="30">
        <v>1</v>
      </c>
      <c r="AL800" s="21">
        <v>2000</v>
      </c>
      <c r="AM800" s="23">
        <f t="shared" si="561"/>
        <v>7.6009024595420822</v>
      </c>
      <c r="AN800" s="33">
        <v>5.1999999999999998E-2</v>
      </c>
      <c r="AO800" s="33">
        <v>0.29099999999999998</v>
      </c>
      <c r="AP800" s="33">
        <f t="shared" si="574"/>
        <v>0.40800000000000003</v>
      </c>
      <c r="AQ800" s="43">
        <v>0.249</v>
      </c>
      <c r="AR800" s="33" t="s">
        <v>106</v>
      </c>
      <c r="AS800" s="43" t="s">
        <v>106</v>
      </c>
      <c r="AT800" s="42">
        <v>1</v>
      </c>
      <c r="AU800" s="18">
        <v>0</v>
      </c>
      <c r="AV800">
        <v>0</v>
      </c>
      <c r="AW800" s="40">
        <v>1</v>
      </c>
      <c r="AX800" t="s">
        <v>106</v>
      </c>
      <c r="AY800" s="40" t="s">
        <v>106</v>
      </c>
      <c r="BA800" s="18"/>
      <c r="BB800">
        <f t="shared" si="575"/>
        <v>0.32599999999999996</v>
      </c>
      <c r="BC800" s="18">
        <v>0.67400000000000004</v>
      </c>
      <c r="BD800" s="18" t="s">
        <v>13</v>
      </c>
      <c r="BK800" s="18"/>
      <c r="BN800" s="18"/>
      <c r="BQ800" s="96">
        <f t="shared" si="576"/>
        <v>32.170999999999999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s="18">
        <v>1</v>
      </c>
      <c r="BZ800">
        <v>0</v>
      </c>
      <c r="CA800">
        <v>1</v>
      </c>
      <c r="CB800">
        <v>0</v>
      </c>
      <c r="CC800" s="18">
        <v>0</v>
      </c>
      <c r="CD800">
        <v>1</v>
      </c>
      <c r="CE800">
        <v>0</v>
      </c>
      <c r="CF800">
        <v>0</v>
      </c>
      <c r="CG800">
        <v>0</v>
      </c>
      <c r="CH800" s="18">
        <v>0</v>
      </c>
      <c r="CI800">
        <v>0</v>
      </c>
      <c r="CJ800">
        <v>0</v>
      </c>
      <c r="CK800">
        <v>1</v>
      </c>
      <c r="CL800">
        <v>1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1</v>
      </c>
      <c r="CS800" s="18">
        <v>0</v>
      </c>
      <c r="DD800" s="34" t="s">
        <v>86</v>
      </c>
    </row>
    <row r="801" spans="1:108" x14ac:dyDescent="0.25">
      <c r="A801">
        <v>800</v>
      </c>
      <c r="B801">
        <v>49</v>
      </c>
      <c r="C801" s="25" t="s">
        <v>511</v>
      </c>
      <c r="D801" s="12">
        <v>10.8</v>
      </c>
      <c r="E801" s="14">
        <v>1.1000000000000001</v>
      </c>
      <c r="F801" s="7">
        <f t="shared" si="558"/>
        <v>9.8181818181818183</v>
      </c>
      <c r="G801" s="7">
        <f t="shared" si="542"/>
        <v>9.7000000000000011</v>
      </c>
      <c r="H801" s="16">
        <f t="shared" si="543"/>
        <v>11.9</v>
      </c>
      <c r="I801" s="11">
        <f t="shared" si="563"/>
        <v>0.36180549224905884</v>
      </c>
      <c r="J801" s="33">
        <f t="shared" si="564"/>
        <v>3.6850559395737476E-2</v>
      </c>
      <c r="K801" s="33">
        <f t="shared" si="565"/>
        <v>27.136630118990013</v>
      </c>
      <c r="L801" s="33">
        <f t="shared" si="566"/>
        <v>0.32495493285332133</v>
      </c>
      <c r="M801" s="33">
        <f t="shared" si="567"/>
        <v>0.39865605164479634</v>
      </c>
      <c r="N801" s="8">
        <v>0</v>
      </c>
      <c r="O801" s="9">
        <v>1</v>
      </c>
      <c r="P801" s="8">
        <v>0</v>
      </c>
      <c r="Q801" s="9">
        <v>1</v>
      </c>
      <c r="R801" s="9">
        <v>0</v>
      </c>
      <c r="S801" s="9">
        <v>0</v>
      </c>
      <c r="T801" s="9">
        <v>0</v>
      </c>
      <c r="U801" s="8">
        <v>648</v>
      </c>
      <c r="V801" s="9">
        <v>7</v>
      </c>
      <c r="W801" s="9">
        <f t="shared" si="573"/>
        <v>640</v>
      </c>
      <c r="X801" s="9">
        <f t="shared" si="559"/>
        <v>10</v>
      </c>
      <c r="Y801" s="7">
        <v>9.6470000000000002</v>
      </c>
      <c r="Z801" s="7">
        <v>17.068999999999999</v>
      </c>
      <c r="AA801" s="9">
        <v>1</v>
      </c>
      <c r="AB801" s="9">
        <v>0</v>
      </c>
      <c r="AC801" s="9">
        <v>0</v>
      </c>
      <c r="AD801" s="9">
        <v>0</v>
      </c>
      <c r="AE801" s="9">
        <v>0</v>
      </c>
      <c r="AF801" s="9">
        <v>1</v>
      </c>
      <c r="AG801" s="8">
        <v>0</v>
      </c>
      <c r="AH801" s="9">
        <v>0</v>
      </c>
      <c r="AI801" s="30">
        <v>1</v>
      </c>
      <c r="AJ801" s="9">
        <v>0</v>
      </c>
      <c r="AK801" s="30">
        <v>1</v>
      </c>
      <c r="AL801" s="21">
        <v>2000</v>
      </c>
      <c r="AM801" s="23">
        <f t="shared" si="561"/>
        <v>7.6009024595420822</v>
      </c>
      <c r="AN801" s="33">
        <v>2.9000000000000001E-2</v>
      </c>
      <c r="AO801" s="33">
        <v>0.28000000000000003</v>
      </c>
      <c r="AP801" s="33">
        <f t="shared" si="574"/>
        <v>0.498</v>
      </c>
      <c r="AQ801" s="43">
        <v>0.193</v>
      </c>
      <c r="AR801" s="33" t="s">
        <v>106</v>
      </c>
      <c r="AS801" s="43" t="s">
        <v>106</v>
      </c>
      <c r="AT801" s="42">
        <v>1</v>
      </c>
      <c r="AU801" s="18">
        <v>0</v>
      </c>
      <c r="AV801">
        <v>0.6391</v>
      </c>
      <c r="AW801" s="40">
        <f>1-AV801</f>
        <v>0.3609</v>
      </c>
      <c r="AX801" t="s">
        <v>106</v>
      </c>
      <c r="AY801" s="40" t="s">
        <v>106</v>
      </c>
      <c r="BA801" s="18"/>
      <c r="BB801">
        <f t="shared" si="575"/>
        <v>0.34599999999999997</v>
      </c>
      <c r="BC801" s="18">
        <v>0.65400000000000003</v>
      </c>
      <c r="BD801" s="18" t="s">
        <v>13</v>
      </c>
      <c r="BK801" s="18"/>
      <c r="BN801" s="18"/>
      <c r="BQ801" s="96">
        <f t="shared" si="576"/>
        <v>32.716000000000001</v>
      </c>
      <c r="BR801">
        <v>1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s="18">
        <v>0</v>
      </c>
      <c r="BZ801">
        <v>0</v>
      </c>
      <c r="CA801">
        <v>0</v>
      </c>
      <c r="CB801">
        <v>1</v>
      </c>
      <c r="CC801" s="18">
        <v>0</v>
      </c>
      <c r="CD801">
        <v>0</v>
      </c>
      <c r="CE801">
        <v>0</v>
      </c>
      <c r="CF801">
        <v>0</v>
      </c>
      <c r="CG801">
        <v>0</v>
      </c>
      <c r="CH801" s="18">
        <v>0</v>
      </c>
      <c r="CI801">
        <v>0</v>
      </c>
      <c r="CJ801">
        <v>0</v>
      </c>
      <c r="CK801">
        <v>1</v>
      </c>
      <c r="CL801">
        <v>1</v>
      </c>
      <c r="CM801">
        <v>0</v>
      </c>
      <c r="CN801">
        <v>0</v>
      </c>
      <c r="CO801">
        <v>1</v>
      </c>
      <c r="CP801">
        <v>0</v>
      </c>
      <c r="CQ801">
        <v>0</v>
      </c>
      <c r="CR801">
        <v>1</v>
      </c>
      <c r="CS801" s="18">
        <v>0</v>
      </c>
      <c r="DD801" s="34" t="s">
        <v>86</v>
      </c>
    </row>
    <row r="802" spans="1:108" s="153" customFormat="1" x14ac:dyDescent="0.25">
      <c r="A802" s="153">
        <v>801</v>
      </c>
      <c r="B802" s="153">
        <v>49</v>
      </c>
      <c r="C802" s="154" t="s">
        <v>511</v>
      </c>
      <c r="D802" s="155">
        <v>5</v>
      </c>
      <c r="E802" s="156">
        <v>2.4</v>
      </c>
      <c r="F802" s="157">
        <f t="shared" si="558"/>
        <v>2.0833333333333335</v>
      </c>
      <c r="G802" s="157">
        <f t="shared" si="542"/>
        <v>2.6</v>
      </c>
      <c r="H802" s="158">
        <f t="shared" si="543"/>
        <v>7.4</v>
      </c>
      <c r="I802" s="159">
        <f t="shared" si="563"/>
        <v>8.1946074150553536E-2</v>
      </c>
      <c r="J802" s="160">
        <f t="shared" si="564"/>
        <v>3.9334115592265698E-2</v>
      </c>
      <c r="K802" s="160">
        <f t="shared" si="565"/>
        <v>25.423223198048234</v>
      </c>
      <c r="L802" s="160">
        <f t="shared" si="566"/>
        <v>4.2611958558287838E-2</v>
      </c>
      <c r="M802" s="160">
        <f t="shared" si="567"/>
        <v>0.12128018974281923</v>
      </c>
      <c r="N802" s="161">
        <v>0</v>
      </c>
      <c r="O802" s="162">
        <v>1</v>
      </c>
      <c r="P802" s="161">
        <v>0</v>
      </c>
      <c r="Q802" s="162">
        <v>1</v>
      </c>
      <c r="R802" s="162">
        <v>0</v>
      </c>
      <c r="S802" s="162">
        <v>0</v>
      </c>
      <c r="T802" s="162">
        <v>0</v>
      </c>
      <c r="U802" s="161">
        <v>648</v>
      </c>
      <c r="V802" s="162">
        <v>5</v>
      </c>
      <c r="W802" s="162">
        <f t="shared" si="573"/>
        <v>642</v>
      </c>
      <c r="X802" s="162">
        <f t="shared" si="559"/>
        <v>10</v>
      </c>
      <c r="Y802" s="157">
        <v>9.6470000000000002</v>
      </c>
      <c r="Z802" s="157">
        <v>17.068999999999999</v>
      </c>
      <c r="AA802" s="162">
        <v>1</v>
      </c>
      <c r="AB802" s="162">
        <v>0</v>
      </c>
      <c r="AC802" s="162">
        <v>0</v>
      </c>
      <c r="AD802" s="162">
        <v>0</v>
      </c>
      <c r="AE802" s="162">
        <v>0</v>
      </c>
      <c r="AF802" s="162">
        <v>1</v>
      </c>
      <c r="AG802" s="161">
        <v>0</v>
      </c>
      <c r="AH802" s="162">
        <v>0</v>
      </c>
      <c r="AI802" s="163">
        <v>1</v>
      </c>
      <c r="AJ802" s="162">
        <v>0</v>
      </c>
      <c r="AK802" s="163">
        <v>1</v>
      </c>
      <c r="AL802" s="164">
        <v>2000</v>
      </c>
      <c r="AM802" s="165">
        <f t="shared" si="561"/>
        <v>7.6009024595420822</v>
      </c>
      <c r="AN802" s="160">
        <v>2.9000000000000001E-2</v>
      </c>
      <c r="AO802" s="160">
        <v>0.28000000000000003</v>
      </c>
      <c r="AP802" s="160">
        <f t="shared" si="574"/>
        <v>0.498</v>
      </c>
      <c r="AQ802" s="166">
        <v>0.193</v>
      </c>
      <c r="AR802" s="160" t="s">
        <v>106</v>
      </c>
      <c r="AS802" s="166" t="s">
        <v>106</v>
      </c>
      <c r="AT802" s="167">
        <v>1</v>
      </c>
      <c r="AU802" s="168">
        <v>0</v>
      </c>
      <c r="AV802" s="153">
        <v>0.6391</v>
      </c>
      <c r="AW802" s="169">
        <f>1-AV802</f>
        <v>0.3609</v>
      </c>
      <c r="AX802" s="153" t="s">
        <v>106</v>
      </c>
      <c r="AY802" s="169" t="s">
        <v>106</v>
      </c>
      <c r="BA802" s="168"/>
      <c r="BB802" s="153">
        <f t="shared" si="575"/>
        <v>0.34599999999999997</v>
      </c>
      <c r="BC802" s="168">
        <v>0.65400000000000003</v>
      </c>
      <c r="BD802" s="168" t="s">
        <v>13</v>
      </c>
      <c r="BK802" s="168"/>
      <c r="BN802" s="168"/>
      <c r="BQ802" s="170">
        <f t="shared" si="576"/>
        <v>32.716000000000001</v>
      </c>
      <c r="BR802" s="153">
        <v>0</v>
      </c>
      <c r="BS802" s="153">
        <v>0</v>
      </c>
      <c r="BT802" s="153">
        <v>0</v>
      </c>
      <c r="BU802" s="153">
        <v>1</v>
      </c>
      <c r="BV802" s="153">
        <v>0</v>
      </c>
      <c r="BW802" s="153">
        <v>0</v>
      </c>
      <c r="BX802" s="153">
        <v>0</v>
      </c>
      <c r="BY802" s="168">
        <v>0</v>
      </c>
      <c r="BZ802" s="153">
        <v>0</v>
      </c>
      <c r="CA802" s="153">
        <v>0</v>
      </c>
      <c r="CB802" s="153">
        <v>1</v>
      </c>
      <c r="CC802" s="168">
        <v>0</v>
      </c>
      <c r="CD802" s="153">
        <v>0</v>
      </c>
      <c r="CE802" s="153">
        <v>0</v>
      </c>
      <c r="CF802" s="153">
        <v>0</v>
      </c>
      <c r="CG802" s="153">
        <v>0</v>
      </c>
      <c r="CH802" s="168">
        <v>0</v>
      </c>
      <c r="CI802" s="153">
        <v>0</v>
      </c>
      <c r="CJ802" s="153">
        <v>0</v>
      </c>
      <c r="CK802" s="153">
        <v>1</v>
      </c>
      <c r="CL802" s="153">
        <v>1</v>
      </c>
      <c r="CM802" s="153">
        <v>0</v>
      </c>
      <c r="CN802" s="153">
        <v>0</v>
      </c>
      <c r="CO802" s="153">
        <v>1</v>
      </c>
      <c r="CP802" s="153">
        <v>0</v>
      </c>
      <c r="CQ802" s="153">
        <v>0</v>
      </c>
      <c r="CR802" s="153">
        <v>1</v>
      </c>
      <c r="CS802" s="168">
        <v>0</v>
      </c>
      <c r="CY802" s="171"/>
      <c r="DD802" s="171" t="s">
        <v>86</v>
      </c>
    </row>
    <row r="803" spans="1:108" x14ac:dyDescent="0.25">
      <c r="A803">
        <v>802</v>
      </c>
      <c r="B803">
        <v>50</v>
      </c>
      <c r="C803" s="25" t="s">
        <v>512</v>
      </c>
      <c r="D803" s="12">
        <v>1.5</v>
      </c>
      <c r="E803" s="14">
        <v>0.2</v>
      </c>
      <c r="F803" s="7">
        <f t="shared" si="558"/>
        <v>7.5</v>
      </c>
      <c r="G803" s="7">
        <f t="shared" si="542"/>
        <v>1.3</v>
      </c>
      <c r="H803" s="16">
        <f t="shared" si="543"/>
        <v>1.7</v>
      </c>
      <c r="I803" s="11">
        <f t="shared" si="563"/>
        <v>3.4257559150632909E-2</v>
      </c>
      <c r="J803" s="33">
        <f t="shared" si="564"/>
        <v>4.5676745534177212E-3</v>
      </c>
      <c r="K803" s="33">
        <f t="shared" si="565"/>
        <v>218.9297832639497</v>
      </c>
      <c r="L803" s="33">
        <f t="shared" si="566"/>
        <v>2.9689884597215187E-2</v>
      </c>
      <c r="M803" s="33">
        <f t="shared" si="567"/>
        <v>3.8825233704050631E-2</v>
      </c>
      <c r="N803" s="8">
        <v>0</v>
      </c>
      <c r="O803" s="9">
        <v>1</v>
      </c>
      <c r="P803" s="8">
        <v>0</v>
      </c>
      <c r="Q803" s="9">
        <v>0</v>
      </c>
      <c r="R803" s="9">
        <v>0</v>
      </c>
      <c r="S803" s="9">
        <v>1</v>
      </c>
      <c r="T803" s="9">
        <v>0</v>
      </c>
      <c r="U803" s="8">
        <v>47881</v>
      </c>
      <c r="V803" s="9">
        <v>6</v>
      </c>
      <c r="W803" s="9">
        <f t="shared" si="573"/>
        <v>47874</v>
      </c>
      <c r="X803" s="9">
        <f t="shared" si="559"/>
        <v>4</v>
      </c>
      <c r="Y803" s="7">
        <f>(6*AO803+11*AP803)</f>
        <v>9.8500000000000014</v>
      </c>
      <c r="Z803" s="7">
        <f>BQ803-Y803-6</f>
        <v>1.1499999999999986</v>
      </c>
      <c r="AA803" s="9">
        <v>1</v>
      </c>
      <c r="AB803" s="9">
        <v>0</v>
      </c>
      <c r="AC803" s="9">
        <v>0</v>
      </c>
      <c r="AD803" s="9">
        <v>1</v>
      </c>
      <c r="AE803" s="9">
        <v>0</v>
      </c>
      <c r="AF803" s="9">
        <v>0</v>
      </c>
      <c r="AG803" s="8">
        <v>0</v>
      </c>
      <c r="AH803" s="9">
        <v>0</v>
      </c>
      <c r="AI803" s="30">
        <v>1</v>
      </c>
      <c r="AJ803" s="9">
        <v>1</v>
      </c>
      <c r="AK803" s="30">
        <v>0</v>
      </c>
      <c r="AL803" s="21">
        <v>1987</v>
      </c>
      <c r="AM803" s="23">
        <f t="shared" si="561"/>
        <v>7.5943812425518171</v>
      </c>
      <c r="AN803" s="33">
        <v>0</v>
      </c>
      <c r="AO803" s="33">
        <v>0.23</v>
      </c>
      <c r="AP803" s="33">
        <v>0.77</v>
      </c>
      <c r="AQ803" s="43">
        <v>0</v>
      </c>
      <c r="AR803" s="33" t="s">
        <v>106</v>
      </c>
      <c r="AS803" s="43" t="s">
        <v>106</v>
      </c>
      <c r="AT803" s="42">
        <v>1</v>
      </c>
      <c r="AU803" s="18">
        <v>0</v>
      </c>
      <c r="AV803" s="33">
        <v>1</v>
      </c>
      <c r="AW803" s="40">
        <v>0</v>
      </c>
      <c r="AX803">
        <v>1</v>
      </c>
      <c r="AY803" s="40">
        <v>0</v>
      </c>
      <c r="BA803" s="18"/>
      <c r="BB803">
        <f>1-BC803</f>
        <v>0.86519999999999997</v>
      </c>
      <c r="BC803" s="18">
        <v>0.1348</v>
      </c>
      <c r="BD803" s="18" t="s">
        <v>513</v>
      </c>
      <c r="BK803" s="18"/>
      <c r="BN803" s="18"/>
      <c r="BQ803" s="25">
        <v>17</v>
      </c>
      <c r="BR803">
        <v>1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 s="18">
        <v>0</v>
      </c>
      <c r="BZ803">
        <v>0</v>
      </c>
      <c r="CA803">
        <v>1</v>
      </c>
      <c r="CB803">
        <v>0</v>
      </c>
      <c r="CC803" s="18">
        <v>0</v>
      </c>
      <c r="CD803">
        <v>0</v>
      </c>
      <c r="CE803">
        <v>0</v>
      </c>
      <c r="CF803">
        <v>0</v>
      </c>
      <c r="CG803">
        <v>0</v>
      </c>
      <c r="CH803" s="18">
        <v>1</v>
      </c>
      <c r="CI803">
        <v>1</v>
      </c>
      <c r="CJ803">
        <v>1</v>
      </c>
      <c r="CK803">
        <v>1</v>
      </c>
      <c r="CL803">
        <v>1</v>
      </c>
      <c r="CM803">
        <v>1</v>
      </c>
      <c r="CN803">
        <v>0</v>
      </c>
      <c r="CO803">
        <v>0</v>
      </c>
      <c r="CP803">
        <v>0</v>
      </c>
      <c r="CQ803">
        <v>0</v>
      </c>
      <c r="CR803">
        <v>0</v>
      </c>
      <c r="CS803" s="18">
        <v>1</v>
      </c>
      <c r="DD803" s="34" t="s">
        <v>86</v>
      </c>
    </row>
    <row r="804" spans="1:108" x14ac:dyDescent="0.25">
      <c r="A804">
        <v>803</v>
      </c>
      <c r="B804">
        <v>50</v>
      </c>
      <c r="C804" s="25" t="s">
        <v>512</v>
      </c>
      <c r="D804" s="12">
        <v>2.7</v>
      </c>
      <c r="E804" s="14">
        <v>0.2</v>
      </c>
      <c r="F804" s="7">
        <f t="shared" si="558"/>
        <v>13.5</v>
      </c>
      <c r="G804" s="7">
        <f t="shared" si="542"/>
        <v>2.5</v>
      </c>
      <c r="H804" s="16">
        <f t="shared" si="543"/>
        <v>2.9000000000000004</v>
      </c>
      <c r="I804" s="11">
        <f t="shared" si="563"/>
        <v>6.1583355408391327E-2</v>
      </c>
      <c r="J804" s="33">
        <f t="shared" si="564"/>
        <v>4.5617300302512095E-3</v>
      </c>
      <c r="K804" s="33">
        <f t="shared" si="565"/>
        <v>219.21507703622942</v>
      </c>
      <c r="L804" s="33">
        <f t="shared" si="566"/>
        <v>5.7021625378140116E-2</v>
      </c>
      <c r="M804" s="33">
        <f t="shared" si="567"/>
        <v>6.6145085438642531E-2</v>
      </c>
      <c r="N804" s="8">
        <v>0</v>
      </c>
      <c r="O804" s="9">
        <v>1</v>
      </c>
      <c r="P804" s="8">
        <v>0</v>
      </c>
      <c r="Q804" s="9">
        <v>0</v>
      </c>
      <c r="R804" s="9">
        <v>0</v>
      </c>
      <c r="S804" s="9">
        <v>1</v>
      </c>
      <c r="T804" s="9">
        <v>0</v>
      </c>
      <c r="U804" s="8">
        <v>47881</v>
      </c>
      <c r="V804" s="9">
        <v>7</v>
      </c>
      <c r="W804" s="9">
        <f t="shared" si="573"/>
        <v>47873</v>
      </c>
      <c r="X804" s="9">
        <f t="shared" si="559"/>
        <v>4</v>
      </c>
      <c r="Y804" s="7">
        <f t="shared" ref="Y804:Y806" si="577">(6*AO804+11*AP804)</f>
        <v>9.8500000000000014</v>
      </c>
      <c r="Z804" s="7">
        <f t="shared" ref="Z804:Z806" si="578">BQ804-Y804-6</f>
        <v>1.1499999999999986</v>
      </c>
      <c r="AA804" s="9">
        <v>1</v>
      </c>
      <c r="AB804" s="9">
        <v>0</v>
      </c>
      <c r="AC804" s="9">
        <v>0</v>
      </c>
      <c r="AD804" s="9">
        <v>1</v>
      </c>
      <c r="AE804" s="9">
        <v>0</v>
      </c>
      <c r="AF804" s="9">
        <v>0</v>
      </c>
      <c r="AG804" s="8">
        <v>0</v>
      </c>
      <c r="AH804" s="9">
        <v>0</v>
      </c>
      <c r="AI804" s="30">
        <v>1</v>
      </c>
      <c r="AJ804" s="9">
        <v>1</v>
      </c>
      <c r="AK804" s="30">
        <v>0</v>
      </c>
      <c r="AL804" s="21">
        <v>1987</v>
      </c>
      <c r="AM804" s="23">
        <f t="shared" si="561"/>
        <v>7.5943812425518171</v>
      </c>
      <c r="AN804" s="33">
        <v>0</v>
      </c>
      <c r="AO804" s="33">
        <v>0.23</v>
      </c>
      <c r="AP804" s="33">
        <v>0.77</v>
      </c>
      <c r="AQ804" s="43">
        <v>0</v>
      </c>
      <c r="AR804" s="33" t="s">
        <v>106</v>
      </c>
      <c r="AS804" s="43" t="s">
        <v>106</v>
      </c>
      <c r="AT804" s="42">
        <v>1</v>
      </c>
      <c r="AU804" s="18">
        <v>0</v>
      </c>
      <c r="AV804" s="33">
        <v>1</v>
      </c>
      <c r="AW804" s="40">
        <v>0</v>
      </c>
      <c r="AX804">
        <v>1</v>
      </c>
      <c r="AY804" s="40">
        <v>0</v>
      </c>
      <c r="BA804" s="18"/>
      <c r="BB804">
        <f t="shared" ref="BB804:BB806" si="579">1-BC804</f>
        <v>0.86519999999999997</v>
      </c>
      <c r="BC804" s="18">
        <v>0.1348</v>
      </c>
      <c r="BD804" s="18" t="s">
        <v>513</v>
      </c>
      <c r="BK804" s="18"/>
      <c r="BN804" s="18"/>
      <c r="BQ804" s="25">
        <v>17</v>
      </c>
      <c r="BR804">
        <v>1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 s="18">
        <v>0</v>
      </c>
      <c r="BZ804">
        <v>0</v>
      </c>
      <c r="CA804">
        <v>1</v>
      </c>
      <c r="CB804">
        <v>0</v>
      </c>
      <c r="CC804" s="18">
        <v>0</v>
      </c>
      <c r="CD804">
        <v>0</v>
      </c>
      <c r="CE804">
        <v>0</v>
      </c>
      <c r="CF804">
        <v>0</v>
      </c>
      <c r="CG804">
        <v>0</v>
      </c>
      <c r="CH804" s="18">
        <v>1</v>
      </c>
      <c r="CI804">
        <v>1</v>
      </c>
      <c r="CJ804">
        <v>1</v>
      </c>
      <c r="CK804">
        <v>1</v>
      </c>
      <c r="CL804">
        <v>1</v>
      </c>
      <c r="CM804">
        <v>1</v>
      </c>
      <c r="CN804">
        <v>0</v>
      </c>
      <c r="CO804">
        <v>0</v>
      </c>
      <c r="CP804">
        <v>0</v>
      </c>
      <c r="CQ804">
        <v>0</v>
      </c>
      <c r="CR804">
        <v>0</v>
      </c>
      <c r="CS804" s="18">
        <v>1</v>
      </c>
      <c r="DD804" s="34" t="s">
        <v>86</v>
      </c>
    </row>
    <row r="805" spans="1:108" x14ac:dyDescent="0.25">
      <c r="A805">
        <v>804</v>
      </c>
      <c r="B805">
        <v>50</v>
      </c>
      <c r="C805" s="25" t="s">
        <v>512</v>
      </c>
      <c r="D805" s="12">
        <v>2.6</v>
      </c>
      <c r="E805" s="14">
        <v>1.6</v>
      </c>
      <c r="F805" s="7">
        <f t="shared" si="558"/>
        <v>1.625</v>
      </c>
      <c r="G805" s="7">
        <f t="shared" si="542"/>
        <v>1</v>
      </c>
      <c r="H805" s="16">
        <f t="shared" si="543"/>
        <v>4.2</v>
      </c>
      <c r="I805" s="11">
        <f t="shared" si="563"/>
        <v>7.4267031656713844E-3</v>
      </c>
      <c r="J805" s="33">
        <f t="shared" si="564"/>
        <v>4.5702788711823898E-3</v>
      </c>
      <c r="K805" s="33">
        <f t="shared" si="565"/>
        <v>218.8050287927588</v>
      </c>
      <c r="L805" s="33">
        <f t="shared" si="566"/>
        <v>2.8564242944889946E-3</v>
      </c>
      <c r="M805" s="33">
        <f t="shared" si="567"/>
        <v>1.1996982036853773E-2</v>
      </c>
      <c r="N805" s="8">
        <v>0</v>
      </c>
      <c r="O805" s="9">
        <v>1</v>
      </c>
      <c r="P805" s="8">
        <v>0</v>
      </c>
      <c r="Q805" s="9">
        <v>0</v>
      </c>
      <c r="R805" s="9">
        <v>0</v>
      </c>
      <c r="S805" s="9">
        <v>1</v>
      </c>
      <c r="T805" s="9">
        <v>0</v>
      </c>
      <c r="U805" s="8">
        <v>47881</v>
      </c>
      <c r="V805" s="9">
        <v>7</v>
      </c>
      <c r="W805" s="9">
        <f t="shared" si="573"/>
        <v>47873</v>
      </c>
      <c r="X805" s="9">
        <f t="shared" si="559"/>
        <v>4</v>
      </c>
      <c r="Y805" s="7">
        <f t="shared" si="577"/>
        <v>9.8500000000000014</v>
      </c>
      <c r="Z805" s="7">
        <f t="shared" si="578"/>
        <v>1.1499999999999986</v>
      </c>
      <c r="AA805" s="9">
        <v>1</v>
      </c>
      <c r="AB805" s="9">
        <v>0</v>
      </c>
      <c r="AC805" s="9">
        <v>0</v>
      </c>
      <c r="AD805" s="9">
        <v>1</v>
      </c>
      <c r="AE805" s="9">
        <v>0</v>
      </c>
      <c r="AF805" s="9">
        <v>0</v>
      </c>
      <c r="AG805" s="8">
        <v>0</v>
      </c>
      <c r="AH805" s="9">
        <v>0</v>
      </c>
      <c r="AI805" s="30">
        <v>1</v>
      </c>
      <c r="AJ805" s="9">
        <v>1</v>
      </c>
      <c r="AK805" s="30">
        <v>0</v>
      </c>
      <c r="AL805" s="21">
        <v>1987</v>
      </c>
      <c r="AM805" s="23">
        <f t="shared" si="561"/>
        <v>7.5943812425518171</v>
      </c>
      <c r="AN805" s="33">
        <v>0</v>
      </c>
      <c r="AO805" s="33">
        <v>0.23</v>
      </c>
      <c r="AP805" s="33">
        <v>0.77</v>
      </c>
      <c r="AQ805" s="43">
        <v>0</v>
      </c>
      <c r="AR805" s="33" t="s">
        <v>106</v>
      </c>
      <c r="AS805" s="43" t="s">
        <v>106</v>
      </c>
      <c r="AT805" s="42">
        <v>1</v>
      </c>
      <c r="AU805" s="18">
        <v>0</v>
      </c>
      <c r="AV805" s="33">
        <v>1</v>
      </c>
      <c r="AW805" s="40">
        <v>0</v>
      </c>
      <c r="AX805">
        <v>1</v>
      </c>
      <c r="AY805" s="40">
        <v>0</v>
      </c>
      <c r="BA805" s="18"/>
      <c r="BB805">
        <f t="shared" si="579"/>
        <v>0.86519999999999997</v>
      </c>
      <c r="BC805" s="18">
        <v>0.1348</v>
      </c>
      <c r="BD805" s="18" t="s">
        <v>513</v>
      </c>
      <c r="BK805" s="18"/>
      <c r="BN805" s="18"/>
      <c r="BQ805" s="25">
        <v>17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 s="18">
        <v>1</v>
      </c>
      <c r="BZ805">
        <v>0</v>
      </c>
      <c r="CA805">
        <v>1</v>
      </c>
      <c r="CB805">
        <v>0</v>
      </c>
      <c r="CC805" s="18">
        <v>0</v>
      </c>
      <c r="CD805">
        <v>0</v>
      </c>
      <c r="CE805">
        <v>0</v>
      </c>
      <c r="CF805">
        <v>0</v>
      </c>
      <c r="CG805">
        <v>0</v>
      </c>
      <c r="CH805" s="18">
        <v>1</v>
      </c>
      <c r="CI805">
        <v>1</v>
      </c>
      <c r="CJ805">
        <v>1</v>
      </c>
      <c r="CK805">
        <v>1</v>
      </c>
      <c r="CL805">
        <v>1</v>
      </c>
      <c r="CM805">
        <v>1</v>
      </c>
      <c r="CN805">
        <v>0</v>
      </c>
      <c r="CO805">
        <v>0</v>
      </c>
      <c r="CP805">
        <v>0</v>
      </c>
      <c r="CQ805">
        <v>0</v>
      </c>
      <c r="CR805">
        <v>0</v>
      </c>
      <c r="CS805" s="18">
        <v>1</v>
      </c>
      <c r="DD805" s="34" t="s">
        <v>86</v>
      </c>
    </row>
    <row r="806" spans="1:108" s="153" customFormat="1" x14ac:dyDescent="0.25">
      <c r="A806" s="153">
        <v>805</v>
      </c>
      <c r="B806" s="153">
        <v>50</v>
      </c>
      <c r="C806" s="154" t="s">
        <v>512</v>
      </c>
      <c r="D806" s="155">
        <v>4.0999999999999996</v>
      </c>
      <c r="E806" s="156">
        <v>1.8</v>
      </c>
      <c r="F806" s="157">
        <f t="shared" si="558"/>
        <v>2.2777777777777777</v>
      </c>
      <c r="G806" s="157">
        <f t="shared" si="542"/>
        <v>2.2999999999999998</v>
      </c>
      <c r="H806" s="158">
        <f t="shared" si="543"/>
        <v>5.8999999999999995</v>
      </c>
      <c r="I806" s="159">
        <f t="shared" si="563"/>
        <v>1.0409802681932152E-2</v>
      </c>
      <c r="J806" s="160">
        <f t="shared" si="564"/>
        <v>4.5701572749946035E-3</v>
      </c>
      <c r="K806" s="160">
        <f t="shared" si="565"/>
        <v>218.81085044303663</v>
      </c>
      <c r="L806" s="160">
        <f t="shared" si="566"/>
        <v>5.8396454069375488E-3</v>
      </c>
      <c r="M806" s="160">
        <f t="shared" si="567"/>
        <v>1.4979959956926756E-2</v>
      </c>
      <c r="N806" s="161">
        <v>0</v>
      </c>
      <c r="O806" s="162">
        <v>1</v>
      </c>
      <c r="P806" s="161">
        <v>0</v>
      </c>
      <c r="Q806" s="162">
        <v>0</v>
      </c>
      <c r="R806" s="162">
        <v>0</v>
      </c>
      <c r="S806" s="162">
        <v>1</v>
      </c>
      <c r="T806" s="162">
        <v>0</v>
      </c>
      <c r="U806" s="161">
        <v>47881</v>
      </c>
      <c r="V806" s="162">
        <v>7</v>
      </c>
      <c r="W806" s="162">
        <f t="shared" si="573"/>
        <v>47873</v>
      </c>
      <c r="X806" s="162">
        <f t="shared" si="559"/>
        <v>4</v>
      </c>
      <c r="Y806" s="157">
        <f t="shared" si="577"/>
        <v>9.8500000000000014</v>
      </c>
      <c r="Z806" s="157">
        <f t="shared" si="578"/>
        <v>1.1499999999999986</v>
      </c>
      <c r="AA806" s="162">
        <v>1</v>
      </c>
      <c r="AB806" s="162">
        <v>0</v>
      </c>
      <c r="AC806" s="162">
        <v>0</v>
      </c>
      <c r="AD806" s="162">
        <v>1</v>
      </c>
      <c r="AE806" s="162">
        <v>0</v>
      </c>
      <c r="AF806" s="162">
        <v>0</v>
      </c>
      <c r="AG806" s="161">
        <v>0</v>
      </c>
      <c r="AH806" s="162">
        <v>0</v>
      </c>
      <c r="AI806" s="163">
        <v>1</v>
      </c>
      <c r="AJ806" s="162">
        <v>1</v>
      </c>
      <c r="AK806" s="163">
        <v>0</v>
      </c>
      <c r="AL806" s="164">
        <v>1987</v>
      </c>
      <c r="AM806" s="165">
        <f t="shared" si="561"/>
        <v>7.5943812425518171</v>
      </c>
      <c r="AN806" s="160">
        <v>0</v>
      </c>
      <c r="AO806" s="160">
        <v>0.23</v>
      </c>
      <c r="AP806" s="160">
        <v>0.77</v>
      </c>
      <c r="AQ806" s="166">
        <v>0</v>
      </c>
      <c r="AR806" s="160" t="s">
        <v>106</v>
      </c>
      <c r="AS806" s="166" t="s">
        <v>106</v>
      </c>
      <c r="AT806" s="167">
        <v>1</v>
      </c>
      <c r="AU806" s="168">
        <v>0</v>
      </c>
      <c r="AV806" s="160">
        <v>1</v>
      </c>
      <c r="AW806" s="169">
        <v>0</v>
      </c>
      <c r="AX806" s="153">
        <v>1</v>
      </c>
      <c r="AY806" s="169">
        <v>0</v>
      </c>
      <c r="BA806" s="168"/>
      <c r="BB806" s="153">
        <f t="shared" si="579"/>
        <v>0.86519999999999997</v>
      </c>
      <c r="BC806" s="168">
        <v>0.1348</v>
      </c>
      <c r="BD806" s="168" t="s">
        <v>513</v>
      </c>
      <c r="BK806" s="168"/>
      <c r="BN806" s="168"/>
      <c r="BQ806" s="154">
        <v>17</v>
      </c>
      <c r="BR806" s="153">
        <v>0</v>
      </c>
      <c r="BS806" s="153">
        <v>0</v>
      </c>
      <c r="BT806" s="153">
        <v>0</v>
      </c>
      <c r="BU806" s="153">
        <v>0</v>
      </c>
      <c r="BV806" s="153">
        <v>0</v>
      </c>
      <c r="BW806" s="153">
        <v>0</v>
      </c>
      <c r="BX806" s="153">
        <v>0</v>
      </c>
      <c r="BY806" s="168">
        <v>1</v>
      </c>
      <c r="BZ806" s="153">
        <v>0</v>
      </c>
      <c r="CA806" s="153">
        <v>1</v>
      </c>
      <c r="CB806" s="153">
        <v>0</v>
      </c>
      <c r="CC806" s="168">
        <v>0</v>
      </c>
      <c r="CD806" s="153">
        <v>0</v>
      </c>
      <c r="CE806" s="153">
        <v>0</v>
      </c>
      <c r="CF806" s="153">
        <v>0</v>
      </c>
      <c r="CG806" s="153">
        <v>0</v>
      </c>
      <c r="CH806" s="168">
        <v>1</v>
      </c>
      <c r="CI806" s="153">
        <v>1</v>
      </c>
      <c r="CJ806" s="153">
        <v>1</v>
      </c>
      <c r="CK806" s="153">
        <v>1</v>
      </c>
      <c r="CL806" s="153">
        <v>1</v>
      </c>
      <c r="CM806" s="153">
        <v>1</v>
      </c>
      <c r="CN806" s="153">
        <v>0</v>
      </c>
      <c r="CO806" s="153">
        <v>0</v>
      </c>
      <c r="CP806" s="153">
        <v>0</v>
      </c>
      <c r="CQ806" s="153">
        <v>0</v>
      </c>
      <c r="CR806" s="153">
        <v>0</v>
      </c>
      <c r="CS806" s="168">
        <v>1</v>
      </c>
      <c r="CY806" s="171"/>
      <c r="DD806" s="171" t="s">
        <v>86</v>
      </c>
    </row>
    <row r="807" spans="1:108" x14ac:dyDescent="0.25">
      <c r="A807">
        <v>806</v>
      </c>
      <c r="B807">
        <v>51</v>
      </c>
      <c r="C807" s="25" t="s">
        <v>514</v>
      </c>
      <c r="D807" s="12">
        <v>8.6</v>
      </c>
      <c r="E807" s="14">
        <v>0.5</v>
      </c>
      <c r="F807" s="7">
        <f t="shared" si="558"/>
        <v>17.2</v>
      </c>
      <c r="G807" s="7">
        <f t="shared" si="542"/>
        <v>8.1</v>
      </c>
      <c r="H807" s="16">
        <f t="shared" si="543"/>
        <v>9.1</v>
      </c>
      <c r="I807" s="11">
        <f t="shared" si="563"/>
        <v>9.4587141279251663E-2</v>
      </c>
      <c r="J807" s="33">
        <f t="shared" si="564"/>
        <v>5.499252399956492E-3</v>
      </c>
      <c r="K807" s="33">
        <f t="shared" si="565"/>
        <v>181.8428992289773</v>
      </c>
      <c r="L807" s="33">
        <f t="shared" si="566"/>
        <v>8.9087888879295168E-2</v>
      </c>
      <c r="M807" s="33">
        <f t="shared" si="567"/>
        <v>0.10008639367920816</v>
      </c>
      <c r="N807" s="8">
        <v>0</v>
      </c>
      <c r="O807" s="9">
        <v>1</v>
      </c>
      <c r="P807" s="8">
        <v>0</v>
      </c>
      <c r="Q807" s="9">
        <v>0</v>
      </c>
      <c r="R807" s="9">
        <v>0</v>
      </c>
      <c r="S807" s="9">
        <v>1</v>
      </c>
      <c r="T807" s="9">
        <v>0</v>
      </c>
      <c r="U807" s="8">
        <v>32775</v>
      </c>
      <c r="V807" s="9">
        <v>3</v>
      </c>
      <c r="W807" s="9">
        <f t="shared" si="573"/>
        <v>32771</v>
      </c>
      <c r="X807" s="9">
        <f t="shared" si="559"/>
        <v>6</v>
      </c>
      <c r="Y807" s="7">
        <v>12.6</v>
      </c>
      <c r="Z807" s="7">
        <f>BQ807-Y807-6</f>
        <v>25.9</v>
      </c>
      <c r="AA807" s="9">
        <v>1</v>
      </c>
      <c r="AB807" s="9">
        <v>0</v>
      </c>
      <c r="AC807" s="9">
        <v>0</v>
      </c>
      <c r="AD807" s="9">
        <v>1</v>
      </c>
      <c r="AE807" s="9">
        <v>0</v>
      </c>
      <c r="AF807" s="9">
        <v>0</v>
      </c>
      <c r="AG807" s="8">
        <v>0</v>
      </c>
      <c r="AH807" s="9">
        <v>1</v>
      </c>
      <c r="AI807" s="30">
        <v>0</v>
      </c>
      <c r="AJ807" s="9">
        <v>0</v>
      </c>
      <c r="AK807" s="30">
        <v>1</v>
      </c>
      <c r="AL807" s="21">
        <v>2008</v>
      </c>
      <c r="AM807" s="23">
        <f t="shared" si="561"/>
        <v>7.6048944808116197</v>
      </c>
      <c r="AN807" s="33">
        <v>0</v>
      </c>
      <c r="AO807" s="33">
        <v>0</v>
      </c>
      <c r="AP807" s="33">
        <v>0</v>
      </c>
      <c r="AQ807" s="43">
        <v>1</v>
      </c>
      <c r="AR807" s="33" t="s">
        <v>106</v>
      </c>
      <c r="AS807" s="43" t="s">
        <v>106</v>
      </c>
      <c r="AT807" s="42" t="s">
        <v>106</v>
      </c>
      <c r="AU807" s="18" t="s">
        <v>106</v>
      </c>
      <c r="AV807" s="33">
        <v>1</v>
      </c>
      <c r="AW807" s="40">
        <v>0</v>
      </c>
      <c r="AX807" t="s">
        <v>106</v>
      </c>
      <c r="AY807" s="40" t="s">
        <v>106</v>
      </c>
      <c r="BA807" s="18"/>
      <c r="BB807" t="s">
        <v>106</v>
      </c>
      <c r="BC807" s="18" t="s">
        <v>106</v>
      </c>
      <c r="BD807" s="18" t="s">
        <v>2</v>
      </c>
      <c r="BK807" s="18"/>
      <c r="BN807" s="18"/>
      <c r="BQ807" s="25">
        <v>44.5</v>
      </c>
      <c r="BR807">
        <v>1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 s="18">
        <v>0</v>
      </c>
      <c r="BZ807">
        <v>0</v>
      </c>
      <c r="CA807">
        <v>0</v>
      </c>
      <c r="CB807">
        <v>0</v>
      </c>
      <c r="CC807" s="18">
        <v>1</v>
      </c>
      <c r="CD807">
        <v>0</v>
      </c>
      <c r="CE807">
        <v>0</v>
      </c>
      <c r="CF807">
        <v>0</v>
      </c>
      <c r="CG807">
        <v>0</v>
      </c>
      <c r="CH807" s="18">
        <v>0</v>
      </c>
      <c r="CI807">
        <v>0</v>
      </c>
      <c r="CJ807">
        <v>0</v>
      </c>
      <c r="CK807">
        <v>1</v>
      </c>
      <c r="CL807">
        <v>1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 s="18">
        <v>0</v>
      </c>
      <c r="DD807" s="34" t="s">
        <v>86</v>
      </c>
    </row>
    <row r="808" spans="1:108" x14ac:dyDescent="0.25">
      <c r="A808">
        <v>807</v>
      </c>
      <c r="B808">
        <v>51</v>
      </c>
      <c r="C808" s="25" t="s">
        <v>514</v>
      </c>
      <c r="D808" s="12">
        <v>9</v>
      </c>
      <c r="E808" s="14">
        <v>0.7</v>
      </c>
      <c r="F808" s="7">
        <f t="shared" si="558"/>
        <v>12.857142857142858</v>
      </c>
      <c r="G808" s="7">
        <f t="shared" si="542"/>
        <v>8.3000000000000007</v>
      </c>
      <c r="H808" s="16">
        <f t="shared" si="543"/>
        <v>9.6999999999999993</v>
      </c>
      <c r="I808" s="11">
        <f t="shared" ref="I808:I814" si="580">IFERROR(F808/SQRT(F808^2+W808), "X")</f>
        <v>7.0813475985194219E-2</v>
      </c>
      <c r="J808" s="33">
        <f t="shared" ref="J808:J814" si="581">IFERROR(SQRT((1-I808^2)/W808), "X")</f>
        <v>5.5077147988484383E-3</v>
      </c>
      <c r="K808" s="33">
        <f t="shared" ref="K808:K814" si="582">IFERROR(1/J808, "X")</f>
        <v>181.5635043791813</v>
      </c>
      <c r="L808" s="33">
        <f t="shared" ref="L808:L814" si="583">IFERROR(I808-J808, "X")</f>
        <v>6.5305761186345776E-2</v>
      </c>
      <c r="M808" s="33">
        <f t="shared" ref="M808:M814" si="584">IFERROR(I808+J808, "X")</f>
        <v>7.6321190784042661E-2</v>
      </c>
      <c r="N808" s="8">
        <v>0</v>
      </c>
      <c r="O808" s="9">
        <v>1</v>
      </c>
      <c r="P808" s="8">
        <v>0</v>
      </c>
      <c r="Q808" s="9">
        <v>0</v>
      </c>
      <c r="R808" s="9">
        <v>0</v>
      </c>
      <c r="S808" s="9">
        <v>1</v>
      </c>
      <c r="T808" s="9">
        <v>0</v>
      </c>
      <c r="U808" s="8">
        <v>32804</v>
      </c>
      <c r="V808" s="9">
        <v>3</v>
      </c>
      <c r="W808" s="9">
        <f t="shared" si="573"/>
        <v>32800</v>
      </c>
      <c r="X808" s="9">
        <f t="shared" si="559"/>
        <v>6</v>
      </c>
      <c r="Y808" s="7">
        <v>12.6</v>
      </c>
      <c r="Z808" s="7">
        <f t="shared" ref="Z808:Z812" si="585">BQ808-Y808-6</f>
        <v>25.9</v>
      </c>
      <c r="AA808" s="9">
        <v>1</v>
      </c>
      <c r="AB808" s="9">
        <v>0</v>
      </c>
      <c r="AC808" s="9">
        <v>0</v>
      </c>
      <c r="AD808" s="9">
        <v>0</v>
      </c>
      <c r="AE808" s="9">
        <v>1</v>
      </c>
      <c r="AF808" s="9">
        <v>0</v>
      </c>
      <c r="AG808" s="8">
        <v>0</v>
      </c>
      <c r="AH808" s="9">
        <v>1</v>
      </c>
      <c r="AI808" s="30">
        <v>0</v>
      </c>
      <c r="AJ808" s="9">
        <v>0</v>
      </c>
      <c r="AK808" s="30">
        <v>1</v>
      </c>
      <c r="AL808" s="21">
        <v>2008</v>
      </c>
      <c r="AM808" s="23">
        <f t="shared" si="561"/>
        <v>7.6048944808116197</v>
      </c>
      <c r="AN808" s="33">
        <v>0</v>
      </c>
      <c r="AO808" s="33">
        <v>0</v>
      </c>
      <c r="AP808" s="33">
        <v>0</v>
      </c>
      <c r="AQ808" s="43">
        <v>1</v>
      </c>
      <c r="AR808" s="33" t="s">
        <v>106</v>
      </c>
      <c r="AS808" s="43" t="s">
        <v>106</v>
      </c>
      <c r="AT808" s="42" t="s">
        <v>106</v>
      </c>
      <c r="AU808" s="18" t="s">
        <v>106</v>
      </c>
      <c r="AV808" s="33">
        <v>1</v>
      </c>
      <c r="AW808" s="40">
        <v>0</v>
      </c>
      <c r="AX808" t="s">
        <v>106</v>
      </c>
      <c r="AY808" s="40" t="s">
        <v>106</v>
      </c>
      <c r="BA808" s="18"/>
      <c r="BB808" t="s">
        <v>106</v>
      </c>
      <c r="BC808" s="18" t="s">
        <v>106</v>
      </c>
      <c r="BD808" s="18" t="s">
        <v>2</v>
      </c>
      <c r="BK808" s="18"/>
      <c r="BN808" s="18"/>
      <c r="BQ808" s="25">
        <v>44.5</v>
      </c>
      <c r="BR808">
        <v>1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 s="18">
        <v>0</v>
      </c>
      <c r="BZ808">
        <v>0</v>
      </c>
      <c r="CA808">
        <v>0</v>
      </c>
      <c r="CB808">
        <v>0</v>
      </c>
      <c r="CC808" s="18">
        <v>1</v>
      </c>
      <c r="CD808">
        <v>0</v>
      </c>
      <c r="CE808">
        <v>0</v>
      </c>
      <c r="CF808">
        <v>0</v>
      </c>
      <c r="CG808">
        <v>0</v>
      </c>
      <c r="CH808" s="18">
        <v>0</v>
      </c>
      <c r="CI808">
        <v>0</v>
      </c>
      <c r="CJ808">
        <v>0</v>
      </c>
      <c r="CK808">
        <v>1</v>
      </c>
      <c r="CL808">
        <v>1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 s="18">
        <v>0</v>
      </c>
      <c r="DD808" s="34" t="s">
        <v>86</v>
      </c>
    </row>
    <row r="809" spans="1:108" x14ac:dyDescent="0.25">
      <c r="A809">
        <v>808</v>
      </c>
      <c r="B809">
        <v>51</v>
      </c>
      <c r="C809" s="25" t="s">
        <v>514</v>
      </c>
      <c r="D809" s="12">
        <v>10.3</v>
      </c>
      <c r="E809" s="14">
        <v>0.7</v>
      </c>
      <c r="F809" s="7">
        <f t="shared" si="558"/>
        <v>14.714285714285717</v>
      </c>
      <c r="G809" s="7">
        <f t="shared" si="542"/>
        <v>9.6000000000000014</v>
      </c>
      <c r="H809" s="16">
        <f t="shared" si="543"/>
        <v>11</v>
      </c>
      <c r="I809" s="11">
        <f t="shared" si="580"/>
        <v>8.0004977370878347E-2</v>
      </c>
      <c r="J809" s="33">
        <f t="shared" si="581"/>
        <v>5.4372314718072658E-3</v>
      </c>
      <c r="K809" s="33">
        <f t="shared" si="582"/>
        <v>183.91712863157045</v>
      </c>
      <c r="L809" s="33">
        <f t="shared" si="583"/>
        <v>7.4567745899071086E-2</v>
      </c>
      <c r="M809" s="33">
        <f t="shared" si="584"/>
        <v>8.5442208842685607E-2</v>
      </c>
      <c r="N809" s="8">
        <v>0</v>
      </c>
      <c r="O809" s="9">
        <v>1</v>
      </c>
      <c r="P809" s="8">
        <v>0</v>
      </c>
      <c r="Q809" s="9">
        <v>0</v>
      </c>
      <c r="R809" s="9">
        <v>0</v>
      </c>
      <c r="S809" s="9">
        <v>1</v>
      </c>
      <c r="T809" s="9">
        <v>0</v>
      </c>
      <c r="U809" s="8">
        <v>33613</v>
      </c>
      <c r="V809" s="9">
        <v>3</v>
      </c>
      <c r="W809" s="9">
        <f t="shared" si="573"/>
        <v>33609</v>
      </c>
      <c r="X809" s="9">
        <f t="shared" si="559"/>
        <v>6</v>
      </c>
      <c r="Y809" s="7">
        <v>12.6</v>
      </c>
      <c r="Z809" s="7">
        <f t="shared" si="585"/>
        <v>25.9</v>
      </c>
      <c r="AA809" s="9">
        <v>1</v>
      </c>
      <c r="AB809" s="9">
        <v>0</v>
      </c>
      <c r="AC809" s="9">
        <v>1</v>
      </c>
      <c r="AD809" s="9">
        <v>0</v>
      </c>
      <c r="AE809" s="9">
        <v>0</v>
      </c>
      <c r="AF809" s="9">
        <v>0</v>
      </c>
      <c r="AG809" s="8">
        <v>0</v>
      </c>
      <c r="AH809" s="9">
        <v>1</v>
      </c>
      <c r="AI809" s="30">
        <v>0</v>
      </c>
      <c r="AJ809" s="9">
        <v>0</v>
      </c>
      <c r="AK809" s="30">
        <v>1</v>
      </c>
      <c r="AL809" s="21">
        <v>2008</v>
      </c>
      <c r="AM809" s="23">
        <f t="shared" si="561"/>
        <v>7.6048944808116197</v>
      </c>
      <c r="AN809" s="33">
        <v>0</v>
      </c>
      <c r="AO809" s="33">
        <v>0</v>
      </c>
      <c r="AP809" s="33">
        <v>0</v>
      </c>
      <c r="AQ809" s="43">
        <v>1</v>
      </c>
      <c r="AR809" s="33" t="s">
        <v>106</v>
      </c>
      <c r="AS809" s="43" t="s">
        <v>106</v>
      </c>
      <c r="AT809" s="42" t="s">
        <v>106</v>
      </c>
      <c r="AU809" s="18" t="s">
        <v>106</v>
      </c>
      <c r="AV809" s="33">
        <v>1</v>
      </c>
      <c r="AW809" s="40">
        <v>0</v>
      </c>
      <c r="AX809" t="s">
        <v>106</v>
      </c>
      <c r="AY809" s="40" t="s">
        <v>106</v>
      </c>
      <c r="BA809" s="18"/>
      <c r="BB809" t="s">
        <v>106</v>
      </c>
      <c r="BC809" s="18" t="s">
        <v>106</v>
      </c>
      <c r="BD809" s="18" t="s">
        <v>2</v>
      </c>
      <c r="BK809" s="18"/>
      <c r="BN809" s="18"/>
      <c r="BQ809" s="25">
        <v>44.5</v>
      </c>
      <c r="BR809">
        <v>1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 s="18">
        <v>0</v>
      </c>
      <c r="BZ809">
        <v>0</v>
      </c>
      <c r="CA809">
        <v>0</v>
      </c>
      <c r="CB809">
        <v>0</v>
      </c>
      <c r="CC809" s="18">
        <v>1</v>
      </c>
      <c r="CD809">
        <v>0</v>
      </c>
      <c r="CE809">
        <v>0</v>
      </c>
      <c r="CF809">
        <v>0</v>
      </c>
      <c r="CG809">
        <v>0</v>
      </c>
      <c r="CH809" s="18">
        <v>0</v>
      </c>
      <c r="CI809">
        <v>0</v>
      </c>
      <c r="CJ809">
        <v>0</v>
      </c>
      <c r="CK809">
        <v>1</v>
      </c>
      <c r="CL809">
        <v>1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 s="18">
        <v>0</v>
      </c>
      <c r="DD809" s="34" t="s">
        <v>86</v>
      </c>
    </row>
    <row r="810" spans="1:108" x14ac:dyDescent="0.25">
      <c r="A810">
        <v>809</v>
      </c>
      <c r="B810">
        <v>51</v>
      </c>
      <c r="C810" s="25" t="s">
        <v>514</v>
      </c>
      <c r="D810" s="12">
        <v>7.6</v>
      </c>
      <c r="E810" s="14">
        <v>0.3</v>
      </c>
      <c r="F810" s="7">
        <f t="shared" si="558"/>
        <v>25.333333333333332</v>
      </c>
      <c r="G810" s="7">
        <f t="shared" si="542"/>
        <v>7.3</v>
      </c>
      <c r="H810" s="16">
        <f t="shared" si="543"/>
        <v>7.8999999999999995</v>
      </c>
      <c r="I810" s="11">
        <f t="shared" si="580"/>
        <v>0.13855815394052531</v>
      </c>
      <c r="J810" s="33">
        <f t="shared" si="581"/>
        <v>5.4694008134417889E-3</v>
      </c>
      <c r="K810" s="33">
        <f t="shared" si="582"/>
        <v>182.83538437014258</v>
      </c>
      <c r="L810" s="33">
        <f t="shared" si="583"/>
        <v>0.13308875312708351</v>
      </c>
      <c r="M810" s="33">
        <f t="shared" si="584"/>
        <v>0.14402755475396711</v>
      </c>
      <c r="N810" s="8">
        <v>0</v>
      </c>
      <c r="O810" s="9">
        <v>1</v>
      </c>
      <c r="P810" s="8">
        <v>0</v>
      </c>
      <c r="Q810" s="9">
        <v>0</v>
      </c>
      <c r="R810" s="9">
        <v>0</v>
      </c>
      <c r="S810" s="9">
        <v>1</v>
      </c>
      <c r="T810" s="9">
        <v>0</v>
      </c>
      <c r="U810" s="8">
        <v>32791</v>
      </c>
      <c r="V810" s="9">
        <v>3</v>
      </c>
      <c r="W810" s="9">
        <f t="shared" si="573"/>
        <v>32787</v>
      </c>
      <c r="X810" s="9">
        <f t="shared" si="559"/>
        <v>6</v>
      </c>
      <c r="Y810" s="7">
        <v>12.8</v>
      </c>
      <c r="Z810" s="7">
        <f t="shared" si="585"/>
        <v>25.7</v>
      </c>
      <c r="AA810" s="9">
        <v>1</v>
      </c>
      <c r="AB810" s="9">
        <v>0</v>
      </c>
      <c r="AC810" s="9">
        <v>0</v>
      </c>
      <c r="AD810" s="9">
        <v>1</v>
      </c>
      <c r="AE810" s="9">
        <v>0</v>
      </c>
      <c r="AF810" s="9">
        <v>0</v>
      </c>
      <c r="AG810" s="8">
        <v>0</v>
      </c>
      <c r="AH810" s="9">
        <v>1</v>
      </c>
      <c r="AI810" s="30">
        <v>0</v>
      </c>
      <c r="AJ810" s="9">
        <v>0</v>
      </c>
      <c r="AK810" s="30">
        <v>1</v>
      </c>
      <c r="AL810" s="21">
        <v>2008</v>
      </c>
      <c r="AM810" s="23">
        <f t="shared" si="561"/>
        <v>7.6048944808116197</v>
      </c>
      <c r="AN810" s="33">
        <v>0</v>
      </c>
      <c r="AO810" s="33">
        <v>0</v>
      </c>
      <c r="AP810" s="33">
        <v>0</v>
      </c>
      <c r="AQ810" s="43">
        <v>1</v>
      </c>
      <c r="AR810" s="33" t="s">
        <v>106</v>
      </c>
      <c r="AS810" s="43" t="s">
        <v>106</v>
      </c>
      <c r="AT810" s="42" t="s">
        <v>106</v>
      </c>
      <c r="AU810" s="18" t="s">
        <v>106</v>
      </c>
      <c r="AV810">
        <v>0</v>
      </c>
      <c r="AW810" s="40">
        <v>1</v>
      </c>
      <c r="AX810" t="s">
        <v>106</v>
      </c>
      <c r="AY810" s="40" t="s">
        <v>106</v>
      </c>
      <c r="BA810" s="18"/>
      <c r="BB810" t="s">
        <v>106</v>
      </c>
      <c r="BC810" s="18" t="s">
        <v>106</v>
      </c>
      <c r="BD810" s="18" t="s">
        <v>2</v>
      </c>
      <c r="BK810" s="18"/>
      <c r="BN810" s="18"/>
      <c r="BQ810" s="25">
        <v>44.5</v>
      </c>
      <c r="BR810">
        <v>1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 s="18">
        <v>0</v>
      </c>
      <c r="BZ810">
        <v>0</v>
      </c>
      <c r="CA810">
        <v>0</v>
      </c>
      <c r="CB810">
        <v>0</v>
      </c>
      <c r="CC810" s="18">
        <v>1</v>
      </c>
      <c r="CD810">
        <v>0</v>
      </c>
      <c r="CE810">
        <v>0</v>
      </c>
      <c r="CF810">
        <v>0</v>
      </c>
      <c r="CG810">
        <v>0</v>
      </c>
      <c r="CH810" s="18">
        <v>0</v>
      </c>
      <c r="CI810">
        <v>0</v>
      </c>
      <c r="CJ810">
        <v>0</v>
      </c>
      <c r="CK810">
        <v>1</v>
      </c>
      <c r="CL810">
        <v>1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 s="18">
        <v>0</v>
      </c>
      <c r="DD810" s="34" t="s">
        <v>86</v>
      </c>
    </row>
    <row r="811" spans="1:108" x14ac:dyDescent="0.25">
      <c r="A811">
        <v>810</v>
      </c>
      <c r="B811">
        <v>51</v>
      </c>
      <c r="C811" s="25" t="s">
        <v>514</v>
      </c>
      <c r="D811" s="12">
        <v>11.2</v>
      </c>
      <c r="E811" s="14">
        <v>0.5</v>
      </c>
      <c r="F811" s="7">
        <f t="shared" si="558"/>
        <v>22.4</v>
      </c>
      <c r="G811" s="7">
        <f t="shared" si="542"/>
        <v>10.7</v>
      </c>
      <c r="H811" s="16">
        <f t="shared" si="543"/>
        <v>11.7</v>
      </c>
      <c r="I811" s="11">
        <f t="shared" si="580"/>
        <v>0.12271852327728827</v>
      </c>
      <c r="J811" s="33">
        <f t="shared" si="581"/>
        <v>5.4785055034503698E-3</v>
      </c>
      <c r="K811" s="33">
        <f t="shared" si="582"/>
        <v>182.53153152263857</v>
      </c>
      <c r="L811" s="33">
        <f t="shared" si="583"/>
        <v>0.1172400177738379</v>
      </c>
      <c r="M811" s="33">
        <f t="shared" si="584"/>
        <v>0.12819702878073863</v>
      </c>
      <c r="N811" s="8">
        <v>0</v>
      </c>
      <c r="O811" s="9">
        <v>1</v>
      </c>
      <c r="P811" s="8">
        <v>0</v>
      </c>
      <c r="Q811" s="9">
        <v>0</v>
      </c>
      <c r="R811" s="9">
        <v>0</v>
      </c>
      <c r="S811" s="9">
        <v>1</v>
      </c>
      <c r="T811" s="9">
        <v>0</v>
      </c>
      <c r="U811" s="8">
        <v>32820</v>
      </c>
      <c r="V811" s="9">
        <v>3</v>
      </c>
      <c r="W811" s="9">
        <f t="shared" si="573"/>
        <v>32816</v>
      </c>
      <c r="X811" s="9">
        <f t="shared" si="559"/>
        <v>6</v>
      </c>
      <c r="Y811" s="7">
        <v>12.8</v>
      </c>
      <c r="Z811" s="7">
        <f t="shared" si="585"/>
        <v>25.7</v>
      </c>
      <c r="AA811" s="9">
        <v>1</v>
      </c>
      <c r="AB811" s="9">
        <v>0</v>
      </c>
      <c r="AC811" s="9">
        <v>0</v>
      </c>
      <c r="AD811" s="9">
        <v>0</v>
      </c>
      <c r="AE811" s="9">
        <v>1</v>
      </c>
      <c r="AF811" s="9">
        <v>0</v>
      </c>
      <c r="AG811" s="8">
        <v>0</v>
      </c>
      <c r="AH811" s="9">
        <v>1</v>
      </c>
      <c r="AI811" s="30">
        <v>0</v>
      </c>
      <c r="AJ811" s="9">
        <v>0</v>
      </c>
      <c r="AK811" s="30">
        <v>1</v>
      </c>
      <c r="AL811" s="21">
        <v>2008</v>
      </c>
      <c r="AM811" s="23">
        <f t="shared" si="561"/>
        <v>7.6048944808116197</v>
      </c>
      <c r="AN811" s="33">
        <v>0</v>
      </c>
      <c r="AO811" s="33">
        <v>0</v>
      </c>
      <c r="AP811" s="33">
        <v>0</v>
      </c>
      <c r="AQ811" s="43">
        <v>1</v>
      </c>
      <c r="AR811" s="33" t="s">
        <v>106</v>
      </c>
      <c r="AS811" s="43" t="s">
        <v>106</v>
      </c>
      <c r="AT811" s="42" t="s">
        <v>106</v>
      </c>
      <c r="AU811" s="18" t="s">
        <v>106</v>
      </c>
      <c r="AV811">
        <v>0</v>
      </c>
      <c r="AW811" s="40">
        <v>1</v>
      </c>
      <c r="AX811" t="s">
        <v>106</v>
      </c>
      <c r="AY811" s="40" t="s">
        <v>106</v>
      </c>
      <c r="BA811" s="18"/>
      <c r="BB811" t="s">
        <v>106</v>
      </c>
      <c r="BC811" s="18" t="s">
        <v>106</v>
      </c>
      <c r="BD811" s="18" t="s">
        <v>2</v>
      </c>
      <c r="BK811" s="18"/>
      <c r="BN811" s="18"/>
      <c r="BQ811" s="25">
        <v>44.5</v>
      </c>
      <c r="BR811">
        <v>1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 s="18">
        <v>0</v>
      </c>
      <c r="BZ811">
        <v>0</v>
      </c>
      <c r="CA811">
        <v>0</v>
      </c>
      <c r="CB811">
        <v>0</v>
      </c>
      <c r="CC811" s="18">
        <v>1</v>
      </c>
      <c r="CD811">
        <v>0</v>
      </c>
      <c r="CE811">
        <v>0</v>
      </c>
      <c r="CF811">
        <v>0</v>
      </c>
      <c r="CG811">
        <v>0</v>
      </c>
      <c r="CH811" s="18">
        <v>0</v>
      </c>
      <c r="CI811">
        <v>0</v>
      </c>
      <c r="CJ811">
        <v>0</v>
      </c>
      <c r="CK811">
        <v>1</v>
      </c>
      <c r="CL811">
        <v>1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 s="18">
        <v>0</v>
      </c>
      <c r="DD811" s="34" t="s">
        <v>86</v>
      </c>
    </row>
    <row r="812" spans="1:108" s="153" customFormat="1" x14ac:dyDescent="0.25">
      <c r="A812" s="153">
        <v>811</v>
      </c>
      <c r="B812" s="153">
        <v>51</v>
      </c>
      <c r="C812" s="154" t="s">
        <v>514</v>
      </c>
      <c r="D812" s="155">
        <v>11.4</v>
      </c>
      <c r="E812" s="156">
        <v>0.5</v>
      </c>
      <c r="F812" s="157">
        <f t="shared" si="558"/>
        <v>22.8</v>
      </c>
      <c r="G812" s="157">
        <f t="shared" si="542"/>
        <v>10.9</v>
      </c>
      <c r="H812" s="158">
        <f t="shared" si="543"/>
        <v>11.9</v>
      </c>
      <c r="I812" s="159">
        <f t="shared" si="580"/>
        <v>0.12474327691742701</v>
      </c>
      <c r="J812" s="160">
        <f t="shared" si="581"/>
        <v>5.4711963560275002E-3</v>
      </c>
      <c r="K812" s="160">
        <f t="shared" si="582"/>
        <v>182.77538127439374</v>
      </c>
      <c r="L812" s="160">
        <f t="shared" si="583"/>
        <v>0.11927208056139951</v>
      </c>
      <c r="M812" s="160">
        <f t="shared" si="584"/>
        <v>0.13021447327345451</v>
      </c>
      <c r="N812" s="161">
        <v>0</v>
      </c>
      <c r="O812" s="162">
        <v>1</v>
      </c>
      <c r="P812" s="161">
        <v>0</v>
      </c>
      <c r="Q812" s="162">
        <v>0</v>
      </c>
      <c r="R812" s="162">
        <v>0</v>
      </c>
      <c r="S812" s="162">
        <v>1</v>
      </c>
      <c r="T812" s="162">
        <v>0</v>
      </c>
      <c r="U812" s="161">
        <v>32891</v>
      </c>
      <c r="V812" s="162">
        <v>3</v>
      </c>
      <c r="W812" s="162">
        <f t="shared" si="573"/>
        <v>32887</v>
      </c>
      <c r="X812" s="162">
        <f t="shared" si="559"/>
        <v>6</v>
      </c>
      <c r="Y812" s="157">
        <v>12.8</v>
      </c>
      <c r="Z812" s="157">
        <f t="shared" si="585"/>
        <v>25.7</v>
      </c>
      <c r="AA812" s="162">
        <v>1</v>
      </c>
      <c r="AB812" s="162">
        <v>0</v>
      </c>
      <c r="AC812" s="162">
        <v>1</v>
      </c>
      <c r="AD812" s="162">
        <v>0</v>
      </c>
      <c r="AE812" s="162">
        <v>0</v>
      </c>
      <c r="AF812" s="162">
        <v>0</v>
      </c>
      <c r="AG812" s="161">
        <v>0</v>
      </c>
      <c r="AH812" s="162">
        <v>1</v>
      </c>
      <c r="AI812" s="163">
        <v>0</v>
      </c>
      <c r="AJ812" s="162">
        <v>0</v>
      </c>
      <c r="AK812" s="163">
        <v>1</v>
      </c>
      <c r="AL812" s="164">
        <v>2008</v>
      </c>
      <c r="AM812" s="165">
        <f t="shared" si="561"/>
        <v>7.6048944808116197</v>
      </c>
      <c r="AN812" s="160">
        <v>0</v>
      </c>
      <c r="AO812" s="160">
        <v>0</v>
      </c>
      <c r="AP812" s="160">
        <v>0</v>
      </c>
      <c r="AQ812" s="166">
        <v>1</v>
      </c>
      <c r="AR812" s="160" t="s">
        <v>106</v>
      </c>
      <c r="AS812" s="166" t="s">
        <v>106</v>
      </c>
      <c r="AT812" s="167" t="s">
        <v>106</v>
      </c>
      <c r="AU812" s="168" t="s">
        <v>106</v>
      </c>
      <c r="AV812" s="153">
        <v>0</v>
      </c>
      <c r="AW812" s="169">
        <v>1</v>
      </c>
      <c r="AX812" s="153" t="s">
        <v>106</v>
      </c>
      <c r="AY812" s="169" t="s">
        <v>106</v>
      </c>
      <c r="BA812" s="168"/>
      <c r="BB812" s="153" t="s">
        <v>106</v>
      </c>
      <c r="BC812" s="168" t="s">
        <v>106</v>
      </c>
      <c r="BD812" s="168" t="s">
        <v>2</v>
      </c>
      <c r="BK812" s="168"/>
      <c r="BN812" s="168"/>
      <c r="BQ812" s="154">
        <v>44.5</v>
      </c>
      <c r="BR812" s="153">
        <v>1</v>
      </c>
      <c r="BS812" s="153">
        <v>0</v>
      </c>
      <c r="BT812" s="153">
        <v>0</v>
      </c>
      <c r="BU812" s="153">
        <v>0</v>
      </c>
      <c r="BV812" s="153">
        <v>0</v>
      </c>
      <c r="BW812" s="153">
        <v>0</v>
      </c>
      <c r="BX812" s="153">
        <v>0</v>
      </c>
      <c r="BY812" s="168">
        <v>0</v>
      </c>
      <c r="BZ812" s="153">
        <v>0</v>
      </c>
      <c r="CA812" s="153">
        <v>0</v>
      </c>
      <c r="CB812" s="153">
        <v>0</v>
      </c>
      <c r="CC812" s="168">
        <v>1</v>
      </c>
      <c r="CD812" s="153">
        <v>0</v>
      </c>
      <c r="CE812" s="153">
        <v>0</v>
      </c>
      <c r="CF812" s="153">
        <v>0</v>
      </c>
      <c r="CG812" s="153">
        <v>0</v>
      </c>
      <c r="CH812" s="168">
        <v>0</v>
      </c>
      <c r="CI812" s="153">
        <v>0</v>
      </c>
      <c r="CJ812" s="153">
        <v>0</v>
      </c>
      <c r="CK812" s="153">
        <v>1</v>
      </c>
      <c r="CL812" s="153">
        <v>1</v>
      </c>
      <c r="CM812" s="153">
        <v>0</v>
      </c>
      <c r="CN812" s="153">
        <v>0</v>
      </c>
      <c r="CO812" s="153">
        <v>0</v>
      </c>
      <c r="CP812" s="153">
        <v>0</v>
      </c>
      <c r="CQ812" s="153">
        <v>0</v>
      </c>
      <c r="CR812" s="153">
        <v>0</v>
      </c>
      <c r="CS812" s="168">
        <v>0</v>
      </c>
      <c r="CY812" s="171"/>
      <c r="DD812" s="171" t="s">
        <v>86</v>
      </c>
    </row>
    <row r="813" spans="1:108" s="189" customFormat="1" x14ac:dyDescent="0.25">
      <c r="A813" s="189">
        <v>812</v>
      </c>
      <c r="B813" s="189">
        <v>52</v>
      </c>
      <c r="C813" s="190" t="s">
        <v>516</v>
      </c>
      <c r="D813" s="191">
        <v>6.9290000000000003</v>
      </c>
      <c r="E813" s="192">
        <v>0.35099999999999998</v>
      </c>
      <c r="F813" s="193">
        <f t="shared" si="558"/>
        <v>19.740740740740744</v>
      </c>
      <c r="G813" s="193">
        <f t="shared" si="542"/>
        <v>6.5780000000000003</v>
      </c>
      <c r="H813" s="194">
        <f t="shared" si="543"/>
        <v>7.28</v>
      </c>
      <c r="I813" s="195">
        <f t="shared" si="580"/>
        <v>0.27982908448508376</v>
      </c>
      <c r="J813" s="196">
        <f t="shared" si="581"/>
        <v>1.4175206906373847E-2</v>
      </c>
      <c r="K813" s="196">
        <f t="shared" si="582"/>
        <v>70.545707488075706</v>
      </c>
      <c r="L813" s="196">
        <f t="shared" si="583"/>
        <v>0.2656538775787099</v>
      </c>
      <c r="M813" s="196">
        <f t="shared" si="584"/>
        <v>0.29400429139145762</v>
      </c>
      <c r="N813" s="197">
        <v>1</v>
      </c>
      <c r="O813" s="198">
        <v>0</v>
      </c>
      <c r="P813" s="197">
        <v>0</v>
      </c>
      <c r="Q813" s="198">
        <v>0</v>
      </c>
      <c r="R813" s="198">
        <v>1</v>
      </c>
      <c r="S813" s="198">
        <v>0</v>
      </c>
      <c r="T813" s="198">
        <v>0</v>
      </c>
      <c r="U813" s="197">
        <v>4596</v>
      </c>
      <c r="V813" s="198">
        <v>8</v>
      </c>
      <c r="W813" s="198">
        <f t="shared" si="573"/>
        <v>4587</v>
      </c>
      <c r="X813" s="198">
        <f t="shared" si="559"/>
        <v>1</v>
      </c>
      <c r="Y813" s="193">
        <v>10.683</v>
      </c>
      <c r="Z813" s="193">
        <v>7.8520000000000003</v>
      </c>
      <c r="AA813" s="198">
        <v>1</v>
      </c>
      <c r="AB813" s="198">
        <v>0</v>
      </c>
      <c r="AC813" s="198">
        <v>0</v>
      </c>
      <c r="AD813" s="198">
        <v>0</v>
      </c>
      <c r="AE813" s="198">
        <v>0</v>
      </c>
      <c r="AF813" s="198">
        <v>1</v>
      </c>
      <c r="AG813" s="197">
        <v>0</v>
      </c>
      <c r="AH813" s="198">
        <v>1</v>
      </c>
      <c r="AI813" s="199">
        <v>0</v>
      </c>
      <c r="AJ813" s="198">
        <v>1</v>
      </c>
      <c r="AK813" s="199">
        <v>0</v>
      </c>
      <c r="AL813" s="200">
        <v>2008</v>
      </c>
      <c r="AM813" s="201">
        <f t="shared" si="561"/>
        <v>7.6048944808116197</v>
      </c>
      <c r="AN813" s="196" t="s">
        <v>106</v>
      </c>
      <c r="AO813" s="196" t="s">
        <v>106</v>
      </c>
      <c r="AP813" s="196" t="s">
        <v>106</v>
      </c>
      <c r="AQ813" s="202" t="s">
        <v>106</v>
      </c>
      <c r="AR813" s="196" t="s">
        <v>106</v>
      </c>
      <c r="AS813" s="202" t="s">
        <v>106</v>
      </c>
      <c r="AT813" s="203" t="s">
        <v>106</v>
      </c>
      <c r="AU813" s="204" t="s">
        <v>106</v>
      </c>
      <c r="AV813" s="189">
        <v>0.66700000000000004</v>
      </c>
      <c r="AW813" s="205">
        <v>0.33300000000000002</v>
      </c>
      <c r="AX813" s="189" t="s">
        <v>106</v>
      </c>
      <c r="AY813" s="205" t="s">
        <v>106</v>
      </c>
      <c r="BA813" s="204"/>
      <c r="BB813" s="189">
        <v>0.32400000000000001</v>
      </c>
      <c r="BC813" s="204">
        <v>0.67600000000000005</v>
      </c>
      <c r="BD813" s="204" t="s">
        <v>13</v>
      </c>
      <c r="BK813" s="204"/>
      <c r="BN813" s="204"/>
      <c r="BQ813" s="190">
        <v>35.192</v>
      </c>
      <c r="BR813" s="189">
        <v>1</v>
      </c>
      <c r="BS813" s="189">
        <v>0</v>
      </c>
      <c r="BT813" s="189">
        <v>0</v>
      </c>
      <c r="BU813" s="189">
        <v>0</v>
      </c>
      <c r="BV813" s="189">
        <v>0</v>
      </c>
      <c r="BW813" s="189">
        <v>0</v>
      </c>
      <c r="BX813" s="189">
        <v>0</v>
      </c>
      <c r="BY813" s="204">
        <v>0</v>
      </c>
      <c r="BZ813" s="189">
        <v>0</v>
      </c>
      <c r="CA813" s="189">
        <v>0</v>
      </c>
      <c r="CB813" s="189">
        <v>0</v>
      </c>
      <c r="CC813" s="204">
        <v>1</v>
      </c>
      <c r="CD813" s="189">
        <v>0</v>
      </c>
      <c r="CE813" s="189">
        <v>0</v>
      </c>
      <c r="CF813" s="189">
        <v>0</v>
      </c>
      <c r="CG813" s="189">
        <v>0</v>
      </c>
      <c r="CH813" s="204">
        <v>0</v>
      </c>
      <c r="CI813" s="189">
        <v>0</v>
      </c>
      <c r="CJ813" s="189">
        <v>0</v>
      </c>
      <c r="CK813" s="189">
        <v>1</v>
      </c>
      <c r="CL813" s="189">
        <v>1</v>
      </c>
      <c r="CM813" s="189">
        <v>0</v>
      </c>
      <c r="CN813" s="189">
        <v>0</v>
      </c>
      <c r="CO813" s="189">
        <v>0</v>
      </c>
      <c r="CP813" s="189">
        <v>0</v>
      </c>
      <c r="CQ813" s="189">
        <v>0</v>
      </c>
      <c r="CR813" s="189">
        <v>0</v>
      </c>
      <c r="CS813" s="204">
        <v>0</v>
      </c>
      <c r="CY813" s="206"/>
      <c r="DD813" s="206" t="s">
        <v>86</v>
      </c>
    </row>
    <row r="814" spans="1:108" x14ac:dyDescent="0.25">
      <c r="A814">
        <v>813</v>
      </c>
      <c r="B814">
        <v>53</v>
      </c>
      <c r="C814" s="25" t="s">
        <v>517</v>
      </c>
      <c r="D814" s="12">
        <v>6.55</v>
      </c>
      <c r="E814" s="14">
        <v>0.03</v>
      </c>
      <c r="F814" s="7">
        <f t="shared" si="558"/>
        <v>218.33333333333334</v>
      </c>
      <c r="G814" s="7">
        <f t="shared" si="542"/>
        <v>6.52</v>
      </c>
      <c r="H814" s="16">
        <f t="shared" si="543"/>
        <v>6.58</v>
      </c>
      <c r="I814" s="11">
        <f t="shared" si="580"/>
        <v>0.38170020583238862</v>
      </c>
      <c r="J814" s="33">
        <f t="shared" si="581"/>
        <v>1.7482452175529249E-3</v>
      </c>
      <c r="K814" s="33">
        <f t="shared" si="582"/>
        <v>572.00213674814574</v>
      </c>
      <c r="L814" s="33">
        <f t="shared" si="583"/>
        <v>0.37995196061483572</v>
      </c>
      <c r="M814" s="33">
        <f t="shared" si="584"/>
        <v>0.38344845104994152</v>
      </c>
      <c r="N814" s="8">
        <v>1</v>
      </c>
      <c r="O814" s="9">
        <v>0</v>
      </c>
      <c r="P814" s="8">
        <v>0</v>
      </c>
      <c r="Q814" s="9">
        <v>0</v>
      </c>
      <c r="R814" s="9">
        <v>0</v>
      </c>
      <c r="S814" s="9">
        <v>1</v>
      </c>
      <c r="T814" s="9">
        <v>0</v>
      </c>
      <c r="U814" s="8">
        <v>279522</v>
      </c>
      <c r="V814" s="9">
        <v>4</v>
      </c>
      <c r="W814" s="9">
        <f t="shared" si="573"/>
        <v>279517</v>
      </c>
      <c r="X814" s="9">
        <f t="shared" si="559"/>
        <v>8</v>
      </c>
      <c r="Y814" s="7">
        <v>13.04</v>
      </c>
      <c r="Z814" s="7">
        <f>BQ814-Y814-6</f>
        <v>22.4</v>
      </c>
      <c r="AA814" s="9">
        <v>1</v>
      </c>
      <c r="AB814" s="9">
        <v>0</v>
      </c>
      <c r="AC814" s="9">
        <v>0</v>
      </c>
      <c r="AD814" s="9">
        <v>0</v>
      </c>
      <c r="AE814" s="9">
        <v>1</v>
      </c>
      <c r="AF814" s="9">
        <v>0</v>
      </c>
      <c r="AG814" s="8">
        <v>0</v>
      </c>
      <c r="AH814" s="9">
        <v>0</v>
      </c>
      <c r="AI814" s="30">
        <v>1</v>
      </c>
      <c r="AJ814" s="9">
        <v>1</v>
      </c>
      <c r="AK814" s="30">
        <v>0</v>
      </c>
      <c r="AL814" s="21">
        <v>1980</v>
      </c>
      <c r="AM814" s="23">
        <f t="shared" si="561"/>
        <v>7.5908521236885811</v>
      </c>
      <c r="AN814" s="33" t="s">
        <v>106</v>
      </c>
      <c r="AO814" s="33" t="s">
        <v>106</v>
      </c>
      <c r="AP814" s="33" t="s">
        <v>106</v>
      </c>
      <c r="AQ814" s="43" t="s">
        <v>106</v>
      </c>
      <c r="AR814" s="33" t="s">
        <v>106</v>
      </c>
      <c r="AS814" s="43" t="s">
        <v>106</v>
      </c>
      <c r="AT814" s="42">
        <v>1</v>
      </c>
      <c r="AU814" s="18">
        <v>0</v>
      </c>
      <c r="AV814">
        <v>1</v>
      </c>
      <c r="AW814" s="40">
        <v>0</v>
      </c>
      <c r="AX814" t="s">
        <v>106</v>
      </c>
      <c r="AY814" s="40" t="s">
        <v>106</v>
      </c>
      <c r="BA814" s="18"/>
      <c r="BB814" t="s">
        <v>106</v>
      </c>
      <c r="BC814" s="18" t="s">
        <v>106</v>
      </c>
      <c r="BD814" s="18" t="s">
        <v>244</v>
      </c>
      <c r="BK814" s="18"/>
      <c r="BN814" s="18"/>
      <c r="BQ814" s="25">
        <v>41.44</v>
      </c>
      <c r="BR814">
        <v>1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 s="18">
        <v>0</v>
      </c>
      <c r="BZ814">
        <v>0</v>
      </c>
      <c r="CA814">
        <v>0</v>
      </c>
      <c r="CB814">
        <v>1</v>
      </c>
      <c r="CC814" s="18">
        <v>0</v>
      </c>
      <c r="CD814">
        <v>0</v>
      </c>
      <c r="CE814">
        <v>0</v>
      </c>
      <c r="CF814">
        <v>0</v>
      </c>
      <c r="CG814">
        <v>0</v>
      </c>
      <c r="CH814" s="18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 s="18">
        <v>1</v>
      </c>
      <c r="DD814" s="34" t="s">
        <v>86</v>
      </c>
    </row>
    <row r="815" spans="1:108" x14ac:dyDescent="0.25">
      <c r="A815">
        <v>814</v>
      </c>
      <c r="B815">
        <v>53</v>
      </c>
      <c r="C815" s="25" t="s">
        <v>517</v>
      </c>
      <c r="D815" s="12">
        <v>9.6</v>
      </c>
      <c r="E815" s="14">
        <v>4.4000000000000004</v>
      </c>
      <c r="F815" s="7">
        <f t="shared" si="558"/>
        <v>2.1818181818181817</v>
      </c>
      <c r="G815" s="7">
        <f t="shared" si="542"/>
        <v>5.1999999999999993</v>
      </c>
      <c r="H815" s="16">
        <f t="shared" si="543"/>
        <v>14</v>
      </c>
      <c r="I815" s="11">
        <f t="shared" ref="I815:I817" si="586">IFERROR(F815/SQRT(F815^2+W815), "X")</f>
        <v>4.1267745656530536E-3</v>
      </c>
      <c r="J815" s="33">
        <f t="shared" ref="J815:J817" si="587">IFERROR(SQRT((1-I815^2)/W815), "X")</f>
        <v>1.891438342590983E-3</v>
      </c>
      <c r="K815" s="33">
        <f t="shared" ref="K815:K817" si="588">IFERROR(1/J815, "X")</f>
        <v>528.69817507778339</v>
      </c>
      <c r="L815" s="33">
        <f t="shared" ref="L815:L817" si="589">IFERROR(I815-J815, "X")</f>
        <v>2.2353362230620706E-3</v>
      </c>
      <c r="M815" s="33">
        <f t="shared" ref="M815:M817" si="590">IFERROR(I815+J815, "X")</f>
        <v>6.0182129082440366E-3</v>
      </c>
      <c r="N815" s="8">
        <v>1</v>
      </c>
      <c r="O815" s="9">
        <v>0</v>
      </c>
      <c r="P815" s="8">
        <v>0</v>
      </c>
      <c r="Q815" s="9">
        <v>0</v>
      </c>
      <c r="R815" s="9">
        <v>0</v>
      </c>
      <c r="S815" s="9">
        <v>1</v>
      </c>
      <c r="T815" s="9">
        <v>0</v>
      </c>
      <c r="U815" s="8">
        <v>279522</v>
      </c>
      <c r="V815" s="9">
        <v>4</v>
      </c>
      <c r="W815" s="9">
        <f t="shared" ref="W815:W817" si="591">U815-V815-1</f>
        <v>279517</v>
      </c>
      <c r="X815" s="9">
        <f t="shared" si="559"/>
        <v>8</v>
      </c>
      <c r="Y815" s="7">
        <v>13.04</v>
      </c>
      <c r="Z815" s="7">
        <f t="shared" ref="Z815:Z821" si="592">BQ815-Y815-6</f>
        <v>22.4</v>
      </c>
      <c r="AA815" s="9">
        <v>1</v>
      </c>
      <c r="AB815" s="9">
        <v>0</v>
      </c>
      <c r="AC815" s="9">
        <v>0</v>
      </c>
      <c r="AD815" s="9">
        <v>0</v>
      </c>
      <c r="AE815" s="9">
        <v>1</v>
      </c>
      <c r="AF815" s="9">
        <v>0</v>
      </c>
      <c r="AG815" s="8">
        <v>0</v>
      </c>
      <c r="AH815" s="9">
        <v>0</v>
      </c>
      <c r="AI815" s="30">
        <v>1</v>
      </c>
      <c r="AJ815" s="9">
        <v>1</v>
      </c>
      <c r="AK815" s="30">
        <v>0</v>
      </c>
      <c r="AL815" s="21">
        <v>1980</v>
      </c>
      <c r="AM815" s="23">
        <f t="shared" si="561"/>
        <v>7.5908521236885811</v>
      </c>
      <c r="AN815" s="33" t="s">
        <v>106</v>
      </c>
      <c r="AO815" s="33" t="s">
        <v>106</v>
      </c>
      <c r="AP815" s="33" t="s">
        <v>106</v>
      </c>
      <c r="AQ815" s="43" t="s">
        <v>106</v>
      </c>
      <c r="AR815" s="33" t="s">
        <v>106</v>
      </c>
      <c r="AS815" s="43" t="s">
        <v>106</v>
      </c>
      <c r="AT815" s="42">
        <v>1</v>
      </c>
      <c r="AU815" s="18">
        <v>0</v>
      </c>
      <c r="AV815">
        <v>1</v>
      </c>
      <c r="AW815" s="40">
        <v>0</v>
      </c>
      <c r="AX815" t="s">
        <v>106</v>
      </c>
      <c r="AY815" s="40" t="s">
        <v>106</v>
      </c>
      <c r="BA815" s="18"/>
      <c r="BB815" t="s">
        <v>106</v>
      </c>
      <c r="BC815" s="18" t="s">
        <v>106</v>
      </c>
      <c r="BD815" s="18" t="s">
        <v>244</v>
      </c>
      <c r="BK815" s="18"/>
      <c r="BN815" s="18"/>
      <c r="BQ815" s="25">
        <v>41.44</v>
      </c>
      <c r="BR815">
        <v>0</v>
      </c>
      <c r="BS815">
        <v>0</v>
      </c>
      <c r="BT815">
        <v>0</v>
      </c>
      <c r="BU815">
        <v>0</v>
      </c>
      <c r="BV815">
        <v>1</v>
      </c>
      <c r="BW815">
        <v>0</v>
      </c>
      <c r="BX815">
        <v>0</v>
      </c>
      <c r="BY815" s="18">
        <v>0</v>
      </c>
      <c r="BZ815">
        <v>0</v>
      </c>
      <c r="CA815">
        <v>1</v>
      </c>
      <c r="CB815">
        <v>0</v>
      </c>
      <c r="CC815" s="18">
        <v>0</v>
      </c>
      <c r="CD815">
        <v>0</v>
      </c>
      <c r="CE815">
        <v>0</v>
      </c>
      <c r="CF815">
        <v>0</v>
      </c>
      <c r="CG815">
        <v>0</v>
      </c>
      <c r="CH815" s="18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 s="18">
        <v>1</v>
      </c>
      <c r="DD815" s="34" t="s">
        <v>86</v>
      </c>
    </row>
    <row r="816" spans="1:108" x14ac:dyDescent="0.25">
      <c r="A816">
        <v>815</v>
      </c>
      <c r="B816">
        <v>53</v>
      </c>
      <c r="C816" s="25" t="s">
        <v>517</v>
      </c>
      <c r="D816" s="12">
        <v>9.8000000000000007</v>
      </c>
      <c r="E816" s="14">
        <v>2</v>
      </c>
      <c r="F816" s="7">
        <f t="shared" si="558"/>
        <v>4.9000000000000004</v>
      </c>
      <c r="G816" s="7">
        <f t="shared" si="542"/>
        <v>7.8000000000000007</v>
      </c>
      <c r="H816" s="16">
        <f t="shared" si="543"/>
        <v>11.8</v>
      </c>
      <c r="I816" s="11">
        <f t="shared" si="586"/>
        <v>9.2677287664315669E-3</v>
      </c>
      <c r="J816" s="33">
        <f t="shared" si="587"/>
        <v>1.8913732176390956E-3</v>
      </c>
      <c r="K816" s="33">
        <f t="shared" si="588"/>
        <v>528.7163795457825</v>
      </c>
      <c r="L816" s="33">
        <f t="shared" si="589"/>
        <v>7.3763555487924709E-3</v>
      </c>
      <c r="M816" s="33">
        <f t="shared" si="590"/>
        <v>1.1159101984070663E-2</v>
      </c>
      <c r="N816" s="8">
        <v>1</v>
      </c>
      <c r="O816" s="9">
        <v>0</v>
      </c>
      <c r="P816" s="8">
        <v>0</v>
      </c>
      <c r="Q816" s="9">
        <v>0</v>
      </c>
      <c r="R816" s="9">
        <v>0</v>
      </c>
      <c r="S816" s="9">
        <v>1</v>
      </c>
      <c r="T816" s="9">
        <v>0</v>
      </c>
      <c r="U816" s="8">
        <v>279522</v>
      </c>
      <c r="V816" s="9">
        <v>4</v>
      </c>
      <c r="W816" s="9">
        <f t="shared" si="591"/>
        <v>279517</v>
      </c>
      <c r="X816" s="9">
        <f t="shared" si="559"/>
        <v>8</v>
      </c>
      <c r="Y816" s="7">
        <v>13.04</v>
      </c>
      <c r="Z816" s="7">
        <f t="shared" si="592"/>
        <v>22.4</v>
      </c>
      <c r="AA816" s="9">
        <v>1</v>
      </c>
      <c r="AB816" s="9">
        <v>0</v>
      </c>
      <c r="AC816" s="9">
        <v>0</v>
      </c>
      <c r="AD816" s="9">
        <v>0</v>
      </c>
      <c r="AE816" s="9">
        <v>1</v>
      </c>
      <c r="AF816" s="9">
        <v>0</v>
      </c>
      <c r="AG816" s="8">
        <v>0</v>
      </c>
      <c r="AH816" s="9">
        <v>0</v>
      </c>
      <c r="AI816" s="30">
        <v>1</v>
      </c>
      <c r="AJ816" s="9">
        <v>1</v>
      </c>
      <c r="AK816" s="30">
        <v>0</v>
      </c>
      <c r="AL816" s="21">
        <v>1980</v>
      </c>
      <c r="AM816" s="23">
        <f t="shared" si="561"/>
        <v>7.5908521236885811</v>
      </c>
      <c r="AN816" s="33" t="s">
        <v>106</v>
      </c>
      <c r="AO816" s="33" t="s">
        <v>106</v>
      </c>
      <c r="AP816" s="33" t="s">
        <v>106</v>
      </c>
      <c r="AQ816" s="43" t="s">
        <v>106</v>
      </c>
      <c r="AR816" s="33" t="s">
        <v>106</v>
      </c>
      <c r="AS816" s="43" t="s">
        <v>106</v>
      </c>
      <c r="AT816" s="42">
        <v>1</v>
      </c>
      <c r="AU816" s="18">
        <v>0</v>
      </c>
      <c r="AV816">
        <v>1</v>
      </c>
      <c r="AW816" s="40">
        <v>0</v>
      </c>
      <c r="AX816" t="s">
        <v>106</v>
      </c>
      <c r="AY816" s="40" t="s">
        <v>106</v>
      </c>
      <c r="BA816" s="18"/>
      <c r="BB816" t="s">
        <v>106</v>
      </c>
      <c r="BC816" s="18" t="s">
        <v>106</v>
      </c>
      <c r="BD816" s="18" t="s">
        <v>244</v>
      </c>
      <c r="BK816" s="18"/>
      <c r="BN816" s="18"/>
      <c r="BQ816" s="25">
        <v>41.44</v>
      </c>
      <c r="BR816">
        <v>0</v>
      </c>
      <c r="BS816">
        <v>0</v>
      </c>
      <c r="BT816">
        <v>0</v>
      </c>
      <c r="BU816">
        <v>0</v>
      </c>
      <c r="BV816">
        <v>1</v>
      </c>
      <c r="BW816">
        <v>0</v>
      </c>
      <c r="BX816">
        <v>0</v>
      </c>
      <c r="BY816" s="18">
        <v>0</v>
      </c>
      <c r="BZ816">
        <v>0</v>
      </c>
      <c r="CA816">
        <v>1</v>
      </c>
      <c r="CB816">
        <v>0</v>
      </c>
      <c r="CC816" s="18">
        <v>0</v>
      </c>
      <c r="CD816">
        <v>0</v>
      </c>
      <c r="CE816">
        <v>0</v>
      </c>
      <c r="CF816">
        <v>0</v>
      </c>
      <c r="CG816">
        <v>0</v>
      </c>
      <c r="CH816" s="18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 s="18">
        <v>1</v>
      </c>
      <c r="DD816" s="34" t="s">
        <v>86</v>
      </c>
    </row>
    <row r="817" spans="1:108" x14ac:dyDescent="0.25">
      <c r="A817">
        <v>816</v>
      </c>
      <c r="B817">
        <v>53</v>
      </c>
      <c r="C817" s="25" t="s">
        <v>517</v>
      </c>
      <c r="D817" s="12">
        <v>9.8000000000000007</v>
      </c>
      <c r="E817" s="14">
        <v>1.8</v>
      </c>
      <c r="F817" s="7">
        <f t="shared" si="558"/>
        <v>5.4444444444444446</v>
      </c>
      <c r="G817" s="7">
        <f t="shared" si="542"/>
        <v>8</v>
      </c>
      <c r="H817" s="16">
        <f t="shared" si="543"/>
        <v>11.600000000000001</v>
      </c>
      <c r="I817" s="11">
        <f t="shared" si="586"/>
        <v>1.0297372675932382E-2</v>
      </c>
      <c r="J817" s="33">
        <f t="shared" si="587"/>
        <v>1.8913541649671723E-3</v>
      </c>
      <c r="K817" s="33">
        <f t="shared" si="588"/>
        <v>528.72170560258701</v>
      </c>
      <c r="L817" s="33">
        <f t="shared" si="589"/>
        <v>8.4060185109652089E-3</v>
      </c>
      <c r="M817" s="33">
        <f t="shared" si="590"/>
        <v>1.2188726840899555E-2</v>
      </c>
      <c r="N817" s="8">
        <v>1</v>
      </c>
      <c r="O817" s="9">
        <v>0</v>
      </c>
      <c r="P817" s="8">
        <v>0</v>
      </c>
      <c r="Q817" s="9">
        <v>0</v>
      </c>
      <c r="R817" s="9">
        <v>0</v>
      </c>
      <c r="S817" s="9">
        <v>1</v>
      </c>
      <c r="T817" s="9">
        <v>0</v>
      </c>
      <c r="U817" s="8">
        <v>279522</v>
      </c>
      <c r="V817" s="9">
        <v>4</v>
      </c>
      <c r="W817" s="9">
        <f t="shared" si="591"/>
        <v>279517</v>
      </c>
      <c r="X817" s="9">
        <f t="shared" si="559"/>
        <v>8</v>
      </c>
      <c r="Y817" s="7">
        <v>13.04</v>
      </c>
      <c r="Z817" s="7">
        <f t="shared" si="592"/>
        <v>22.4</v>
      </c>
      <c r="AA817" s="9">
        <v>1</v>
      </c>
      <c r="AB817" s="9">
        <v>0</v>
      </c>
      <c r="AC817" s="9">
        <v>0</v>
      </c>
      <c r="AD817" s="9">
        <v>0</v>
      </c>
      <c r="AE817" s="9">
        <v>1</v>
      </c>
      <c r="AF817" s="9">
        <v>0</v>
      </c>
      <c r="AG817" s="8">
        <v>0</v>
      </c>
      <c r="AH817" s="9">
        <v>0</v>
      </c>
      <c r="AI817" s="30">
        <v>1</v>
      </c>
      <c r="AJ817" s="9">
        <v>1</v>
      </c>
      <c r="AK817" s="30">
        <v>0</v>
      </c>
      <c r="AL817" s="21">
        <v>1980</v>
      </c>
      <c r="AM817" s="23">
        <f t="shared" si="561"/>
        <v>7.5908521236885811</v>
      </c>
      <c r="AN817" s="33" t="s">
        <v>106</v>
      </c>
      <c r="AO817" s="33" t="s">
        <v>106</v>
      </c>
      <c r="AP817" s="33" t="s">
        <v>106</v>
      </c>
      <c r="AQ817" s="43" t="s">
        <v>106</v>
      </c>
      <c r="AR817" s="33" t="s">
        <v>106</v>
      </c>
      <c r="AS817" s="43" t="s">
        <v>106</v>
      </c>
      <c r="AT817" s="42">
        <v>1</v>
      </c>
      <c r="AU817" s="18">
        <v>0</v>
      </c>
      <c r="AV817">
        <v>1</v>
      </c>
      <c r="AW817" s="40">
        <v>0</v>
      </c>
      <c r="AX817" t="s">
        <v>106</v>
      </c>
      <c r="AY817" s="40" t="s">
        <v>106</v>
      </c>
      <c r="BA817" s="18"/>
      <c r="BB817" t="s">
        <v>106</v>
      </c>
      <c r="BC817" s="18" t="s">
        <v>106</v>
      </c>
      <c r="BD817" s="18" t="s">
        <v>244</v>
      </c>
      <c r="BK817" s="18"/>
      <c r="BN817" s="18"/>
      <c r="BQ817" s="25">
        <v>41.44</v>
      </c>
      <c r="BR817">
        <v>0</v>
      </c>
      <c r="BS817">
        <v>0</v>
      </c>
      <c r="BT817">
        <v>0</v>
      </c>
      <c r="BU817">
        <v>0</v>
      </c>
      <c r="BV817">
        <v>1</v>
      </c>
      <c r="BW817">
        <v>0</v>
      </c>
      <c r="BX817">
        <v>0</v>
      </c>
      <c r="BY817" s="18">
        <v>0</v>
      </c>
      <c r="BZ817">
        <v>0</v>
      </c>
      <c r="CA817">
        <v>1</v>
      </c>
      <c r="CB817">
        <v>0</v>
      </c>
      <c r="CC817" s="18">
        <v>0</v>
      </c>
      <c r="CD817">
        <v>0</v>
      </c>
      <c r="CE817">
        <v>0</v>
      </c>
      <c r="CF817">
        <v>0</v>
      </c>
      <c r="CG817">
        <v>0</v>
      </c>
      <c r="CH817" s="18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 s="18">
        <v>1</v>
      </c>
      <c r="DD817" s="34" t="s">
        <v>86</v>
      </c>
    </row>
    <row r="818" spans="1:108" x14ac:dyDescent="0.25">
      <c r="A818">
        <v>817</v>
      </c>
      <c r="B818">
        <v>53</v>
      </c>
      <c r="C818" s="25" t="s">
        <v>517</v>
      </c>
      <c r="D818" s="12">
        <v>7.43</v>
      </c>
      <c r="E818" s="14">
        <v>0.04</v>
      </c>
      <c r="F818" s="7">
        <f t="shared" si="558"/>
        <v>185.75</v>
      </c>
      <c r="G818" s="7">
        <f t="shared" si="542"/>
        <v>7.39</v>
      </c>
      <c r="H818" s="16">
        <f t="shared" si="543"/>
        <v>7.47</v>
      </c>
      <c r="I818" s="11">
        <f t="shared" ref="I818:I821" si="593">IFERROR(F818/SQRT(F818^2+W818), "X")</f>
        <v>0.33147450030132436</v>
      </c>
      <c r="J818" s="33">
        <f t="shared" ref="J818:J821" si="594">IFERROR(SQRT((1-I818^2)/W818), "X")</f>
        <v>1.7845195170999963E-3</v>
      </c>
      <c r="K818" s="33">
        <f t="shared" ref="K818:K821" si="595">IFERROR(1/J818, "X")</f>
        <v>560.37493029221071</v>
      </c>
      <c r="L818" s="33">
        <f t="shared" ref="L818:L821" si="596">IFERROR(I818-J818, "X")</f>
        <v>0.32968998078422435</v>
      </c>
      <c r="M818" s="33">
        <f t="shared" ref="M818:M821" si="597">IFERROR(I818+J818, "X")</f>
        <v>0.33325901981842437</v>
      </c>
      <c r="N818" s="8">
        <v>1</v>
      </c>
      <c r="O818" s="9">
        <v>0</v>
      </c>
      <c r="P818" s="8">
        <v>0</v>
      </c>
      <c r="Q818" s="9">
        <v>0</v>
      </c>
      <c r="R818" s="9">
        <v>0</v>
      </c>
      <c r="S818" s="9">
        <v>1</v>
      </c>
      <c r="T818" s="9">
        <v>0</v>
      </c>
      <c r="U818" s="8">
        <v>279522</v>
      </c>
      <c r="V818" s="9">
        <v>4</v>
      </c>
      <c r="W818" s="9">
        <f t="shared" ref="W818:W820" si="598">U818-V818-1</f>
        <v>279517</v>
      </c>
      <c r="X818" s="9">
        <f t="shared" si="559"/>
        <v>8</v>
      </c>
      <c r="Y818" s="7">
        <v>13.04</v>
      </c>
      <c r="Z818" s="7">
        <f t="shared" si="592"/>
        <v>22.4</v>
      </c>
      <c r="AA818" s="9">
        <v>1</v>
      </c>
      <c r="AB818" s="9">
        <v>0</v>
      </c>
      <c r="AC818" s="9">
        <v>1</v>
      </c>
      <c r="AD818" s="9">
        <v>0</v>
      </c>
      <c r="AE818" s="9">
        <v>0</v>
      </c>
      <c r="AF818" s="9">
        <v>0</v>
      </c>
      <c r="AG818" s="8">
        <v>0</v>
      </c>
      <c r="AH818" s="9">
        <v>0</v>
      </c>
      <c r="AI818" s="30">
        <v>1</v>
      </c>
      <c r="AJ818" s="9">
        <v>1</v>
      </c>
      <c r="AK818" s="30">
        <v>0</v>
      </c>
      <c r="AL818" s="21">
        <v>1980</v>
      </c>
      <c r="AM818" s="23">
        <f t="shared" si="561"/>
        <v>7.5908521236885811</v>
      </c>
      <c r="AN818" s="33" t="s">
        <v>106</v>
      </c>
      <c r="AO818" s="33" t="s">
        <v>106</v>
      </c>
      <c r="AP818" s="33" t="s">
        <v>106</v>
      </c>
      <c r="AQ818" s="43" t="s">
        <v>106</v>
      </c>
      <c r="AR818" s="33" t="s">
        <v>106</v>
      </c>
      <c r="AS818" s="43" t="s">
        <v>106</v>
      </c>
      <c r="AT818" s="42">
        <v>1</v>
      </c>
      <c r="AU818" s="18">
        <v>0</v>
      </c>
      <c r="AV818">
        <v>1</v>
      </c>
      <c r="AW818" s="40">
        <v>0</v>
      </c>
      <c r="AX818" t="s">
        <v>106</v>
      </c>
      <c r="AY818" s="40" t="s">
        <v>106</v>
      </c>
      <c r="BA818" s="18"/>
      <c r="BB818" t="s">
        <v>106</v>
      </c>
      <c r="BC818" s="18" t="s">
        <v>106</v>
      </c>
      <c r="BD818" s="18" t="s">
        <v>244</v>
      </c>
      <c r="BK818" s="18"/>
      <c r="BN818" s="18"/>
      <c r="BQ818" s="25">
        <v>41.44</v>
      </c>
      <c r="BR818">
        <v>1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 s="18">
        <v>0</v>
      </c>
      <c r="BZ818">
        <v>0</v>
      </c>
      <c r="CA818">
        <v>0</v>
      </c>
      <c r="CB818">
        <v>1</v>
      </c>
      <c r="CC818" s="18">
        <v>0</v>
      </c>
      <c r="CD818">
        <v>0</v>
      </c>
      <c r="CE818">
        <v>0</v>
      </c>
      <c r="CF818">
        <v>0</v>
      </c>
      <c r="CG818">
        <v>0</v>
      </c>
      <c r="CH818" s="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 s="18">
        <v>1</v>
      </c>
      <c r="DD818" s="34" t="s">
        <v>86</v>
      </c>
    </row>
    <row r="819" spans="1:108" x14ac:dyDescent="0.25">
      <c r="A819">
        <v>818</v>
      </c>
      <c r="B819">
        <v>53</v>
      </c>
      <c r="C819" s="25" t="s">
        <v>517</v>
      </c>
      <c r="D819" s="12">
        <v>11.8</v>
      </c>
      <c r="E819" s="14">
        <v>5.6</v>
      </c>
      <c r="F819" s="7">
        <f t="shared" si="558"/>
        <v>2.1071428571428572</v>
      </c>
      <c r="G819" s="7">
        <f t="shared" si="542"/>
        <v>6.2000000000000011</v>
      </c>
      <c r="H819" s="16">
        <f t="shared" si="543"/>
        <v>17.399999999999999</v>
      </c>
      <c r="I819" s="11">
        <f t="shared" si="593"/>
        <v>3.9855330766543993E-3</v>
      </c>
      <c r="J819" s="33">
        <f t="shared" si="594"/>
        <v>1.8914394262088674E-3</v>
      </c>
      <c r="K819" s="33">
        <f t="shared" si="595"/>
        <v>528.69787218317833</v>
      </c>
      <c r="L819" s="33">
        <f t="shared" si="596"/>
        <v>2.0940936504455316E-3</v>
      </c>
      <c r="M819" s="33">
        <f t="shared" si="597"/>
        <v>5.8769725028632669E-3</v>
      </c>
      <c r="N819" s="8">
        <v>1</v>
      </c>
      <c r="O819" s="9">
        <v>0</v>
      </c>
      <c r="P819" s="8">
        <v>0</v>
      </c>
      <c r="Q819" s="9">
        <v>0</v>
      </c>
      <c r="R819" s="9">
        <v>0</v>
      </c>
      <c r="S819" s="9">
        <v>1</v>
      </c>
      <c r="T819" s="9">
        <v>0</v>
      </c>
      <c r="U819" s="8">
        <v>279522</v>
      </c>
      <c r="V819" s="9">
        <v>4</v>
      </c>
      <c r="W819" s="9">
        <f t="shared" si="598"/>
        <v>279517</v>
      </c>
      <c r="X819" s="9">
        <f t="shared" si="559"/>
        <v>8</v>
      </c>
      <c r="Y819" s="7">
        <v>13.04</v>
      </c>
      <c r="Z819" s="7">
        <f t="shared" si="592"/>
        <v>22.4</v>
      </c>
      <c r="AA819" s="9">
        <v>1</v>
      </c>
      <c r="AB819" s="9">
        <v>0</v>
      </c>
      <c r="AC819" s="9">
        <v>1</v>
      </c>
      <c r="AD819" s="9">
        <v>0</v>
      </c>
      <c r="AE819" s="9">
        <v>0</v>
      </c>
      <c r="AF819" s="9">
        <v>0</v>
      </c>
      <c r="AG819" s="8">
        <v>0</v>
      </c>
      <c r="AH819" s="9">
        <v>0</v>
      </c>
      <c r="AI819" s="30">
        <v>1</v>
      </c>
      <c r="AJ819" s="9">
        <v>1</v>
      </c>
      <c r="AK819" s="30">
        <v>0</v>
      </c>
      <c r="AL819" s="21">
        <v>1980</v>
      </c>
      <c r="AM819" s="23">
        <f t="shared" si="561"/>
        <v>7.5908521236885811</v>
      </c>
      <c r="AN819" s="33" t="s">
        <v>106</v>
      </c>
      <c r="AO819" s="33" t="s">
        <v>106</v>
      </c>
      <c r="AP819" s="33" t="s">
        <v>106</v>
      </c>
      <c r="AQ819" s="43" t="s">
        <v>106</v>
      </c>
      <c r="AR819" s="33" t="s">
        <v>106</v>
      </c>
      <c r="AS819" s="43" t="s">
        <v>106</v>
      </c>
      <c r="AT819" s="42">
        <v>1</v>
      </c>
      <c r="AU819" s="18">
        <v>0</v>
      </c>
      <c r="AV819">
        <v>1</v>
      </c>
      <c r="AW819" s="40">
        <v>0</v>
      </c>
      <c r="AX819" t="s">
        <v>106</v>
      </c>
      <c r="AY819" s="40" t="s">
        <v>106</v>
      </c>
      <c r="BA819" s="18"/>
      <c r="BB819" t="s">
        <v>106</v>
      </c>
      <c r="BC819" s="18" t="s">
        <v>106</v>
      </c>
      <c r="BD819" s="18" t="s">
        <v>244</v>
      </c>
      <c r="BK819" s="18"/>
      <c r="BN819" s="18"/>
      <c r="BQ819" s="25">
        <v>41.44</v>
      </c>
      <c r="BR819">
        <v>0</v>
      </c>
      <c r="BS819">
        <v>0</v>
      </c>
      <c r="BT819">
        <v>0</v>
      </c>
      <c r="BU819">
        <v>0</v>
      </c>
      <c r="BV819">
        <v>1</v>
      </c>
      <c r="BW819">
        <v>0</v>
      </c>
      <c r="BX819">
        <v>0</v>
      </c>
      <c r="BY819" s="18">
        <v>0</v>
      </c>
      <c r="BZ819">
        <v>0</v>
      </c>
      <c r="CA819">
        <v>1</v>
      </c>
      <c r="CB819">
        <v>0</v>
      </c>
      <c r="CC819" s="18">
        <v>0</v>
      </c>
      <c r="CD819">
        <v>0</v>
      </c>
      <c r="CE819">
        <v>0</v>
      </c>
      <c r="CF819">
        <v>0</v>
      </c>
      <c r="CG819">
        <v>0</v>
      </c>
      <c r="CH819" s="18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 s="18">
        <v>1</v>
      </c>
      <c r="DD819" s="34" t="s">
        <v>86</v>
      </c>
    </row>
    <row r="820" spans="1:108" x14ac:dyDescent="0.25">
      <c r="A820">
        <v>819</v>
      </c>
      <c r="B820">
        <v>53</v>
      </c>
      <c r="C820" s="25" t="s">
        <v>517</v>
      </c>
      <c r="D820" s="12">
        <v>11.3</v>
      </c>
      <c r="E820" s="14">
        <v>2.2999999999999998</v>
      </c>
      <c r="F820" s="7">
        <f t="shared" si="558"/>
        <v>4.9130434782608701</v>
      </c>
      <c r="G820" s="7">
        <f t="shared" si="542"/>
        <v>9</v>
      </c>
      <c r="H820" s="16">
        <f t="shared" si="543"/>
        <v>13.600000000000001</v>
      </c>
      <c r="I820" s="11">
        <f t="shared" si="593"/>
        <v>9.2923967244782774E-3</v>
      </c>
      <c r="J820" s="33">
        <f t="shared" si="594"/>
        <v>1.8913727846283218E-3</v>
      </c>
      <c r="K820" s="33">
        <f t="shared" si="595"/>
        <v>528.71650059007925</v>
      </c>
      <c r="L820" s="33">
        <f t="shared" si="596"/>
        <v>7.4010239398499553E-3</v>
      </c>
      <c r="M820" s="33">
        <f t="shared" si="597"/>
        <v>1.1183769509106599E-2</v>
      </c>
      <c r="N820" s="8">
        <v>1</v>
      </c>
      <c r="O820" s="9">
        <v>0</v>
      </c>
      <c r="P820" s="8">
        <v>0</v>
      </c>
      <c r="Q820" s="9">
        <v>0</v>
      </c>
      <c r="R820" s="9">
        <v>0</v>
      </c>
      <c r="S820" s="9">
        <v>1</v>
      </c>
      <c r="T820" s="9">
        <v>0</v>
      </c>
      <c r="U820" s="8">
        <v>279522</v>
      </c>
      <c r="V820" s="9">
        <v>4</v>
      </c>
      <c r="W820" s="9">
        <f t="shared" si="598"/>
        <v>279517</v>
      </c>
      <c r="X820" s="9">
        <f t="shared" si="559"/>
        <v>8</v>
      </c>
      <c r="Y820" s="7">
        <v>13.04</v>
      </c>
      <c r="Z820" s="7">
        <f t="shared" si="592"/>
        <v>22.4</v>
      </c>
      <c r="AA820" s="9">
        <v>1</v>
      </c>
      <c r="AB820" s="9">
        <v>0</v>
      </c>
      <c r="AC820" s="9">
        <v>1</v>
      </c>
      <c r="AD820" s="9">
        <v>0</v>
      </c>
      <c r="AE820" s="9">
        <v>0</v>
      </c>
      <c r="AF820" s="9">
        <v>0</v>
      </c>
      <c r="AG820" s="8">
        <v>0</v>
      </c>
      <c r="AH820" s="9">
        <v>0</v>
      </c>
      <c r="AI820" s="30">
        <v>1</v>
      </c>
      <c r="AJ820" s="9">
        <v>1</v>
      </c>
      <c r="AK820" s="30">
        <v>0</v>
      </c>
      <c r="AL820" s="21">
        <v>1980</v>
      </c>
      <c r="AM820" s="23">
        <f t="shared" si="561"/>
        <v>7.5908521236885811</v>
      </c>
      <c r="AN820" s="33" t="s">
        <v>106</v>
      </c>
      <c r="AO820" s="33" t="s">
        <v>106</v>
      </c>
      <c r="AP820" s="33" t="s">
        <v>106</v>
      </c>
      <c r="AQ820" s="43" t="s">
        <v>106</v>
      </c>
      <c r="AR820" s="33" t="s">
        <v>106</v>
      </c>
      <c r="AS820" s="43" t="s">
        <v>106</v>
      </c>
      <c r="AT820" s="42">
        <v>1</v>
      </c>
      <c r="AU820" s="18">
        <v>0</v>
      </c>
      <c r="AV820">
        <v>1</v>
      </c>
      <c r="AW820" s="40">
        <v>0</v>
      </c>
      <c r="AX820" t="s">
        <v>106</v>
      </c>
      <c r="AY820" s="40" t="s">
        <v>106</v>
      </c>
      <c r="BA820" s="18"/>
      <c r="BB820" t="s">
        <v>106</v>
      </c>
      <c r="BC820" s="18" t="s">
        <v>106</v>
      </c>
      <c r="BD820" s="18" t="s">
        <v>244</v>
      </c>
      <c r="BK820" s="18"/>
      <c r="BN820" s="18"/>
      <c r="BQ820" s="25">
        <v>41.44</v>
      </c>
      <c r="BR820">
        <v>0</v>
      </c>
      <c r="BS820">
        <v>0</v>
      </c>
      <c r="BT820">
        <v>0</v>
      </c>
      <c r="BU820">
        <v>0</v>
      </c>
      <c r="BV820">
        <v>1</v>
      </c>
      <c r="BW820">
        <v>0</v>
      </c>
      <c r="BX820">
        <v>0</v>
      </c>
      <c r="BY820" s="18">
        <v>0</v>
      </c>
      <c r="BZ820">
        <v>0</v>
      </c>
      <c r="CA820">
        <v>1</v>
      </c>
      <c r="CB820">
        <v>0</v>
      </c>
      <c r="CC820" s="18">
        <v>0</v>
      </c>
      <c r="CD820">
        <v>0</v>
      </c>
      <c r="CE820">
        <v>0</v>
      </c>
      <c r="CF820">
        <v>0</v>
      </c>
      <c r="CG820">
        <v>0</v>
      </c>
      <c r="CH820" s="18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 s="18">
        <v>1</v>
      </c>
      <c r="DD820" s="34" t="s">
        <v>86</v>
      </c>
    </row>
    <row r="821" spans="1:108" s="153" customFormat="1" x14ac:dyDescent="0.25">
      <c r="A821" s="153">
        <v>820</v>
      </c>
      <c r="B821" s="153">
        <v>53</v>
      </c>
      <c r="C821" s="154" t="s">
        <v>517</v>
      </c>
      <c r="D821" s="155">
        <v>11.2</v>
      </c>
      <c r="E821" s="156">
        <v>2.1</v>
      </c>
      <c r="F821" s="157">
        <f t="shared" si="558"/>
        <v>5.333333333333333</v>
      </c>
      <c r="G821" s="157">
        <f t="shared" si="542"/>
        <v>9.1</v>
      </c>
      <c r="H821" s="158">
        <f t="shared" si="543"/>
        <v>13.299999999999999</v>
      </c>
      <c r="I821" s="159">
        <f t="shared" si="593"/>
        <v>1.0087243819210572E-2</v>
      </c>
      <c r="J821" s="160">
        <f t="shared" si="594"/>
        <v>1.8913582161019823E-3</v>
      </c>
      <c r="K821" s="160">
        <f t="shared" si="595"/>
        <v>528.72057312388029</v>
      </c>
      <c r="L821" s="160">
        <f t="shared" si="596"/>
        <v>8.1958856031085891E-3</v>
      </c>
      <c r="M821" s="160">
        <f t="shared" si="597"/>
        <v>1.1978602035312555E-2</v>
      </c>
      <c r="N821" s="161">
        <v>1</v>
      </c>
      <c r="O821" s="162">
        <v>0</v>
      </c>
      <c r="P821" s="161">
        <v>0</v>
      </c>
      <c r="Q821" s="162">
        <v>0</v>
      </c>
      <c r="R821" s="162">
        <v>0</v>
      </c>
      <c r="S821" s="162">
        <v>1</v>
      </c>
      <c r="T821" s="162">
        <v>0</v>
      </c>
      <c r="U821" s="161">
        <v>279522</v>
      </c>
      <c r="V821" s="162">
        <v>4</v>
      </c>
      <c r="W821" s="162">
        <f t="shared" ref="W821:W822" si="599">U821-V821-1</f>
        <v>279517</v>
      </c>
      <c r="X821" s="162">
        <f t="shared" si="559"/>
        <v>8</v>
      </c>
      <c r="Y821" s="157">
        <v>13.04</v>
      </c>
      <c r="Z821" s="157">
        <f t="shared" si="592"/>
        <v>22.4</v>
      </c>
      <c r="AA821" s="162">
        <v>1</v>
      </c>
      <c r="AB821" s="162">
        <v>0</v>
      </c>
      <c r="AC821" s="162">
        <v>1</v>
      </c>
      <c r="AD821" s="162">
        <v>0</v>
      </c>
      <c r="AE821" s="162">
        <v>0</v>
      </c>
      <c r="AF821" s="162">
        <v>0</v>
      </c>
      <c r="AG821" s="161">
        <v>0</v>
      </c>
      <c r="AH821" s="162">
        <v>0</v>
      </c>
      <c r="AI821" s="163">
        <v>1</v>
      </c>
      <c r="AJ821" s="162">
        <v>1</v>
      </c>
      <c r="AK821" s="163">
        <v>0</v>
      </c>
      <c r="AL821" s="164">
        <v>1980</v>
      </c>
      <c r="AM821" s="165">
        <f t="shared" si="561"/>
        <v>7.5908521236885811</v>
      </c>
      <c r="AN821" s="160" t="s">
        <v>106</v>
      </c>
      <c r="AO821" s="160" t="s">
        <v>106</v>
      </c>
      <c r="AP821" s="160" t="s">
        <v>106</v>
      </c>
      <c r="AQ821" s="166" t="s">
        <v>106</v>
      </c>
      <c r="AR821" s="160" t="s">
        <v>106</v>
      </c>
      <c r="AS821" s="166" t="s">
        <v>106</v>
      </c>
      <c r="AT821" s="167">
        <v>1</v>
      </c>
      <c r="AU821" s="168">
        <v>0</v>
      </c>
      <c r="AV821" s="153">
        <v>1</v>
      </c>
      <c r="AW821" s="169">
        <v>0</v>
      </c>
      <c r="AX821" s="153" t="s">
        <v>106</v>
      </c>
      <c r="AY821" s="169" t="s">
        <v>106</v>
      </c>
      <c r="BA821" s="168"/>
      <c r="BB821" s="153" t="s">
        <v>106</v>
      </c>
      <c r="BC821" s="168" t="s">
        <v>106</v>
      </c>
      <c r="BD821" s="168" t="s">
        <v>244</v>
      </c>
      <c r="BK821" s="168"/>
      <c r="BN821" s="168"/>
      <c r="BQ821" s="154">
        <v>41.44</v>
      </c>
      <c r="BR821" s="153">
        <v>0</v>
      </c>
      <c r="BS821" s="153">
        <v>0</v>
      </c>
      <c r="BT821" s="153">
        <v>0</v>
      </c>
      <c r="BU821" s="153">
        <v>0</v>
      </c>
      <c r="BV821" s="153">
        <v>1</v>
      </c>
      <c r="BW821" s="153">
        <v>0</v>
      </c>
      <c r="BX821" s="153">
        <v>0</v>
      </c>
      <c r="BY821" s="168">
        <v>0</v>
      </c>
      <c r="BZ821" s="153">
        <v>0</v>
      </c>
      <c r="CA821" s="153">
        <v>1</v>
      </c>
      <c r="CB821" s="153">
        <v>0</v>
      </c>
      <c r="CC821" s="168">
        <v>0</v>
      </c>
      <c r="CD821" s="153">
        <v>0</v>
      </c>
      <c r="CE821" s="153">
        <v>0</v>
      </c>
      <c r="CF821" s="153">
        <v>0</v>
      </c>
      <c r="CG821" s="153">
        <v>0</v>
      </c>
      <c r="CH821" s="168">
        <v>0</v>
      </c>
      <c r="CI821" s="153">
        <v>0</v>
      </c>
      <c r="CJ821" s="153">
        <v>0</v>
      </c>
      <c r="CK821" s="153">
        <v>0</v>
      </c>
      <c r="CL821" s="153">
        <v>0</v>
      </c>
      <c r="CM821" s="153">
        <v>0</v>
      </c>
      <c r="CN821" s="153">
        <v>0</v>
      </c>
      <c r="CO821" s="153">
        <v>0</v>
      </c>
      <c r="CP821" s="153">
        <v>0</v>
      </c>
      <c r="CQ821" s="153">
        <v>0</v>
      </c>
      <c r="CR821" s="153">
        <v>0</v>
      </c>
      <c r="CS821" s="168">
        <v>1</v>
      </c>
      <c r="CY821" s="171"/>
      <c r="DD821" s="171" t="s">
        <v>86</v>
      </c>
    </row>
    <row r="822" spans="1:108" x14ac:dyDescent="0.25">
      <c r="A822">
        <v>821</v>
      </c>
      <c r="B822">
        <v>54</v>
      </c>
      <c r="C822" s="25" t="s">
        <v>519</v>
      </c>
      <c r="D822" s="12">
        <v>1.9165214315062722</v>
      </c>
      <c r="E822" s="14">
        <v>0.16665403752228453</v>
      </c>
      <c r="F822" s="7">
        <v>11.5</v>
      </c>
      <c r="G822" s="7">
        <f t="shared" ref="G822:G836" si="600">D822-E822</f>
        <v>1.7498673939839877</v>
      </c>
      <c r="H822" s="16">
        <f t="shared" ref="H822:H836" si="601">D822+E822</f>
        <v>2.0831754690285567</v>
      </c>
      <c r="I822" s="11">
        <f t="shared" ref="I822:I837" si="602">IFERROR(F822/SQRT(F822^2+W822), "X")</f>
        <v>0.18736377137981769</v>
      </c>
      <c r="J822" s="33">
        <f t="shared" ref="J822:J837" si="603">IFERROR(SQRT((1-I822^2)/W822), "X")</f>
        <v>1.6292501859114582E-2</v>
      </c>
      <c r="K822" s="33">
        <f t="shared" ref="K822:K837" si="604">IFERROR(1/J822, "X")</f>
        <v>61.377927628749404</v>
      </c>
      <c r="L822" s="33">
        <f t="shared" ref="L822:L837" si="605">IFERROR(I822-J822, "X")</f>
        <v>0.17107126952070312</v>
      </c>
      <c r="M822" s="33">
        <f t="shared" ref="M822:M837" si="606">IFERROR(I822+J822, "X")</f>
        <v>0.20365627323893226</v>
      </c>
      <c r="N822" s="8">
        <v>1</v>
      </c>
      <c r="O822" s="9">
        <v>0</v>
      </c>
      <c r="P822" s="8">
        <v>0</v>
      </c>
      <c r="Q822" s="9">
        <v>0</v>
      </c>
      <c r="R822" s="9">
        <v>1</v>
      </c>
      <c r="S822" s="9">
        <v>0</v>
      </c>
      <c r="T822" s="9">
        <v>0</v>
      </c>
      <c r="U822" s="8">
        <v>3639</v>
      </c>
      <c r="V822" s="9">
        <v>3</v>
      </c>
      <c r="W822" s="9">
        <f t="shared" si="599"/>
        <v>3635</v>
      </c>
      <c r="X822" s="9">
        <f t="shared" si="559"/>
        <v>15</v>
      </c>
      <c r="Y822" s="7">
        <f>AP822*13+AQ822*16</f>
        <v>13.849</v>
      </c>
      <c r="Z822" s="7">
        <f>BQ822-Y822-6</f>
        <v>13.151</v>
      </c>
      <c r="AA822" s="9">
        <v>0</v>
      </c>
      <c r="AB822" s="9">
        <v>1</v>
      </c>
      <c r="AC822" s="9">
        <v>0</v>
      </c>
      <c r="AD822" s="9">
        <v>1</v>
      </c>
      <c r="AE822" s="9">
        <v>0</v>
      </c>
      <c r="AF822" s="9">
        <v>0</v>
      </c>
      <c r="AG822" s="8">
        <v>0</v>
      </c>
      <c r="AH822" s="9">
        <v>0</v>
      </c>
      <c r="AI822" s="30">
        <v>1</v>
      </c>
      <c r="AJ822" s="9">
        <v>1</v>
      </c>
      <c r="AK822" s="30">
        <v>0</v>
      </c>
      <c r="AL822" s="21">
        <v>1958</v>
      </c>
      <c r="AM822" s="23">
        <f t="shared" si="561"/>
        <v>7.5796788230904557</v>
      </c>
      <c r="AN822" s="33">
        <v>0</v>
      </c>
      <c r="AO822" s="33">
        <v>0</v>
      </c>
      <c r="AP822" s="33">
        <v>0.71699999999999997</v>
      </c>
      <c r="AQ822" s="43">
        <v>0.28299999999999997</v>
      </c>
      <c r="AR822" s="33">
        <v>0.94799999999999995</v>
      </c>
      <c r="AS822" s="43">
        <v>5.1999999999999998E-2</v>
      </c>
      <c r="AT822" s="42" t="s">
        <v>106</v>
      </c>
      <c r="AU822" s="18" t="s">
        <v>106</v>
      </c>
      <c r="AV822">
        <v>1</v>
      </c>
      <c r="AW822" s="40">
        <v>0</v>
      </c>
      <c r="AX822" t="s">
        <v>106</v>
      </c>
      <c r="AY822" s="40" t="s">
        <v>106</v>
      </c>
      <c r="BA822" s="18"/>
      <c r="BB822" t="s">
        <v>106</v>
      </c>
      <c r="BC822" s="18" t="s">
        <v>106</v>
      </c>
      <c r="BD822" s="18" t="s">
        <v>340</v>
      </c>
      <c r="BK822" s="18"/>
      <c r="BN822" s="18"/>
      <c r="BQ822" s="25">
        <v>33</v>
      </c>
      <c r="BR822">
        <v>1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 s="18">
        <v>0</v>
      </c>
      <c r="BZ822">
        <v>0</v>
      </c>
      <c r="CA822">
        <v>1</v>
      </c>
      <c r="CB822">
        <v>0</v>
      </c>
      <c r="CC822" s="18">
        <v>0</v>
      </c>
      <c r="CD822">
        <v>0</v>
      </c>
      <c r="CE822">
        <v>0</v>
      </c>
      <c r="CF822">
        <v>0</v>
      </c>
      <c r="CG822">
        <v>0</v>
      </c>
      <c r="CH822" s="18">
        <v>0</v>
      </c>
      <c r="CI822">
        <v>0</v>
      </c>
      <c r="CJ822">
        <v>0</v>
      </c>
      <c r="CK822">
        <v>0</v>
      </c>
      <c r="CL822">
        <v>0</v>
      </c>
      <c r="CM822">
        <v>1</v>
      </c>
      <c r="CN822">
        <v>0</v>
      </c>
      <c r="CO822">
        <v>0</v>
      </c>
      <c r="CP822">
        <v>0</v>
      </c>
      <c r="CQ822">
        <v>0</v>
      </c>
      <c r="CR822">
        <v>1</v>
      </c>
      <c r="CS822" s="18">
        <v>0</v>
      </c>
      <c r="DD822" s="34" t="s">
        <v>86</v>
      </c>
    </row>
    <row r="823" spans="1:108" x14ac:dyDescent="0.25">
      <c r="A823">
        <v>822</v>
      </c>
      <c r="B823">
        <v>54</v>
      </c>
      <c r="C823" s="25" t="s">
        <v>519</v>
      </c>
      <c r="D823" s="12">
        <v>0.70399818512266887</v>
      </c>
      <c r="E823" s="14">
        <v>0.11982947831875215</v>
      </c>
      <c r="F823" s="7">
        <v>5.875</v>
      </c>
      <c r="G823" s="7">
        <f t="shared" si="600"/>
        <v>0.58416870680391675</v>
      </c>
      <c r="H823" s="16">
        <f t="shared" si="601"/>
        <v>0.823827663441421</v>
      </c>
      <c r="I823" s="11">
        <f t="shared" si="602"/>
        <v>9.6984761089135257E-2</v>
      </c>
      <c r="J823" s="33">
        <f t="shared" si="603"/>
        <v>1.6508044440703872E-2</v>
      </c>
      <c r="K823" s="33">
        <f t="shared" si="604"/>
        <v>60.576527013357243</v>
      </c>
      <c r="L823" s="33">
        <f t="shared" si="605"/>
        <v>8.0476716648431382E-2</v>
      </c>
      <c r="M823" s="33">
        <f t="shared" si="606"/>
        <v>0.11349280552983913</v>
      </c>
      <c r="N823" s="8">
        <v>1</v>
      </c>
      <c r="O823" s="9">
        <v>0</v>
      </c>
      <c r="P823" s="8">
        <v>0</v>
      </c>
      <c r="Q823" s="9">
        <v>0</v>
      </c>
      <c r="R823" s="9">
        <v>1</v>
      </c>
      <c r="S823" s="9">
        <v>0</v>
      </c>
      <c r="T823" s="9">
        <v>0</v>
      </c>
      <c r="U823" s="8">
        <v>3639</v>
      </c>
      <c r="V823" s="9">
        <v>3</v>
      </c>
      <c r="W823" s="9">
        <f t="shared" ref="W823:W837" si="607">U823-V823-1</f>
        <v>3635</v>
      </c>
      <c r="X823" s="9">
        <f t="shared" si="559"/>
        <v>15</v>
      </c>
      <c r="Y823" s="7">
        <f t="shared" ref="Y823:Y836" si="608">AP823*13+AQ823*16</f>
        <v>13.849</v>
      </c>
      <c r="Z823" s="7">
        <f t="shared" ref="Z823:Z836" si="609">BQ823-Y823-6</f>
        <v>13.151</v>
      </c>
      <c r="AA823" s="9">
        <v>0</v>
      </c>
      <c r="AB823" s="9">
        <v>1</v>
      </c>
      <c r="AC823" s="9">
        <v>0</v>
      </c>
      <c r="AD823" s="9">
        <v>1</v>
      </c>
      <c r="AE823" s="9">
        <v>0</v>
      </c>
      <c r="AF823" s="9">
        <v>0</v>
      </c>
      <c r="AG823" s="8">
        <v>0</v>
      </c>
      <c r="AH823" s="9">
        <v>0</v>
      </c>
      <c r="AI823" s="30">
        <v>1</v>
      </c>
      <c r="AJ823" s="9">
        <v>1</v>
      </c>
      <c r="AK823" s="30">
        <v>0</v>
      </c>
      <c r="AL823" s="21">
        <v>1958</v>
      </c>
      <c r="AM823" s="23">
        <f t="shared" si="561"/>
        <v>7.5796788230904557</v>
      </c>
      <c r="AN823" s="33">
        <v>0</v>
      </c>
      <c r="AO823" s="33">
        <v>0</v>
      </c>
      <c r="AP823" s="33">
        <v>0.71699999999999997</v>
      </c>
      <c r="AQ823" s="43">
        <v>0.28299999999999997</v>
      </c>
      <c r="AR823" s="33">
        <v>0.94799999999999995</v>
      </c>
      <c r="AS823" s="43">
        <v>5.1999999999999998E-2</v>
      </c>
      <c r="AT823" s="42" t="s">
        <v>106</v>
      </c>
      <c r="AU823" s="18" t="s">
        <v>106</v>
      </c>
      <c r="AV823">
        <v>1</v>
      </c>
      <c r="AW823" s="40">
        <v>0</v>
      </c>
      <c r="AX823" t="s">
        <v>106</v>
      </c>
      <c r="AY823" s="40" t="s">
        <v>106</v>
      </c>
      <c r="BA823" s="18"/>
      <c r="BB823" t="s">
        <v>106</v>
      </c>
      <c r="BC823" s="18" t="s">
        <v>106</v>
      </c>
      <c r="BD823" s="18" t="s">
        <v>340</v>
      </c>
      <c r="BK823" s="18"/>
      <c r="BN823" s="18"/>
      <c r="BQ823" s="25">
        <v>33</v>
      </c>
      <c r="BR823">
        <v>1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 s="18">
        <v>0</v>
      </c>
      <c r="BZ823">
        <v>0</v>
      </c>
      <c r="CA823">
        <v>1</v>
      </c>
      <c r="CB823">
        <v>0</v>
      </c>
      <c r="CC823" s="18">
        <v>0</v>
      </c>
      <c r="CD823">
        <v>0</v>
      </c>
      <c r="CE823">
        <v>0</v>
      </c>
      <c r="CF823">
        <v>0</v>
      </c>
      <c r="CG823">
        <v>0</v>
      </c>
      <c r="CH823" s="18">
        <v>0</v>
      </c>
      <c r="CI823">
        <v>0</v>
      </c>
      <c r="CJ823">
        <v>0</v>
      </c>
      <c r="CK823">
        <v>0</v>
      </c>
      <c r="CL823">
        <v>0</v>
      </c>
      <c r="CM823">
        <v>1</v>
      </c>
      <c r="CN823">
        <v>0</v>
      </c>
      <c r="CO823">
        <v>0</v>
      </c>
      <c r="CP823">
        <v>0</v>
      </c>
      <c r="CQ823">
        <v>0</v>
      </c>
      <c r="CR823">
        <v>1</v>
      </c>
      <c r="CS823" s="18">
        <v>0</v>
      </c>
      <c r="DD823" s="34" t="s">
        <v>86</v>
      </c>
    </row>
    <row r="824" spans="1:108" x14ac:dyDescent="0.25">
      <c r="A824">
        <v>823</v>
      </c>
      <c r="B824">
        <v>54</v>
      </c>
      <c r="C824" s="25" t="s">
        <v>519</v>
      </c>
      <c r="D824" s="12">
        <v>2.1697611742472129</v>
      </c>
      <c r="E824" s="14">
        <v>0.11649724425488392</v>
      </c>
      <c r="F824" s="7">
        <v>18.625</v>
      </c>
      <c r="G824" s="7">
        <f t="shared" si="600"/>
        <v>2.0532639299923292</v>
      </c>
      <c r="H824" s="16">
        <f t="shared" si="601"/>
        <v>2.2862584185020967</v>
      </c>
      <c r="I824" s="11">
        <f t="shared" si="602"/>
        <v>0.29515600137965536</v>
      </c>
      <c r="J824" s="33">
        <f t="shared" si="603"/>
        <v>1.5847302087498277E-2</v>
      </c>
      <c r="K824" s="33">
        <f t="shared" si="604"/>
        <v>63.102223613752308</v>
      </c>
      <c r="L824" s="33">
        <f t="shared" si="605"/>
        <v>0.27930869929215707</v>
      </c>
      <c r="M824" s="33">
        <f t="shared" si="606"/>
        <v>0.31100330346715366</v>
      </c>
      <c r="N824" s="8">
        <v>1</v>
      </c>
      <c r="O824" s="9">
        <v>0</v>
      </c>
      <c r="P824" s="8">
        <v>0</v>
      </c>
      <c r="Q824" s="9">
        <v>0</v>
      </c>
      <c r="R824" s="9">
        <v>1</v>
      </c>
      <c r="S824" s="9">
        <v>0</v>
      </c>
      <c r="T824" s="9">
        <v>0</v>
      </c>
      <c r="U824" s="8">
        <v>3639</v>
      </c>
      <c r="V824" s="9">
        <v>3</v>
      </c>
      <c r="W824" s="9">
        <f t="shared" si="607"/>
        <v>3635</v>
      </c>
      <c r="X824" s="9">
        <f t="shared" si="559"/>
        <v>15</v>
      </c>
      <c r="Y824" s="7">
        <f t="shared" si="608"/>
        <v>13.849</v>
      </c>
      <c r="Z824" s="7">
        <f t="shared" si="609"/>
        <v>13.151</v>
      </c>
      <c r="AA824" s="9">
        <v>0</v>
      </c>
      <c r="AB824" s="9">
        <v>1</v>
      </c>
      <c r="AC824" s="9">
        <v>0</v>
      </c>
      <c r="AD824" s="9">
        <v>1</v>
      </c>
      <c r="AE824" s="9">
        <v>0</v>
      </c>
      <c r="AF824" s="9">
        <v>0</v>
      </c>
      <c r="AG824" s="8">
        <v>0</v>
      </c>
      <c r="AH824" s="9">
        <v>0</v>
      </c>
      <c r="AI824" s="30">
        <v>1</v>
      </c>
      <c r="AJ824" s="9">
        <v>1</v>
      </c>
      <c r="AK824" s="30">
        <v>0</v>
      </c>
      <c r="AL824" s="21">
        <v>1958</v>
      </c>
      <c r="AM824" s="23">
        <f t="shared" si="561"/>
        <v>7.5796788230904557</v>
      </c>
      <c r="AN824" s="33">
        <v>0</v>
      </c>
      <c r="AO824" s="33">
        <v>0</v>
      </c>
      <c r="AP824" s="33">
        <v>0.71699999999999997</v>
      </c>
      <c r="AQ824" s="43">
        <v>0.28299999999999997</v>
      </c>
      <c r="AR824" s="33">
        <v>0.94799999999999995</v>
      </c>
      <c r="AS824" s="43">
        <v>5.1999999999999998E-2</v>
      </c>
      <c r="AT824" s="42" t="s">
        <v>106</v>
      </c>
      <c r="AU824" s="18" t="s">
        <v>106</v>
      </c>
      <c r="AV824">
        <v>1</v>
      </c>
      <c r="AW824" s="40">
        <v>0</v>
      </c>
      <c r="AX824" t="s">
        <v>106</v>
      </c>
      <c r="AY824" s="40" t="s">
        <v>106</v>
      </c>
      <c r="BA824" s="18"/>
      <c r="BB824" t="s">
        <v>106</v>
      </c>
      <c r="BC824" s="18" t="s">
        <v>106</v>
      </c>
      <c r="BD824" s="18" t="s">
        <v>340</v>
      </c>
      <c r="BK824" s="18"/>
      <c r="BN824" s="18"/>
      <c r="BQ824" s="25">
        <v>33</v>
      </c>
      <c r="BR824">
        <v>1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 s="18">
        <v>0</v>
      </c>
      <c r="BZ824">
        <v>0</v>
      </c>
      <c r="CA824">
        <v>1</v>
      </c>
      <c r="CB824">
        <v>0</v>
      </c>
      <c r="CC824" s="18">
        <v>0</v>
      </c>
      <c r="CD824">
        <v>0</v>
      </c>
      <c r="CE824">
        <v>0</v>
      </c>
      <c r="CF824">
        <v>0</v>
      </c>
      <c r="CG824">
        <v>0</v>
      </c>
      <c r="CH824" s="18">
        <v>0</v>
      </c>
      <c r="CI824">
        <v>0</v>
      </c>
      <c r="CJ824">
        <v>0</v>
      </c>
      <c r="CK824">
        <v>0</v>
      </c>
      <c r="CL824">
        <v>0</v>
      </c>
      <c r="CM824">
        <v>1</v>
      </c>
      <c r="CN824">
        <v>0</v>
      </c>
      <c r="CO824">
        <v>0</v>
      </c>
      <c r="CP824">
        <v>0</v>
      </c>
      <c r="CQ824">
        <v>0</v>
      </c>
      <c r="CR824">
        <v>1</v>
      </c>
      <c r="CS824" s="18">
        <v>0</v>
      </c>
      <c r="DD824" s="34" t="s">
        <v>86</v>
      </c>
    </row>
    <row r="825" spans="1:108" x14ac:dyDescent="0.25">
      <c r="A825">
        <v>824</v>
      </c>
      <c r="B825">
        <v>54</v>
      </c>
      <c r="C825" s="25" t="s">
        <v>519</v>
      </c>
      <c r="D825" s="12">
        <v>1.5047758476939677</v>
      </c>
      <c r="E825" s="14">
        <v>0.16316846541259888</v>
      </c>
      <c r="F825" s="7">
        <v>9.2222222222222232</v>
      </c>
      <c r="G825" s="7">
        <f t="shared" si="600"/>
        <v>1.3416073822813688</v>
      </c>
      <c r="H825" s="16">
        <f t="shared" si="601"/>
        <v>1.6679443131065665</v>
      </c>
      <c r="I825" s="11">
        <f t="shared" si="602"/>
        <v>0.15120328631414434</v>
      </c>
      <c r="J825" s="33">
        <f t="shared" si="603"/>
        <v>1.6395537070208421E-2</v>
      </c>
      <c r="K825" s="33">
        <f t="shared" si="604"/>
        <v>60.992207557326935</v>
      </c>
      <c r="L825" s="33">
        <f t="shared" si="605"/>
        <v>0.13480774924393593</v>
      </c>
      <c r="M825" s="33">
        <f t="shared" si="606"/>
        <v>0.16759882338435275</v>
      </c>
      <c r="N825" s="8">
        <v>1</v>
      </c>
      <c r="O825" s="9">
        <v>0</v>
      </c>
      <c r="P825" s="8">
        <v>0</v>
      </c>
      <c r="Q825" s="9">
        <v>0</v>
      </c>
      <c r="R825" s="9">
        <v>1</v>
      </c>
      <c r="S825" s="9">
        <v>0</v>
      </c>
      <c r="T825" s="9">
        <v>0</v>
      </c>
      <c r="U825" s="8">
        <v>3639</v>
      </c>
      <c r="V825" s="9">
        <v>3</v>
      </c>
      <c r="W825" s="9">
        <f t="shared" si="607"/>
        <v>3635</v>
      </c>
      <c r="X825" s="9">
        <f t="shared" si="559"/>
        <v>15</v>
      </c>
      <c r="Y825" s="7">
        <f t="shared" si="608"/>
        <v>13.849</v>
      </c>
      <c r="Z825" s="7">
        <f t="shared" si="609"/>
        <v>13.151</v>
      </c>
      <c r="AA825" s="9">
        <v>0</v>
      </c>
      <c r="AB825" s="9">
        <v>1</v>
      </c>
      <c r="AC825" s="9">
        <v>0</v>
      </c>
      <c r="AD825" s="9">
        <v>1</v>
      </c>
      <c r="AE825" s="9">
        <v>0</v>
      </c>
      <c r="AF825" s="9">
        <v>0</v>
      </c>
      <c r="AG825" s="8">
        <v>0</v>
      </c>
      <c r="AH825" s="9">
        <v>0</v>
      </c>
      <c r="AI825" s="30">
        <v>1</v>
      </c>
      <c r="AJ825" s="9">
        <v>1</v>
      </c>
      <c r="AK825" s="30">
        <v>0</v>
      </c>
      <c r="AL825" s="21">
        <v>1958</v>
      </c>
      <c r="AM825" s="23">
        <f t="shared" si="561"/>
        <v>7.5796788230904557</v>
      </c>
      <c r="AN825" s="33">
        <v>0</v>
      </c>
      <c r="AO825" s="33">
        <v>0</v>
      </c>
      <c r="AP825" s="33">
        <v>0.71699999999999997</v>
      </c>
      <c r="AQ825" s="43">
        <v>0.28299999999999997</v>
      </c>
      <c r="AR825" s="33">
        <v>0.94799999999999995</v>
      </c>
      <c r="AS825" s="43">
        <v>5.1999999999999998E-2</v>
      </c>
      <c r="AT825" s="42" t="s">
        <v>106</v>
      </c>
      <c r="AU825" s="18" t="s">
        <v>106</v>
      </c>
      <c r="AV825">
        <v>1</v>
      </c>
      <c r="AW825" s="40">
        <v>0</v>
      </c>
      <c r="AX825" t="s">
        <v>106</v>
      </c>
      <c r="AY825" s="40" t="s">
        <v>106</v>
      </c>
      <c r="BA825" s="18"/>
      <c r="BB825" t="s">
        <v>106</v>
      </c>
      <c r="BC825" s="18" t="s">
        <v>106</v>
      </c>
      <c r="BD825" s="18" t="s">
        <v>340</v>
      </c>
      <c r="BK825" s="18"/>
      <c r="BN825" s="18"/>
      <c r="BQ825" s="25">
        <v>33</v>
      </c>
      <c r="BR825">
        <v>1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 s="18">
        <v>0</v>
      </c>
      <c r="BZ825">
        <v>0</v>
      </c>
      <c r="CA825">
        <v>1</v>
      </c>
      <c r="CB825">
        <v>0</v>
      </c>
      <c r="CC825" s="18">
        <v>0</v>
      </c>
      <c r="CD825">
        <v>0</v>
      </c>
      <c r="CE825">
        <v>0</v>
      </c>
      <c r="CF825">
        <v>0</v>
      </c>
      <c r="CG825">
        <v>0</v>
      </c>
      <c r="CH825" s="18">
        <v>0</v>
      </c>
      <c r="CI825">
        <v>0</v>
      </c>
      <c r="CJ825">
        <v>0</v>
      </c>
      <c r="CK825">
        <v>0</v>
      </c>
      <c r="CL825">
        <v>0</v>
      </c>
      <c r="CM825">
        <v>1</v>
      </c>
      <c r="CN825">
        <v>0</v>
      </c>
      <c r="CO825">
        <v>0</v>
      </c>
      <c r="CP825">
        <v>0</v>
      </c>
      <c r="CQ825">
        <v>0</v>
      </c>
      <c r="CR825">
        <v>1</v>
      </c>
      <c r="CS825" s="18">
        <v>0</v>
      </c>
      <c r="DD825" s="34" t="s">
        <v>86</v>
      </c>
    </row>
    <row r="826" spans="1:108" x14ac:dyDescent="0.25">
      <c r="A826">
        <v>825</v>
      </c>
      <c r="B826">
        <v>54</v>
      </c>
      <c r="C826" s="25" t="s">
        <v>519</v>
      </c>
      <c r="D826" s="12">
        <v>0.57172911709000296</v>
      </c>
      <c r="E826" s="14">
        <v>0.1188008554992214</v>
      </c>
      <c r="F826" s="7">
        <v>4.8125</v>
      </c>
      <c r="G826" s="7">
        <f t="shared" si="600"/>
        <v>0.45292826159078159</v>
      </c>
      <c r="H826" s="16">
        <f t="shared" si="601"/>
        <v>0.69052997258922433</v>
      </c>
      <c r="I826" s="11">
        <f t="shared" si="602"/>
        <v>7.9568172773817836E-2</v>
      </c>
      <c r="J826" s="33">
        <f t="shared" si="603"/>
        <v>1.6533646290663447E-2</v>
      </c>
      <c r="K826" s="33">
        <f t="shared" si="604"/>
        <v>60.482726098035627</v>
      </c>
      <c r="L826" s="33">
        <f t="shared" si="605"/>
        <v>6.3034526483154385E-2</v>
      </c>
      <c r="M826" s="33">
        <f t="shared" si="606"/>
        <v>9.6101819064481286E-2</v>
      </c>
      <c r="N826" s="8">
        <v>1</v>
      </c>
      <c r="O826" s="9">
        <v>0</v>
      </c>
      <c r="P826" s="8">
        <v>0</v>
      </c>
      <c r="Q826" s="9">
        <v>0</v>
      </c>
      <c r="R826" s="9">
        <v>1</v>
      </c>
      <c r="S826" s="9">
        <v>0</v>
      </c>
      <c r="T826" s="9">
        <v>0</v>
      </c>
      <c r="U826" s="8">
        <v>3639</v>
      </c>
      <c r="V826" s="9">
        <v>3</v>
      </c>
      <c r="W826" s="9">
        <f t="shared" si="607"/>
        <v>3635</v>
      </c>
      <c r="X826" s="9">
        <f t="shared" si="559"/>
        <v>15</v>
      </c>
      <c r="Y826" s="7">
        <f t="shared" si="608"/>
        <v>13.849</v>
      </c>
      <c r="Z826" s="7">
        <f t="shared" si="609"/>
        <v>13.151</v>
      </c>
      <c r="AA826" s="9">
        <v>0</v>
      </c>
      <c r="AB826" s="9">
        <v>1</v>
      </c>
      <c r="AC826" s="9">
        <v>0</v>
      </c>
      <c r="AD826" s="9">
        <v>1</v>
      </c>
      <c r="AE826" s="9">
        <v>0</v>
      </c>
      <c r="AF826" s="9">
        <v>0</v>
      </c>
      <c r="AG826" s="8">
        <v>0</v>
      </c>
      <c r="AH826" s="9">
        <v>0</v>
      </c>
      <c r="AI826" s="30">
        <v>1</v>
      </c>
      <c r="AJ826" s="9">
        <v>1</v>
      </c>
      <c r="AK826" s="30">
        <v>0</v>
      </c>
      <c r="AL826" s="21">
        <v>1958</v>
      </c>
      <c r="AM826" s="23">
        <f t="shared" si="561"/>
        <v>7.5796788230904557</v>
      </c>
      <c r="AN826" s="33">
        <v>0</v>
      </c>
      <c r="AO826" s="33">
        <v>0</v>
      </c>
      <c r="AP826" s="33">
        <v>0.71699999999999997</v>
      </c>
      <c r="AQ826" s="43">
        <v>0.28299999999999997</v>
      </c>
      <c r="AR826" s="33">
        <v>0.94799999999999995</v>
      </c>
      <c r="AS826" s="43">
        <v>5.1999999999999998E-2</v>
      </c>
      <c r="AT826" s="42" t="s">
        <v>106</v>
      </c>
      <c r="AU826" s="18" t="s">
        <v>106</v>
      </c>
      <c r="AV826">
        <v>1</v>
      </c>
      <c r="AW826" s="40">
        <v>0</v>
      </c>
      <c r="AX826" t="s">
        <v>106</v>
      </c>
      <c r="AY826" s="40" t="s">
        <v>106</v>
      </c>
      <c r="BA826" s="18"/>
      <c r="BB826" t="s">
        <v>106</v>
      </c>
      <c r="BC826" s="18" t="s">
        <v>106</v>
      </c>
      <c r="BD826" s="18" t="s">
        <v>340</v>
      </c>
      <c r="BK826" s="18"/>
      <c r="BN826" s="18"/>
      <c r="BQ826" s="25">
        <v>33</v>
      </c>
      <c r="BR826">
        <v>1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 s="18">
        <v>0</v>
      </c>
      <c r="BZ826">
        <v>0</v>
      </c>
      <c r="CA826">
        <v>1</v>
      </c>
      <c r="CB826">
        <v>0</v>
      </c>
      <c r="CC826" s="18">
        <v>0</v>
      </c>
      <c r="CD826">
        <v>0</v>
      </c>
      <c r="CE826">
        <v>0</v>
      </c>
      <c r="CF826">
        <v>0</v>
      </c>
      <c r="CG826">
        <v>0</v>
      </c>
      <c r="CH826" s="18">
        <v>0</v>
      </c>
      <c r="CI826">
        <v>0</v>
      </c>
      <c r="CJ826">
        <v>0</v>
      </c>
      <c r="CK826">
        <v>0</v>
      </c>
      <c r="CL826">
        <v>0</v>
      </c>
      <c r="CM826">
        <v>1</v>
      </c>
      <c r="CN826">
        <v>0</v>
      </c>
      <c r="CO826">
        <v>0</v>
      </c>
      <c r="CP826">
        <v>0</v>
      </c>
      <c r="CQ826">
        <v>0</v>
      </c>
      <c r="CR826">
        <v>1</v>
      </c>
      <c r="CS826" s="18">
        <v>0</v>
      </c>
      <c r="DD826" s="34" t="s">
        <v>86</v>
      </c>
    </row>
    <row r="827" spans="1:108" x14ac:dyDescent="0.25">
      <c r="A827">
        <v>826</v>
      </c>
      <c r="B827">
        <v>54</v>
      </c>
      <c r="C827" s="25" t="s">
        <v>519</v>
      </c>
      <c r="D827" s="12">
        <v>1.7671377066863212</v>
      </c>
      <c r="E827" s="14">
        <v>0.113551017297113</v>
      </c>
      <c r="F827" s="7">
        <v>15.5625</v>
      </c>
      <c r="G827" s="7">
        <f t="shared" si="600"/>
        <v>1.6535866893892082</v>
      </c>
      <c r="H827" s="16">
        <f t="shared" si="601"/>
        <v>1.8806887239834342</v>
      </c>
      <c r="I827" s="11">
        <f t="shared" si="602"/>
        <v>0.24993135499564653</v>
      </c>
      <c r="J827" s="33">
        <f t="shared" si="603"/>
        <v>1.605984610413793E-2</v>
      </c>
      <c r="K827" s="33">
        <f t="shared" si="604"/>
        <v>62.267097300661128</v>
      </c>
      <c r="L827" s="33">
        <f t="shared" si="605"/>
        <v>0.23387150889150859</v>
      </c>
      <c r="M827" s="33">
        <f t="shared" si="606"/>
        <v>0.26599120109978447</v>
      </c>
      <c r="N827" s="8">
        <v>1</v>
      </c>
      <c r="O827" s="9">
        <v>0</v>
      </c>
      <c r="P827" s="8">
        <v>0</v>
      </c>
      <c r="Q827" s="9">
        <v>0</v>
      </c>
      <c r="R827" s="9">
        <v>1</v>
      </c>
      <c r="S827" s="9">
        <v>0</v>
      </c>
      <c r="T827" s="9">
        <v>0</v>
      </c>
      <c r="U827" s="8">
        <v>3639</v>
      </c>
      <c r="V827" s="9">
        <v>3</v>
      </c>
      <c r="W827" s="9">
        <f t="shared" si="607"/>
        <v>3635</v>
      </c>
      <c r="X827" s="9">
        <f t="shared" si="559"/>
        <v>15</v>
      </c>
      <c r="Y827" s="7">
        <f t="shared" si="608"/>
        <v>13.849</v>
      </c>
      <c r="Z827" s="7">
        <f t="shared" si="609"/>
        <v>13.151</v>
      </c>
      <c r="AA827" s="9">
        <v>0</v>
      </c>
      <c r="AB827" s="9">
        <v>1</v>
      </c>
      <c r="AC827" s="9">
        <v>0</v>
      </c>
      <c r="AD827" s="9">
        <v>1</v>
      </c>
      <c r="AE827" s="9">
        <v>0</v>
      </c>
      <c r="AF827" s="9">
        <v>0</v>
      </c>
      <c r="AG827" s="8">
        <v>0</v>
      </c>
      <c r="AH827" s="9">
        <v>0</v>
      </c>
      <c r="AI827" s="30">
        <v>1</v>
      </c>
      <c r="AJ827" s="9">
        <v>1</v>
      </c>
      <c r="AK827" s="30">
        <v>0</v>
      </c>
      <c r="AL827" s="21">
        <v>1958</v>
      </c>
      <c r="AM827" s="23">
        <f t="shared" si="561"/>
        <v>7.5796788230904557</v>
      </c>
      <c r="AN827" s="33">
        <v>0</v>
      </c>
      <c r="AO827" s="33">
        <v>0</v>
      </c>
      <c r="AP827" s="33">
        <v>0.71699999999999997</v>
      </c>
      <c r="AQ827" s="43">
        <v>0.28299999999999997</v>
      </c>
      <c r="AR827" s="33">
        <v>0.94799999999999995</v>
      </c>
      <c r="AS827" s="43">
        <v>5.1999999999999998E-2</v>
      </c>
      <c r="AT827" s="42" t="s">
        <v>106</v>
      </c>
      <c r="AU827" s="18" t="s">
        <v>106</v>
      </c>
      <c r="AV827">
        <v>1</v>
      </c>
      <c r="AW827" s="40">
        <v>0</v>
      </c>
      <c r="AX827" t="s">
        <v>106</v>
      </c>
      <c r="AY827" s="40" t="s">
        <v>106</v>
      </c>
      <c r="BA827" s="18"/>
      <c r="BB827" t="s">
        <v>106</v>
      </c>
      <c r="BC827" s="18" t="s">
        <v>106</v>
      </c>
      <c r="BD827" s="18" t="s">
        <v>340</v>
      </c>
      <c r="BK827" s="18"/>
      <c r="BN827" s="18"/>
      <c r="BQ827" s="25">
        <v>33</v>
      </c>
      <c r="BR827">
        <v>1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 s="18">
        <v>0</v>
      </c>
      <c r="BZ827">
        <v>0</v>
      </c>
      <c r="CA827">
        <v>1</v>
      </c>
      <c r="CB827">
        <v>0</v>
      </c>
      <c r="CC827" s="18">
        <v>0</v>
      </c>
      <c r="CD827">
        <v>0</v>
      </c>
      <c r="CE827">
        <v>0</v>
      </c>
      <c r="CF827">
        <v>0</v>
      </c>
      <c r="CG827">
        <v>0</v>
      </c>
      <c r="CH827" s="18">
        <v>0</v>
      </c>
      <c r="CI827">
        <v>0</v>
      </c>
      <c r="CJ827">
        <v>0</v>
      </c>
      <c r="CK827">
        <v>0</v>
      </c>
      <c r="CL827">
        <v>0</v>
      </c>
      <c r="CM827">
        <v>1</v>
      </c>
      <c r="CN827">
        <v>0</v>
      </c>
      <c r="CO827">
        <v>0</v>
      </c>
      <c r="CP827">
        <v>0</v>
      </c>
      <c r="CQ827">
        <v>0</v>
      </c>
      <c r="CR827">
        <v>1</v>
      </c>
      <c r="CS827" s="18">
        <v>0</v>
      </c>
      <c r="DD827" s="34" t="s">
        <v>86</v>
      </c>
    </row>
    <row r="828" spans="1:108" x14ac:dyDescent="0.25">
      <c r="A828">
        <v>827</v>
      </c>
      <c r="B828">
        <v>54</v>
      </c>
      <c r="C828" s="25" t="s">
        <v>519</v>
      </c>
      <c r="D828" s="12">
        <v>3.0854942579749727</v>
      </c>
      <c r="E828" s="14">
        <v>0.51914665292912232</v>
      </c>
      <c r="F828" s="7">
        <v>5.9433962264150946</v>
      </c>
      <c r="G828" s="7">
        <f t="shared" si="600"/>
        <v>2.5663476050458502</v>
      </c>
      <c r="H828" s="16">
        <f t="shared" si="601"/>
        <v>3.6046409109040951</v>
      </c>
      <c r="I828" s="11">
        <f t="shared" si="602"/>
        <v>9.8103044388919494E-2</v>
      </c>
      <c r="J828" s="33">
        <f t="shared" si="603"/>
        <v>1.6506226516230897E-2</v>
      </c>
      <c r="K828" s="33">
        <f t="shared" si="604"/>
        <v>60.583198650320249</v>
      </c>
      <c r="L828" s="33">
        <f t="shared" si="605"/>
        <v>8.1596817872688604E-2</v>
      </c>
      <c r="M828" s="33">
        <f t="shared" si="606"/>
        <v>0.11460927090515038</v>
      </c>
      <c r="N828" s="8">
        <v>1</v>
      </c>
      <c r="O828" s="9">
        <v>0</v>
      </c>
      <c r="P828" s="8">
        <v>0</v>
      </c>
      <c r="Q828" s="9">
        <v>0</v>
      </c>
      <c r="R828" s="9">
        <v>1</v>
      </c>
      <c r="S828" s="9">
        <v>0</v>
      </c>
      <c r="T828" s="9">
        <v>0</v>
      </c>
      <c r="U828" s="8">
        <v>3639</v>
      </c>
      <c r="V828" s="9">
        <v>3</v>
      </c>
      <c r="W828" s="9">
        <f t="shared" si="607"/>
        <v>3635</v>
      </c>
      <c r="X828" s="9">
        <f t="shared" si="559"/>
        <v>15</v>
      </c>
      <c r="Y828" s="7">
        <f t="shared" si="608"/>
        <v>13.849</v>
      </c>
      <c r="Z828" s="7">
        <f t="shared" si="609"/>
        <v>13.151</v>
      </c>
      <c r="AA828" s="9">
        <v>0</v>
      </c>
      <c r="AB828" s="9">
        <v>1</v>
      </c>
      <c r="AC828" s="9">
        <v>0</v>
      </c>
      <c r="AD828" s="9">
        <v>1</v>
      </c>
      <c r="AE828" s="9">
        <v>0</v>
      </c>
      <c r="AF828" s="9">
        <v>0</v>
      </c>
      <c r="AG828" s="8">
        <v>0</v>
      </c>
      <c r="AH828" s="9">
        <v>0</v>
      </c>
      <c r="AI828" s="30">
        <v>1</v>
      </c>
      <c r="AJ828" s="9">
        <v>1</v>
      </c>
      <c r="AK828" s="30">
        <v>0</v>
      </c>
      <c r="AL828" s="21">
        <v>1958</v>
      </c>
      <c r="AM828" s="23">
        <f t="shared" si="561"/>
        <v>7.5796788230904557</v>
      </c>
      <c r="AN828" s="33">
        <v>0</v>
      </c>
      <c r="AO828" s="33">
        <v>0</v>
      </c>
      <c r="AP828" s="33">
        <v>0.71699999999999997</v>
      </c>
      <c r="AQ828" s="43">
        <v>0.28299999999999997</v>
      </c>
      <c r="AR828" s="33">
        <v>0.94799999999999995</v>
      </c>
      <c r="AS828" s="43">
        <v>5.1999999999999998E-2</v>
      </c>
      <c r="AT828" s="42" t="s">
        <v>106</v>
      </c>
      <c r="AU828" s="18" t="s">
        <v>106</v>
      </c>
      <c r="AV828">
        <v>1</v>
      </c>
      <c r="AW828" s="40">
        <v>0</v>
      </c>
      <c r="AX828" t="s">
        <v>106</v>
      </c>
      <c r="AY828" s="40" t="s">
        <v>106</v>
      </c>
      <c r="BA828" s="18"/>
      <c r="BB828" t="s">
        <v>106</v>
      </c>
      <c r="BC828" s="18" t="s">
        <v>106</v>
      </c>
      <c r="BD828" s="18" t="s">
        <v>340</v>
      </c>
      <c r="BK828" s="18"/>
      <c r="BN828" s="18"/>
      <c r="BQ828" s="25">
        <v>33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 s="18">
        <v>1</v>
      </c>
      <c r="BZ828">
        <v>0</v>
      </c>
      <c r="CA828">
        <v>1</v>
      </c>
      <c r="CB828">
        <v>0</v>
      </c>
      <c r="CC828" s="18">
        <v>0</v>
      </c>
      <c r="CD828">
        <v>1</v>
      </c>
      <c r="CE828">
        <v>0</v>
      </c>
      <c r="CF828">
        <v>0</v>
      </c>
      <c r="CG828">
        <v>0</v>
      </c>
      <c r="CH828" s="18">
        <v>0</v>
      </c>
      <c r="CI828">
        <v>0</v>
      </c>
      <c r="CJ828">
        <v>0</v>
      </c>
      <c r="CK828">
        <v>0</v>
      </c>
      <c r="CL828">
        <v>0</v>
      </c>
      <c r="CM828">
        <v>1</v>
      </c>
      <c r="CN828">
        <v>0</v>
      </c>
      <c r="CO828">
        <v>0</v>
      </c>
      <c r="CP828">
        <v>0</v>
      </c>
      <c r="CQ828">
        <v>0</v>
      </c>
      <c r="CR828">
        <v>1</v>
      </c>
      <c r="CS828" s="18">
        <v>0</v>
      </c>
      <c r="DD828" s="34" t="s">
        <v>86</v>
      </c>
    </row>
    <row r="829" spans="1:108" x14ac:dyDescent="0.25">
      <c r="A829">
        <v>828</v>
      </c>
      <c r="B829">
        <v>54</v>
      </c>
      <c r="C829" s="25" t="s">
        <v>519</v>
      </c>
      <c r="D829" s="12">
        <v>1.3236060808597532</v>
      </c>
      <c r="E829" s="14">
        <v>0.27250713429465506</v>
      </c>
      <c r="F829" s="7">
        <v>4.8571428571428568</v>
      </c>
      <c r="G829" s="7">
        <f t="shared" si="600"/>
        <v>1.0510989465650982</v>
      </c>
      <c r="H829" s="16">
        <f t="shared" si="601"/>
        <v>1.5961132151544082</v>
      </c>
      <c r="I829" s="11">
        <f t="shared" si="602"/>
        <v>8.0301544138865227E-2</v>
      </c>
      <c r="J829" s="33">
        <f t="shared" si="603"/>
        <v>1.6532670852119312E-2</v>
      </c>
      <c r="K829" s="33">
        <f t="shared" si="604"/>
        <v>60.486294618985333</v>
      </c>
      <c r="L829" s="33">
        <f t="shared" si="605"/>
        <v>6.3768873286745908E-2</v>
      </c>
      <c r="M829" s="33">
        <f t="shared" si="606"/>
        <v>9.6834214990984546E-2</v>
      </c>
      <c r="N829" s="8">
        <v>1</v>
      </c>
      <c r="O829" s="9">
        <v>0</v>
      </c>
      <c r="P829" s="8">
        <v>0</v>
      </c>
      <c r="Q829" s="9">
        <v>0</v>
      </c>
      <c r="R829" s="9">
        <v>1</v>
      </c>
      <c r="S829" s="9">
        <v>0</v>
      </c>
      <c r="T829" s="9">
        <v>0</v>
      </c>
      <c r="U829" s="8">
        <v>3639</v>
      </c>
      <c r="V829" s="9">
        <v>3</v>
      </c>
      <c r="W829" s="9">
        <f t="shared" si="607"/>
        <v>3635</v>
      </c>
      <c r="X829" s="9">
        <f t="shared" si="559"/>
        <v>15</v>
      </c>
      <c r="Y829" s="7">
        <f t="shared" si="608"/>
        <v>13.849</v>
      </c>
      <c r="Z829" s="7">
        <f t="shared" si="609"/>
        <v>13.151</v>
      </c>
      <c r="AA829" s="9">
        <v>0</v>
      </c>
      <c r="AB829" s="9">
        <v>1</v>
      </c>
      <c r="AC829" s="9">
        <v>0</v>
      </c>
      <c r="AD829" s="9">
        <v>1</v>
      </c>
      <c r="AE829" s="9">
        <v>0</v>
      </c>
      <c r="AF829" s="9">
        <v>0</v>
      </c>
      <c r="AG829" s="8">
        <v>0</v>
      </c>
      <c r="AH829" s="9">
        <v>0</v>
      </c>
      <c r="AI829" s="30">
        <v>1</v>
      </c>
      <c r="AJ829" s="9">
        <v>1</v>
      </c>
      <c r="AK829" s="30">
        <v>0</v>
      </c>
      <c r="AL829" s="21">
        <v>1958</v>
      </c>
      <c r="AM829" s="23">
        <f t="shared" si="561"/>
        <v>7.5796788230904557</v>
      </c>
      <c r="AN829" s="33">
        <v>0</v>
      </c>
      <c r="AO829" s="33">
        <v>0</v>
      </c>
      <c r="AP829" s="33">
        <v>0.71699999999999997</v>
      </c>
      <c r="AQ829" s="43">
        <v>0.28299999999999997</v>
      </c>
      <c r="AR829" s="33">
        <v>0.94799999999999995</v>
      </c>
      <c r="AS829" s="43">
        <v>5.1999999999999998E-2</v>
      </c>
      <c r="AT829" s="42" t="s">
        <v>106</v>
      </c>
      <c r="AU829" s="18" t="s">
        <v>106</v>
      </c>
      <c r="AV829">
        <v>1</v>
      </c>
      <c r="AW829" s="40">
        <v>0</v>
      </c>
      <c r="AX829" t="s">
        <v>106</v>
      </c>
      <c r="AY829" s="40" t="s">
        <v>106</v>
      </c>
      <c r="BA829" s="18"/>
      <c r="BB829" t="s">
        <v>106</v>
      </c>
      <c r="BC829" s="18" t="s">
        <v>106</v>
      </c>
      <c r="BD829" s="18" t="s">
        <v>340</v>
      </c>
      <c r="BK829" s="18"/>
      <c r="BN829" s="18"/>
      <c r="BQ829" s="25">
        <v>33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 s="18">
        <v>1</v>
      </c>
      <c r="BZ829">
        <v>0</v>
      </c>
      <c r="CA829">
        <v>1</v>
      </c>
      <c r="CB829">
        <v>0</v>
      </c>
      <c r="CC829" s="18">
        <v>0</v>
      </c>
      <c r="CD829">
        <v>1</v>
      </c>
      <c r="CE829">
        <v>0</v>
      </c>
      <c r="CF829">
        <v>0</v>
      </c>
      <c r="CG829">
        <v>0</v>
      </c>
      <c r="CH829" s="18">
        <v>0</v>
      </c>
      <c r="CI829">
        <v>0</v>
      </c>
      <c r="CJ829">
        <v>0</v>
      </c>
      <c r="CK829">
        <v>0</v>
      </c>
      <c r="CL829">
        <v>0</v>
      </c>
      <c r="CM829">
        <v>1</v>
      </c>
      <c r="CN829">
        <v>0</v>
      </c>
      <c r="CO829">
        <v>0</v>
      </c>
      <c r="CP829">
        <v>0</v>
      </c>
      <c r="CQ829">
        <v>0</v>
      </c>
      <c r="CR829">
        <v>1</v>
      </c>
      <c r="CS829" s="18">
        <v>0</v>
      </c>
      <c r="DD829" s="34" t="s">
        <v>86</v>
      </c>
    </row>
    <row r="830" spans="1:108" x14ac:dyDescent="0.25">
      <c r="A830">
        <v>829</v>
      </c>
      <c r="B830">
        <v>54</v>
      </c>
      <c r="C830" s="25" t="s">
        <v>519</v>
      </c>
      <c r="D830" s="12">
        <v>3.0088649333079016</v>
      </c>
      <c r="E830" s="14">
        <v>0.22202820118557035</v>
      </c>
      <c r="F830" s="7">
        <v>13.551724137931034</v>
      </c>
      <c r="G830" s="7">
        <f t="shared" si="600"/>
        <v>2.7868367321223313</v>
      </c>
      <c r="H830" s="16">
        <f t="shared" si="601"/>
        <v>3.2308931344934719</v>
      </c>
      <c r="I830" s="11">
        <f t="shared" si="602"/>
        <v>0.21930052382972101</v>
      </c>
      <c r="J830" s="33">
        <f t="shared" si="603"/>
        <v>1.6182481402193156E-2</v>
      </c>
      <c r="K830" s="33">
        <f t="shared" si="604"/>
        <v>61.795220099216273</v>
      </c>
      <c r="L830" s="33">
        <f t="shared" si="605"/>
        <v>0.20311804242752785</v>
      </c>
      <c r="M830" s="33">
        <f t="shared" si="606"/>
        <v>0.23548300523191418</v>
      </c>
      <c r="N830" s="8">
        <v>1</v>
      </c>
      <c r="O830" s="9">
        <v>0</v>
      </c>
      <c r="P830" s="8">
        <v>0</v>
      </c>
      <c r="Q830" s="9">
        <v>0</v>
      </c>
      <c r="R830" s="9">
        <v>1</v>
      </c>
      <c r="S830" s="9">
        <v>0</v>
      </c>
      <c r="T830" s="9">
        <v>0</v>
      </c>
      <c r="U830" s="8">
        <v>3639</v>
      </c>
      <c r="V830" s="9">
        <v>3</v>
      </c>
      <c r="W830" s="9">
        <f t="shared" si="607"/>
        <v>3635</v>
      </c>
      <c r="X830" s="9">
        <f t="shared" si="559"/>
        <v>15</v>
      </c>
      <c r="Y830" s="7">
        <f t="shared" si="608"/>
        <v>13.849</v>
      </c>
      <c r="Z830" s="7">
        <f t="shared" si="609"/>
        <v>13.151</v>
      </c>
      <c r="AA830" s="9">
        <v>0</v>
      </c>
      <c r="AB830" s="9">
        <v>1</v>
      </c>
      <c r="AC830" s="9">
        <v>0</v>
      </c>
      <c r="AD830" s="9">
        <v>1</v>
      </c>
      <c r="AE830" s="9">
        <v>0</v>
      </c>
      <c r="AF830" s="9">
        <v>0</v>
      </c>
      <c r="AG830" s="8">
        <v>0</v>
      </c>
      <c r="AH830" s="9">
        <v>0</v>
      </c>
      <c r="AI830" s="30">
        <v>1</v>
      </c>
      <c r="AJ830" s="9">
        <v>1</v>
      </c>
      <c r="AK830" s="30">
        <v>0</v>
      </c>
      <c r="AL830" s="21">
        <v>1958</v>
      </c>
      <c r="AM830" s="23">
        <f t="shared" si="561"/>
        <v>7.5796788230904557</v>
      </c>
      <c r="AN830" s="33">
        <v>0</v>
      </c>
      <c r="AO830" s="33">
        <v>0</v>
      </c>
      <c r="AP830" s="33">
        <v>0.71699999999999997</v>
      </c>
      <c r="AQ830" s="43">
        <v>0.28299999999999997</v>
      </c>
      <c r="AR830" s="33">
        <v>0.94799999999999995</v>
      </c>
      <c r="AS830" s="43">
        <v>5.1999999999999998E-2</v>
      </c>
      <c r="AT830" s="42" t="s">
        <v>106</v>
      </c>
      <c r="AU830" s="18" t="s">
        <v>106</v>
      </c>
      <c r="AV830">
        <v>1</v>
      </c>
      <c r="AW830" s="40">
        <v>0</v>
      </c>
      <c r="AX830" t="s">
        <v>106</v>
      </c>
      <c r="AY830" s="40" t="s">
        <v>106</v>
      </c>
      <c r="BA830" s="18"/>
      <c r="BB830" t="s">
        <v>106</v>
      </c>
      <c r="BC830" s="18" t="s">
        <v>106</v>
      </c>
      <c r="BD830" s="18" t="s">
        <v>340</v>
      </c>
      <c r="BK830" s="18"/>
      <c r="BN830" s="18"/>
      <c r="BQ830" s="25">
        <v>33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 s="18">
        <v>1</v>
      </c>
      <c r="BZ830">
        <v>0</v>
      </c>
      <c r="CA830">
        <v>1</v>
      </c>
      <c r="CB830">
        <v>0</v>
      </c>
      <c r="CC830" s="18">
        <v>0</v>
      </c>
      <c r="CD830">
        <v>1</v>
      </c>
      <c r="CE830">
        <v>0</v>
      </c>
      <c r="CF830">
        <v>0</v>
      </c>
      <c r="CG830">
        <v>0</v>
      </c>
      <c r="CH830" s="18">
        <v>0</v>
      </c>
      <c r="CI830">
        <v>0</v>
      </c>
      <c r="CJ830">
        <v>0</v>
      </c>
      <c r="CK830">
        <v>0</v>
      </c>
      <c r="CL830">
        <v>0</v>
      </c>
      <c r="CM830">
        <v>1</v>
      </c>
      <c r="CN830">
        <v>0</v>
      </c>
      <c r="CO830">
        <v>0</v>
      </c>
      <c r="CP830">
        <v>0</v>
      </c>
      <c r="CQ830">
        <v>0</v>
      </c>
      <c r="CR830">
        <v>1</v>
      </c>
      <c r="CS830" s="18">
        <v>0</v>
      </c>
      <c r="DD830" s="34" t="s">
        <v>86</v>
      </c>
    </row>
    <row r="831" spans="1:108" x14ac:dyDescent="0.25">
      <c r="A831">
        <v>830</v>
      </c>
      <c r="B831">
        <v>54</v>
      </c>
      <c r="C831" s="25" t="s">
        <v>519</v>
      </c>
      <c r="D831" s="12">
        <v>2.7924310710709039</v>
      </c>
      <c r="E831" s="14">
        <v>9.6623912493802908E-2</v>
      </c>
      <c r="F831" s="7">
        <v>28.9</v>
      </c>
      <c r="G831" s="7">
        <f t="shared" si="600"/>
        <v>2.6958071585771011</v>
      </c>
      <c r="H831" s="16">
        <f t="shared" si="601"/>
        <v>2.8890549835647068</v>
      </c>
      <c r="I831" s="11">
        <f t="shared" si="602"/>
        <v>0.4322488832196768</v>
      </c>
      <c r="J831" s="33">
        <f t="shared" si="603"/>
        <v>1.4956708761926535E-2</v>
      </c>
      <c r="K831" s="33">
        <f t="shared" si="604"/>
        <v>66.859629074651622</v>
      </c>
      <c r="L831" s="33">
        <f t="shared" si="605"/>
        <v>0.41729217445775024</v>
      </c>
      <c r="M831" s="33">
        <f t="shared" si="606"/>
        <v>0.44720559198160337</v>
      </c>
      <c r="N831" s="8">
        <v>1</v>
      </c>
      <c r="O831" s="9">
        <v>0</v>
      </c>
      <c r="P831" s="8">
        <v>0</v>
      </c>
      <c r="Q831" s="9">
        <v>0</v>
      </c>
      <c r="R831" s="9">
        <v>1</v>
      </c>
      <c r="S831" s="9">
        <v>0</v>
      </c>
      <c r="T831" s="9">
        <v>0</v>
      </c>
      <c r="U831" s="8">
        <v>3639</v>
      </c>
      <c r="V831" s="9">
        <v>3</v>
      </c>
      <c r="W831" s="9">
        <f t="shared" si="607"/>
        <v>3635</v>
      </c>
      <c r="X831" s="9">
        <f t="shared" si="559"/>
        <v>15</v>
      </c>
      <c r="Y831" s="7">
        <f t="shared" si="608"/>
        <v>13.849</v>
      </c>
      <c r="Z831" s="7">
        <f t="shared" si="609"/>
        <v>13.151</v>
      </c>
      <c r="AA831" s="9">
        <v>0</v>
      </c>
      <c r="AB831" s="9">
        <v>1</v>
      </c>
      <c r="AC831" s="9">
        <v>0</v>
      </c>
      <c r="AD831" s="9">
        <v>1</v>
      </c>
      <c r="AE831" s="9">
        <v>0</v>
      </c>
      <c r="AF831" s="9">
        <v>0</v>
      </c>
      <c r="AG831" s="8">
        <v>0</v>
      </c>
      <c r="AH831" s="9">
        <v>0</v>
      </c>
      <c r="AI831" s="30">
        <v>1</v>
      </c>
      <c r="AJ831" s="9">
        <v>1</v>
      </c>
      <c r="AK831" s="30">
        <v>0</v>
      </c>
      <c r="AL831" s="21">
        <v>1958</v>
      </c>
      <c r="AM831" s="23">
        <f t="shared" si="561"/>
        <v>7.5796788230904557</v>
      </c>
      <c r="AN831" s="33">
        <v>0</v>
      </c>
      <c r="AO831" s="33">
        <v>0</v>
      </c>
      <c r="AP831" s="33">
        <v>0.71699999999999997</v>
      </c>
      <c r="AQ831" s="43">
        <v>0.28299999999999997</v>
      </c>
      <c r="AR831" s="33">
        <v>0.94799999999999995</v>
      </c>
      <c r="AS831" s="43">
        <v>5.1999999999999998E-2</v>
      </c>
      <c r="AT831" s="42" t="s">
        <v>106</v>
      </c>
      <c r="AU831" s="18" t="s">
        <v>106</v>
      </c>
      <c r="AV831">
        <v>1</v>
      </c>
      <c r="AW831" s="40">
        <v>0</v>
      </c>
      <c r="AX831" t="s">
        <v>106</v>
      </c>
      <c r="AY831" s="40" t="s">
        <v>106</v>
      </c>
      <c r="BA831" s="18"/>
      <c r="BB831" t="s">
        <v>106</v>
      </c>
      <c r="BC831" s="18" t="s">
        <v>106</v>
      </c>
      <c r="BD831" s="18" t="s">
        <v>340</v>
      </c>
      <c r="BK831" s="18"/>
      <c r="BN831" s="18"/>
      <c r="BQ831" s="25">
        <v>33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 s="18">
        <v>1</v>
      </c>
      <c r="BZ831">
        <v>0</v>
      </c>
      <c r="CA831">
        <v>1</v>
      </c>
      <c r="CB831">
        <v>0</v>
      </c>
      <c r="CC831" s="18">
        <v>0</v>
      </c>
      <c r="CD831">
        <v>1</v>
      </c>
      <c r="CE831">
        <v>0</v>
      </c>
      <c r="CF831">
        <v>0</v>
      </c>
      <c r="CG831">
        <v>0</v>
      </c>
      <c r="CH831" s="18">
        <v>0</v>
      </c>
      <c r="CI831">
        <v>0</v>
      </c>
      <c r="CJ831">
        <v>0</v>
      </c>
      <c r="CK831">
        <v>0</v>
      </c>
      <c r="CL831">
        <v>0</v>
      </c>
      <c r="CM831">
        <v>1</v>
      </c>
      <c r="CN831">
        <v>0</v>
      </c>
      <c r="CO831">
        <v>0</v>
      </c>
      <c r="CP831">
        <v>0</v>
      </c>
      <c r="CQ831">
        <v>0</v>
      </c>
      <c r="CR831">
        <v>1</v>
      </c>
      <c r="CS831" s="18">
        <v>0</v>
      </c>
      <c r="DD831" s="34" t="s">
        <v>86</v>
      </c>
    </row>
    <row r="832" spans="1:108" x14ac:dyDescent="0.25">
      <c r="A832">
        <v>831</v>
      </c>
      <c r="B832">
        <v>54</v>
      </c>
      <c r="C832" s="25" t="s">
        <v>519</v>
      </c>
      <c r="D832" s="12">
        <v>1.2898078694519723</v>
      </c>
      <c r="E832" s="14">
        <v>0.52835503085984414</v>
      </c>
      <c r="F832" s="7">
        <v>2.4411764705882351</v>
      </c>
      <c r="G832" s="7">
        <f t="shared" si="600"/>
        <v>0.7614528385921282</v>
      </c>
      <c r="H832" s="16">
        <f t="shared" si="601"/>
        <v>1.8181629003118165</v>
      </c>
      <c r="I832" s="11">
        <f t="shared" si="602"/>
        <v>4.0456775047596705E-2</v>
      </c>
      <c r="J832" s="33">
        <f t="shared" si="603"/>
        <v>1.6572654838774556E-2</v>
      </c>
      <c r="K832" s="33">
        <f t="shared" si="604"/>
        <v>60.340362466267578</v>
      </c>
      <c r="L832" s="33">
        <f t="shared" si="605"/>
        <v>2.3884120208822149E-2</v>
      </c>
      <c r="M832" s="33">
        <f t="shared" si="606"/>
        <v>5.7029429886371261E-2</v>
      </c>
      <c r="N832" s="8">
        <v>1</v>
      </c>
      <c r="O832" s="9">
        <v>0</v>
      </c>
      <c r="P832" s="8">
        <v>0</v>
      </c>
      <c r="Q832" s="9">
        <v>0</v>
      </c>
      <c r="R832" s="9">
        <v>1</v>
      </c>
      <c r="S832" s="9">
        <v>0</v>
      </c>
      <c r="T832" s="9">
        <v>0</v>
      </c>
      <c r="U832" s="8">
        <v>3639</v>
      </c>
      <c r="V832" s="9">
        <v>3</v>
      </c>
      <c r="W832" s="9">
        <f t="shared" si="607"/>
        <v>3635</v>
      </c>
      <c r="X832" s="9">
        <f t="shared" si="559"/>
        <v>15</v>
      </c>
      <c r="Y832" s="7">
        <f t="shared" si="608"/>
        <v>13.849</v>
      </c>
      <c r="Z832" s="7">
        <f t="shared" si="609"/>
        <v>13.151</v>
      </c>
      <c r="AA832" s="9">
        <v>0</v>
      </c>
      <c r="AB832" s="9">
        <v>1</v>
      </c>
      <c r="AC832" s="9">
        <v>0</v>
      </c>
      <c r="AD832" s="9">
        <v>1</v>
      </c>
      <c r="AE832" s="9">
        <v>0</v>
      </c>
      <c r="AF832" s="9">
        <v>0</v>
      </c>
      <c r="AG832" s="8">
        <v>0</v>
      </c>
      <c r="AH832" s="9">
        <v>0</v>
      </c>
      <c r="AI832" s="30">
        <v>1</v>
      </c>
      <c r="AJ832" s="9">
        <v>1</v>
      </c>
      <c r="AK832" s="30">
        <v>0</v>
      </c>
      <c r="AL832" s="21">
        <v>1958</v>
      </c>
      <c r="AM832" s="23">
        <f t="shared" si="561"/>
        <v>7.5796788230904557</v>
      </c>
      <c r="AN832" s="33">
        <v>0</v>
      </c>
      <c r="AO832" s="33">
        <v>0</v>
      </c>
      <c r="AP832" s="33">
        <v>0.71699999999999997</v>
      </c>
      <c r="AQ832" s="43">
        <v>0.28299999999999997</v>
      </c>
      <c r="AR832" s="33">
        <v>0.94799999999999995</v>
      </c>
      <c r="AS832" s="43">
        <v>5.1999999999999998E-2</v>
      </c>
      <c r="AT832" s="42" t="s">
        <v>106</v>
      </c>
      <c r="AU832" s="18" t="s">
        <v>106</v>
      </c>
      <c r="AV832">
        <v>1</v>
      </c>
      <c r="AW832" s="40">
        <v>0</v>
      </c>
      <c r="AX832" t="s">
        <v>106</v>
      </c>
      <c r="AY832" s="40" t="s">
        <v>106</v>
      </c>
      <c r="BA832" s="18"/>
      <c r="BB832" t="s">
        <v>106</v>
      </c>
      <c r="BC832" s="18" t="s">
        <v>106</v>
      </c>
      <c r="BD832" s="18" t="s">
        <v>340</v>
      </c>
      <c r="BK832" s="18"/>
      <c r="BN832" s="18"/>
      <c r="BQ832" s="25">
        <v>33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 s="18">
        <v>1</v>
      </c>
      <c r="BZ832">
        <v>0</v>
      </c>
      <c r="CA832">
        <v>1</v>
      </c>
      <c r="CB832">
        <v>0</v>
      </c>
      <c r="CC832" s="18">
        <v>0</v>
      </c>
      <c r="CD832">
        <v>1</v>
      </c>
      <c r="CE832">
        <v>0</v>
      </c>
      <c r="CF832">
        <v>0</v>
      </c>
      <c r="CG832">
        <v>0</v>
      </c>
      <c r="CH832" s="18">
        <v>0</v>
      </c>
      <c r="CI832">
        <v>0</v>
      </c>
      <c r="CJ832">
        <v>0</v>
      </c>
      <c r="CK832">
        <v>0</v>
      </c>
      <c r="CL832">
        <v>0</v>
      </c>
      <c r="CM832">
        <v>1</v>
      </c>
      <c r="CN832">
        <v>0</v>
      </c>
      <c r="CO832">
        <v>0</v>
      </c>
      <c r="CP832">
        <v>0</v>
      </c>
      <c r="CQ832">
        <v>0</v>
      </c>
      <c r="CR832">
        <v>1</v>
      </c>
      <c r="CS832" s="18">
        <v>0</v>
      </c>
      <c r="DD832" s="34" t="s">
        <v>86</v>
      </c>
    </row>
    <row r="833" spans="1:108" x14ac:dyDescent="0.25">
      <c r="A833">
        <v>832</v>
      </c>
      <c r="B833">
        <v>54</v>
      </c>
      <c r="C833" s="25" t="s">
        <v>519</v>
      </c>
      <c r="D833" s="12">
        <v>2.8255271239548447</v>
      </c>
      <c r="E833" s="14">
        <v>0.47723380377789598</v>
      </c>
      <c r="F833" s="7">
        <v>5.9206349206349209</v>
      </c>
      <c r="G833" s="7">
        <f t="shared" si="600"/>
        <v>2.3482933201769489</v>
      </c>
      <c r="H833" s="16">
        <f t="shared" si="601"/>
        <v>3.3027609277327405</v>
      </c>
      <c r="I833" s="11">
        <f t="shared" si="602"/>
        <v>9.7730936419665043E-2</v>
      </c>
      <c r="J833" s="33">
        <f t="shared" si="603"/>
        <v>1.6506833765251739E-2</v>
      </c>
      <c r="K833" s="33">
        <f t="shared" si="604"/>
        <v>60.580969931682681</v>
      </c>
      <c r="L833" s="33">
        <f t="shared" si="605"/>
        <v>8.1224102654413308E-2</v>
      </c>
      <c r="M833" s="33">
        <f t="shared" si="606"/>
        <v>0.11423777018491678</v>
      </c>
      <c r="N833" s="8">
        <v>1</v>
      </c>
      <c r="O833" s="9">
        <v>0</v>
      </c>
      <c r="P833" s="8">
        <v>0</v>
      </c>
      <c r="Q833" s="9">
        <v>0</v>
      </c>
      <c r="R833" s="9">
        <v>1</v>
      </c>
      <c r="S833" s="9">
        <v>0</v>
      </c>
      <c r="T833" s="9">
        <v>0</v>
      </c>
      <c r="U833" s="8">
        <v>3639</v>
      </c>
      <c r="V833" s="9">
        <v>3</v>
      </c>
      <c r="W833" s="9">
        <f t="shared" si="607"/>
        <v>3635</v>
      </c>
      <c r="X833" s="9">
        <f t="shared" si="559"/>
        <v>15</v>
      </c>
      <c r="Y833" s="7">
        <f t="shared" si="608"/>
        <v>13.849</v>
      </c>
      <c r="Z833" s="7">
        <f t="shared" si="609"/>
        <v>13.151</v>
      </c>
      <c r="AA833" s="9">
        <v>0</v>
      </c>
      <c r="AB833" s="9">
        <v>1</v>
      </c>
      <c r="AC833" s="9">
        <v>0</v>
      </c>
      <c r="AD833" s="9">
        <v>1</v>
      </c>
      <c r="AE833" s="9">
        <v>0</v>
      </c>
      <c r="AF833" s="9">
        <v>0</v>
      </c>
      <c r="AG833" s="8">
        <v>0</v>
      </c>
      <c r="AH833" s="9">
        <v>0</v>
      </c>
      <c r="AI833" s="30">
        <v>1</v>
      </c>
      <c r="AJ833" s="9">
        <v>1</v>
      </c>
      <c r="AK833" s="30">
        <v>0</v>
      </c>
      <c r="AL833" s="21">
        <v>1958</v>
      </c>
      <c r="AM833" s="23">
        <f t="shared" si="561"/>
        <v>7.5796788230904557</v>
      </c>
      <c r="AN833" s="33">
        <v>0</v>
      </c>
      <c r="AO833" s="33">
        <v>0</v>
      </c>
      <c r="AP833" s="33">
        <v>0.71699999999999997</v>
      </c>
      <c r="AQ833" s="43">
        <v>0.28299999999999997</v>
      </c>
      <c r="AR833" s="33">
        <v>0.94799999999999995</v>
      </c>
      <c r="AS833" s="43">
        <v>5.1999999999999998E-2</v>
      </c>
      <c r="AT833" s="42" t="s">
        <v>106</v>
      </c>
      <c r="AU833" s="18" t="s">
        <v>106</v>
      </c>
      <c r="AV833">
        <v>1</v>
      </c>
      <c r="AW833" s="40">
        <v>0</v>
      </c>
      <c r="AX833" t="s">
        <v>106</v>
      </c>
      <c r="AY833" s="40" t="s">
        <v>106</v>
      </c>
      <c r="BA833" s="18"/>
      <c r="BB833" t="s">
        <v>106</v>
      </c>
      <c r="BC833" s="18" t="s">
        <v>106</v>
      </c>
      <c r="BD833" s="18" t="s">
        <v>340</v>
      </c>
      <c r="BK833" s="18"/>
      <c r="BN833" s="18"/>
      <c r="BQ833" s="25">
        <v>33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 s="18">
        <v>1</v>
      </c>
      <c r="BZ833">
        <v>0</v>
      </c>
      <c r="CA833">
        <v>1</v>
      </c>
      <c r="CB833">
        <v>0</v>
      </c>
      <c r="CC833" s="18">
        <v>0</v>
      </c>
      <c r="CD833">
        <v>1</v>
      </c>
      <c r="CE833">
        <v>0</v>
      </c>
      <c r="CF833">
        <v>0</v>
      </c>
      <c r="CG833">
        <v>0</v>
      </c>
      <c r="CH833" s="18">
        <v>0</v>
      </c>
      <c r="CI833">
        <v>0</v>
      </c>
      <c r="CJ833">
        <v>0</v>
      </c>
      <c r="CK833">
        <v>0</v>
      </c>
      <c r="CL833">
        <v>0</v>
      </c>
      <c r="CM833">
        <v>1</v>
      </c>
      <c r="CN833">
        <v>0</v>
      </c>
      <c r="CO833">
        <v>0</v>
      </c>
      <c r="CP833">
        <v>0</v>
      </c>
      <c r="CQ833">
        <v>0</v>
      </c>
      <c r="CR833">
        <v>1</v>
      </c>
      <c r="CS833" s="18">
        <v>0</v>
      </c>
      <c r="DD833" s="34" t="s">
        <v>86</v>
      </c>
    </row>
    <row r="834" spans="1:108" x14ac:dyDescent="0.25">
      <c r="A834">
        <v>833</v>
      </c>
      <c r="B834">
        <v>54</v>
      </c>
      <c r="C834" s="25" t="s">
        <v>519</v>
      </c>
      <c r="D834" s="12">
        <v>2.0610285880338735</v>
      </c>
      <c r="E834" s="14">
        <v>9.325921212822956E-2</v>
      </c>
      <c r="F834" s="7">
        <v>22.1</v>
      </c>
      <c r="G834" s="7">
        <f t="shared" si="600"/>
        <v>1.9677693759056438</v>
      </c>
      <c r="H834" s="16">
        <f t="shared" si="601"/>
        <v>2.1542878001621029</v>
      </c>
      <c r="I834" s="11">
        <f t="shared" si="602"/>
        <v>0.34416286928355505</v>
      </c>
      <c r="J834" s="33">
        <f t="shared" si="603"/>
        <v>1.5572980510568098E-2</v>
      </c>
      <c r="K834" s="33">
        <f t="shared" si="604"/>
        <v>64.21378356708162</v>
      </c>
      <c r="L834" s="33">
        <f t="shared" si="605"/>
        <v>0.32858988877298695</v>
      </c>
      <c r="M834" s="33">
        <f t="shared" si="606"/>
        <v>0.35973584979412315</v>
      </c>
      <c r="N834" s="8">
        <v>1</v>
      </c>
      <c r="O834" s="9">
        <v>0</v>
      </c>
      <c r="P834" s="8">
        <v>0</v>
      </c>
      <c r="Q834" s="9">
        <v>0</v>
      </c>
      <c r="R834" s="9">
        <v>1</v>
      </c>
      <c r="S834" s="9">
        <v>0</v>
      </c>
      <c r="T834" s="9">
        <v>0</v>
      </c>
      <c r="U834" s="8">
        <v>3639</v>
      </c>
      <c r="V834" s="9">
        <v>3</v>
      </c>
      <c r="W834" s="9">
        <f t="shared" si="607"/>
        <v>3635</v>
      </c>
      <c r="X834" s="9">
        <f t="shared" si="559"/>
        <v>15</v>
      </c>
      <c r="Y834" s="7">
        <f t="shared" si="608"/>
        <v>13.849</v>
      </c>
      <c r="Z834" s="7">
        <f t="shared" si="609"/>
        <v>13.151</v>
      </c>
      <c r="AA834" s="9">
        <v>0</v>
      </c>
      <c r="AB834" s="9">
        <v>1</v>
      </c>
      <c r="AC834" s="9">
        <v>0</v>
      </c>
      <c r="AD834" s="9">
        <v>1</v>
      </c>
      <c r="AE834" s="9">
        <v>0</v>
      </c>
      <c r="AF834" s="9">
        <v>0</v>
      </c>
      <c r="AG834" s="8">
        <v>0</v>
      </c>
      <c r="AH834" s="9">
        <v>0</v>
      </c>
      <c r="AI834" s="30">
        <v>1</v>
      </c>
      <c r="AJ834" s="9">
        <v>1</v>
      </c>
      <c r="AK834" s="30">
        <v>0</v>
      </c>
      <c r="AL834" s="21">
        <v>1958</v>
      </c>
      <c r="AM834" s="23">
        <f t="shared" si="561"/>
        <v>7.5796788230904557</v>
      </c>
      <c r="AN834" s="33">
        <v>0</v>
      </c>
      <c r="AO834" s="33">
        <v>0</v>
      </c>
      <c r="AP834" s="33">
        <v>0.71699999999999997</v>
      </c>
      <c r="AQ834" s="43">
        <v>0.28299999999999997</v>
      </c>
      <c r="AR834" s="33">
        <v>0.94799999999999995</v>
      </c>
      <c r="AS834" s="43">
        <v>5.1999999999999998E-2</v>
      </c>
      <c r="AT834" s="42" t="s">
        <v>106</v>
      </c>
      <c r="AU834" s="18" t="s">
        <v>106</v>
      </c>
      <c r="AV834">
        <v>1</v>
      </c>
      <c r="AW834" s="40">
        <v>0</v>
      </c>
      <c r="AX834" t="s">
        <v>106</v>
      </c>
      <c r="AY834" s="40" t="s">
        <v>106</v>
      </c>
      <c r="BA834" s="18"/>
      <c r="BB834" t="s">
        <v>106</v>
      </c>
      <c r="BC834" s="18" t="s">
        <v>106</v>
      </c>
      <c r="BD834" s="18" t="s">
        <v>340</v>
      </c>
      <c r="BK834" s="18"/>
      <c r="BN834" s="18"/>
      <c r="BQ834" s="25">
        <v>33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 s="18">
        <v>1</v>
      </c>
      <c r="BZ834">
        <v>0</v>
      </c>
      <c r="CA834">
        <v>1</v>
      </c>
      <c r="CB834">
        <v>0</v>
      </c>
      <c r="CC834" s="18">
        <v>0</v>
      </c>
      <c r="CD834">
        <v>1</v>
      </c>
      <c r="CE834">
        <v>0</v>
      </c>
      <c r="CF834">
        <v>0</v>
      </c>
      <c r="CG834">
        <v>0</v>
      </c>
      <c r="CH834" s="18">
        <v>0</v>
      </c>
      <c r="CI834">
        <v>0</v>
      </c>
      <c r="CJ834">
        <v>0</v>
      </c>
      <c r="CK834">
        <v>0</v>
      </c>
      <c r="CL834">
        <v>0</v>
      </c>
      <c r="CM834">
        <v>1</v>
      </c>
      <c r="CN834">
        <v>0</v>
      </c>
      <c r="CO834">
        <v>0</v>
      </c>
      <c r="CP834">
        <v>0</v>
      </c>
      <c r="CQ834">
        <v>0</v>
      </c>
      <c r="CR834">
        <v>1</v>
      </c>
      <c r="CS834" s="18">
        <v>0</v>
      </c>
      <c r="DD834" s="34" t="s">
        <v>86</v>
      </c>
    </row>
    <row r="835" spans="1:108" x14ac:dyDescent="0.25">
      <c r="A835">
        <v>834</v>
      </c>
      <c r="B835">
        <v>54</v>
      </c>
      <c r="C835" s="25" t="s">
        <v>519</v>
      </c>
      <c r="D835" s="12">
        <v>1.1975568650366071</v>
      </c>
      <c r="E835" s="14">
        <v>1.0584857452259044</v>
      </c>
      <c r="F835" s="7">
        <v>1.1313868613138685</v>
      </c>
      <c r="G835" s="7">
        <f t="shared" si="600"/>
        <v>0.13907111981070264</v>
      </c>
      <c r="H835" s="16">
        <f t="shared" si="601"/>
        <v>2.2560426102625115</v>
      </c>
      <c r="I835" s="11">
        <f t="shared" si="602"/>
        <v>1.8762144231012211E-2</v>
      </c>
      <c r="J835" s="33">
        <f t="shared" si="603"/>
        <v>1.6583314578378538E-2</v>
      </c>
      <c r="K835" s="33">
        <f t="shared" si="604"/>
        <v>60.30157573587902</v>
      </c>
      <c r="L835" s="33">
        <f t="shared" si="605"/>
        <v>2.178829652633673E-3</v>
      </c>
      <c r="M835" s="33">
        <f t="shared" si="606"/>
        <v>3.5345458809390745E-2</v>
      </c>
      <c r="N835" s="8">
        <v>1</v>
      </c>
      <c r="O835" s="9">
        <v>0</v>
      </c>
      <c r="P835" s="8">
        <v>0</v>
      </c>
      <c r="Q835" s="9">
        <v>0</v>
      </c>
      <c r="R835" s="9">
        <v>1</v>
      </c>
      <c r="S835" s="9">
        <v>0</v>
      </c>
      <c r="T835" s="9">
        <v>0</v>
      </c>
      <c r="U835" s="8">
        <v>3639</v>
      </c>
      <c r="V835" s="9">
        <v>3</v>
      </c>
      <c r="W835" s="9">
        <f t="shared" si="607"/>
        <v>3635</v>
      </c>
      <c r="X835" s="9">
        <f t="shared" ref="X835:X898" si="610">COUNTIF(B:B,B835)</f>
        <v>15</v>
      </c>
      <c r="Y835" s="7">
        <f t="shared" si="608"/>
        <v>13.849</v>
      </c>
      <c r="Z835" s="7">
        <f t="shared" si="609"/>
        <v>13.151</v>
      </c>
      <c r="AA835" s="9">
        <v>0</v>
      </c>
      <c r="AB835" s="9">
        <v>1</v>
      </c>
      <c r="AC835" s="9">
        <v>0</v>
      </c>
      <c r="AD835" s="9">
        <v>1</v>
      </c>
      <c r="AE835" s="9">
        <v>0</v>
      </c>
      <c r="AF835" s="9">
        <v>0</v>
      </c>
      <c r="AG835" s="8">
        <v>0</v>
      </c>
      <c r="AH835" s="9">
        <v>0</v>
      </c>
      <c r="AI835" s="30">
        <v>1</v>
      </c>
      <c r="AJ835" s="9">
        <v>1</v>
      </c>
      <c r="AK835" s="30">
        <v>0</v>
      </c>
      <c r="AL835" s="21">
        <v>1958</v>
      </c>
      <c r="AM835" s="23">
        <f t="shared" ref="AM835:AM898" si="611">LN(AL835)</f>
        <v>7.5796788230904557</v>
      </c>
      <c r="AN835" s="33">
        <v>0</v>
      </c>
      <c r="AO835" s="33">
        <v>0</v>
      </c>
      <c r="AP835" s="33">
        <v>0.71699999999999997</v>
      </c>
      <c r="AQ835" s="43">
        <v>0.28299999999999997</v>
      </c>
      <c r="AR835" s="33">
        <v>0.94799999999999995</v>
      </c>
      <c r="AS835" s="43">
        <v>5.1999999999999998E-2</v>
      </c>
      <c r="AT835" s="42" t="s">
        <v>106</v>
      </c>
      <c r="AU835" s="18" t="s">
        <v>106</v>
      </c>
      <c r="AV835">
        <v>1</v>
      </c>
      <c r="AW835" s="40">
        <v>0</v>
      </c>
      <c r="AX835" t="s">
        <v>106</v>
      </c>
      <c r="AY835" s="40" t="s">
        <v>106</v>
      </c>
      <c r="BA835" s="18"/>
      <c r="BB835" t="s">
        <v>106</v>
      </c>
      <c r="BC835" s="18" t="s">
        <v>106</v>
      </c>
      <c r="BD835" s="18" t="s">
        <v>340</v>
      </c>
      <c r="BK835" s="18"/>
      <c r="BN835" s="18"/>
      <c r="BQ835" s="25">
        <v>33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 s="18">
        <v>1</v>
      </c>
      <c r="BZ835">
        <v>0</v>
      </c>
      <c r="CA835">
        <v>1</v>
      </c>
      <c r="CB835">
        <v>0</v>
      </c>
      <c r="CC835" s="18">
        <v>0</v>
      </c>
      <c r="CD835">
        <v>1</v>
      </c>
      <c r="CE835">
        <v>0</v>
      </c>
      <c r="CF835">
        <v>0</v>
      </c>
      <c r="CG835">
        <v>0</v>
      </c>
      <c r="CH835" s="18">
        <v>0</v>
      </c>
      <c r="CI835">
        <v>0</v>
      </c>
      <c r="CJ835">
        <v>0</v>
      </c>
      <c r="CK835">
        <v>0</v>
      </c>
      <c r="CL835">
        <v>0</v>
      </c>
      <c r="CM835">
        <v>1</v>
      </c>
      <c r="CN835">
        <v>0</v>
      </c>
      <c r="CO835">
        <v>0</v>
      </c>
      <c r="CP835">
        <v>0</v>
      </c>
      <c r="CQ835">
        <v>0</v>
      </c>
      <c r="CR835">
        <v>1</v>
      </c>
      <c r="CS835" s="18">
        <v>0</v>
      </c>
      <c r="DD835" s="34" t="s">
        <v>86</v>
      </c>
    </row>
    <row r="836" spans="1:108" s="207" customFormat="1" x14ac:dyDescent="0.25">
      <c r="A836" s="207">
        <v>835</v>
      </c>
      <c r="B836" s="207">
        <v>54</v>
      </c>
      <c r="C836" s="208" t="s">
        <v>519</v>
      </c>
      <c r="D836" s="209">
        <v>2.4522487019262145</v>
      </c>
      <c r="E836" s="210">
        <v>1.1335167715852288</v>
      </c>
      <c r="F836" s="211">
        <v>2.1633986928104578</v>
      </c>
      <c r="G836" s="211">
        <f t="shared" si="600"/>
        <v>1.3187319303409857</v>
      </c>
      <c r="H836" s="212">
        <f t="shared" si="601"/>
        <v>3.5857654735114433</v>
      </c>
      <c r="I836" s="213">
        <f t="shared" si="602"/>
        <v>3.5859558999142858E-2</v>
      </c>
      <c r="J836" s="214">
        <f t="shared" si="603"/>
        <v>1.6575566546431591E-2</v>
      </c>
      <c r="K836" s="214">
        <f t="shared" si="604"/>
        <v>60.329762919342343</v>
      </c>
      <c r="L836" s="214">
        <f t="shared" si="605"/>
        <v>1.9283992452711268E-2</v>
      </c>
      <c r="M836" s="214">
        <f t="shared" si="606"/>
        <v>5.2435125545574446E-2</v>
      </c>
      <c r="N836" s="215">
        <v>1</v>
      </c>
      <c r="O836" s="216">
        <v>0</v>
      </c>
      <c r="P836" s="215">
        <v>0</v>
      </c>
      <c r="Q836" s="216">
        <v>0</v>
      </c>
      <c r="R836" s="216">
        <v>1</v>
      </c>
      <c r="S836" s="216">
        <v>0</v>
      </c>
      <c r="T836" s="216">
        <v>0</v>
      </c>
      <c r="U836" s="215">
        <v>3639</v>
      </c>
      <c r="V836" s="216">
        <v>3</v>
      </c>
      <c r="W836" s="216">
        <f t="shared" si="607"/>
        <v>3635</v>
      </c>
      <c r="X836" s="216">
        <f t="shared" si="610"/>
        <v>15</v>
      </c>
      <c r="Y836" s="211">
        <f t="shared" si="608"/>
        <v>13.849</v>
      </c>
      <c r="Z836" s="211">
        <f t="shared" si="609"/>
        <v>13.151</v>
      </c>
      <c r="AA836" s="216">
        <v>0</v>
      </c>
      <c r="AB836" s="216">
        <v>1</v>
      </c>
      <c r="AC836" s="216">
        <v>0</v>
      </c>
      <c r="AD836" s="216">
        <v>1</v>
      </c>
      <c r="AE836" s="216">
        <v>0</v>
      </c>
      <c r="AF836" s="216">
        <v>0</v>
      </c>
      <c r="AG836" s="215">
        <v>0</v>
      </c>
      <c r="AH836" s="216">
        <v>0</v>
      </c>
      <c r="AI836" s="217">
        <v>1</v>
      </c>
      <c r="AJ836" s="216">
        <v>1</v>
      </c>
      <c r="AK836" s="217">
        <v>0</v>
      </c>
      <c r="AL836" s="218">
        <v>1958</v>
      </c>
      <c r="AM836" s="219">
        <f t="shared" si="611"/>
        <v>7.5796788230904557</v>
      </c>
      <c r="AN836" s="214">
        <v>0</v>
      </c>
      <c r="AO836" s="214">
        <v>0</v>
      </c>
      <c r="AP836" s="214">
        <v>0.71699999999999997</v>
      </c>
      <c r="AQ836" s="220">
        <v>0.28299999999999997</v>
      </c>
      <c r="AR836" s="214">
        <v>0.94799999999999995</v>
      </c>
      <c r="AS836" s="220">
        <v>5.1999999999999998E-2</v>
      </c>
      <c r="AT836" s="221" t="s">
        <v>106</v>
      </c>
      <c r="AU836" s="222" t="s">
        <v>106</v>
      </c>
      <c r="AV836" s="207">
        <v>1</v>
      </c>
      <c r="AW836" s="223">
        <v>0</v>
      </c>
      <c r="AX836" s="207" t="s">
        <v>106</v>
      </c>
      <c r="AY836" s="223" t="s">
        <v>106</v>
      </c>
      <c r="BA836" s="222"/>
      <c r="BB836" s="207" t="s">
        <v>106</v>
      </c>
      <c r="BC836" s="222" t="s">
        <v>106</v>
      </c>
      <c r="BD836" s="222" t="s">
        <v>340</v>
      </c>
      <c r="BK836" s="222"/>
      <c r="BN836" s="222"/>
      <c r="BQ836" s="208">
        <v>33</v>
      </c>
      <c r="BR836" s="207">
        <v>0</v>
      </c>
      <c r="BS836" s="207">
        <v>0</v>
      </c>
      <c r="BT836" s="207">
        <v>0</v>
      </c>
      <c r="BU836" s="207">
        <v>0</v>
      </c>
      <c r="BV836" s="207">
        <v>0</v>
      </c>
      <c r="BW836" s="207">
        <v>0</v>
      </c>
      <c r="BX836" s="207">
        <v>0</v>
      </c>
      <c r="BY836" s="222">
        <v>1</v>
      </c>
      <c r="BZ836" s="207">
        <v>0</v>
      </c>
      <c r="CA836" s="207">
        <v>1</v>
      </c>
      <c r="CB836" s="207">
        <v>0</v>
      </c>
      <c r="CC836" s="222">
        <v>0</v>
      </c>
      <c r="CD836" s="207">
        <v>1</v>
      </c>
      <c r="CE836" s="207">
        <v>0</v>
      </c>
      <c r="CF836" s="207">
        <v>0</v>
      </c>
      <c r="CG836" s="207">
        <v>0</v>
      </c>
      <c r="CH836" s="222">
        <v>0</v>
      </c>
      <c r="CI836" s="207">
        <v>0</v>
      </c>
      <c r="CJ836" s="207">
        <v>0</v>
      </c>
      <c r="CK836" s="207">
        <v>0</v>
      </c>
      <c r="CL836" s="207">
        <v>0</v>
      </c>
      <c r="CM836" s="207">
        <v>1</v>
      </c>
      <c r="CN836" s="207">
        <v>0</v>
      </c>
      <c r="CO836" s="207">
        <v>0</v>
      </c>
      <c r="CP836" s="207">
        <v>0</v>
      </c>
      <c r="CQ836" s="207">
        <v>0</v>
      </c>
      <c r="CR836" s="207">
        <v>1</v>
      </c>
      <c r="CS836" s="222">
        <v>0</v>
      </c>
      <c r="CY836" s="224"/>
      <c r="DD836" s="224" t="s">
        <v>86</v>
      </c>
    </row>
    <row r="837" spans="1:108" x14ac:dyDescent="0.25">
      <c r="A837">
        <v>836</v>
      </c>
      <c r="B837">
        <v>55</v>
      </c>
      <c r="C837" s="25" t="s">
        <v>527</v>
      </c>
      <c r="D837" s="12">
        <v>3.502212352392664</v>
      </c>
      <c r="E837" s="14">
        <v>0.62077619244773952</v>
      </c>
      <c r="F837" s="7">
        <v>5.6416666666666666</v>
      </c>
      <c r="G837" s="7">
        <f t="shared" ref="G837" si="612">D837-E837</f>
        <v>2.8814361599449247</v>
      </c>
      <c r="H837" s="16">
        <f t="shared" ref="H837" si="613">D837+E837</f>
        <v>4.1229885448404033</v>
      </c>
      <c r="I837" s="11">
        <f t="shared" si="602"/>
        <v>5.1741366373935151E-2</v>
      </c>
      <c r="J837" s="33">
        <f t="shared" si="603"/>
        <v>9.1712909377728493E-3</v>
      </c>
      <c r="K837" s="33">
        <f t="shared" si="604"/>
        <v>109.03590419113226</v>
      </c>
      <c r="L837" s="33">
        <f t="shared" si="605"/>
        <v>4.25700754361623E-2</v>
      </c>
      <c r="M837" s="33">
        <f t="shared" si="606"/>
        <v>6.0912657311708002E-2</v>
      </c>
      <c r="N837" s="8">
        <v>1</v>
      </c>
      <c r="O837" s="9">
        <v>0</v>
      </c>
      <c r="P837" s="8">
        <v>0</v>
      </c>
      <c r="Q837" s="9">
        <v>1</v>
      </c>
      <c r="R837" s="9">
        <v>0</v>
      </c>
      <c r="S837" s="9">
        <v>0</v>
      </c>
      <c r="T837" s="9">
        <v>0</v>
      </c>
      <c r="U837" s="8">
        <v>11878</v>
      </c>
      <c r="V837" s="9">
        <v>20</v>
      </c>
      <c r="W837" s="9">
        <f t="shared" si="607"/>
        <v>11857</v>
      </c>
      <c r="X837" s="9">
        <f t="shared" si="610"/>
        <v>12</v>
      </c>
      <c r="Y837" s="7">
        <v>12</v>
      </c>
      <c r="Z837" s="7">
        <f>BQ837-Y837-6</f>
        <v>17.5</v>
      </c>
      <c r="AA837" s="9">
        <v>0</v>
      </c>
      <c r="AB837" s="9">
        <v>1</v>
      </c>
      <c r="AC837" s="9">
        <v>0</v>
      </c>
      <c r="AD837" s="9">
        <v>0</v>
      </c>
      <c r="AE837" s="9">
        <v>1</v>
      </c>
      <c r="AF837" s="9">
        <v>0</v>
      </c>
      <c r="AG837" s="8">
        <v>0</v>
      </c>
      <c r="AH837" s="9">
        <v>1</v>
      </c>
      <c r="AI837" s="30">
        <v>0</v>
      </c>
      <c r="AJ837" s="9">
        <v>1</v>
      </c>
      <c r="AK837" s="30">
        <v>0</v>
      </c>
      <c r="AL837" s="21">
        <v>2017</v>
      </c>
      <c r="AM837" s="23">
        <f t="shared" si="611"/>
        <v>7.6093665379542115</v>
      </c>
      <c r="AN837" s="33">
        <v>0</v>
      </c>
      <c r="AO837" s="33">
        <v>0</v>
      </c>
      <c r="AP837" s="33">
        <v>1</v>
      </c>
      <c r="AQ837" s="43">
        <v>0</v>
      </c>
      <c r="AR837" s="33" t="s">
        <v>106</v>
      </c>
      <c r="AS837" s="43" t="s">
        <v>106</v>
      </c>
      <c r="AT837" s="42">
        <f>1-AU837</f>
        <v>0.48699999999999999</v>
      </c>
      <c r="AU837" s="18">
        <v>0.51300000000000001</v>
      </c>
      <c r="AV837">
        <v>1</v>
      </c>
      <c r="AW837" s="40">
        <f>1-AV837</f>
        <v>0</v>
      </c>
      <c r="AX837" t="s">
        <v>106</v>
      </c>
      <c r="AY837" s="40" t="s">
        <v>106</v>
      </c>
      <c r="BA837" s="18"/>
      <c r="BB837">
        <f>1-BC837</f>
        <v>0.23850000000000005</v>
      </c>
      <c r="BC837" s="18">
        <v>0.76149999999999995</v>
      </c>
      <c r="BD837" s="18" t="s">
        <v>544</v>
      </c>
      <c r="BK837" s="18"/>
      <c r="BN837" s="18"/>
      <c r="BQ837" s="25">
        <v>35.5</v>
      </c>
      <c r="BR837">
        <v>1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 s="18">
        <v>0</v>
      </c>
      <c r="BZ837">
        <v>0</v>
      </c>
      <c r="CA837">
        <v>0</v>
      </c>
      <c r="CB837">
        <v>0</v>
      </c>
      <c r="CC837" s="18">
        <v>1</v>
      </c>
      <c r="CD837">
        <v>0</v>
      </c>
      <c r="CE837">
        <v>0</v>
      </c>
      <c r="CF837">
        <v>0</v>
      </c>
      <c r="CG837">
        <v>0</v>
      </c>
      <c r="CH837" s="18">
        <v>0</v>
      </c>
      <c r="CI837">
        <v>1</v>
      </c>
      <c r="CJ837">
        <v>1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1</v>
      </c>
      <c r="CQ837">
        <v>1</v>
      </c>
      <c r="CR837">
        <v>1</v>
      </c>
      <c r="CS837" s="18">
        <v>1</v>
      </c>
      <c r="DD837" s="34" t="s">
        <v>86</v>
      </c>
    </row>
    <row r="838" spans="1:108" x14ac:dyDescent="0.25">
      <c r="A838">
        <v>837</v>
      </c>
      <c r="B838">
        <v>55</v>
      </c>
      <c r="C838" s="25" t="s">
        <v>527</v>
      </c>
      <c r="D838" s="12">
        <v>1.5299908927447592</v>
      </c>
      <c r="E838" s="14">
        <v>0.4378761814252678</v>
      </c>
      <c r="F838" s="7">
        <v>3.4941176470588236</v>
      </c>
      <c r="G838" s="7">
        <f t="shared" ref="G838:G848" si="614">D838-E838</f>
        <v>1.0921147113194913</v>
      </c>
      <c r="H838" s="16">
        <f t="shared" ref="H838:H848" si="615">D838+E838</f>
        <v>1.967867074170027</v>
      </c>
      <c r="I838" s="11">
        <f t="shared" ref="I838:I848" si="616">IFERROR(F838/SQRT(F838^2+W838), "X")</f>
        <v>3.207204389156721E-2</v>
      </c>
      <c r="J838" s="33">
        <f t="shared" ref="J838:J848" si="617">IFERROR(SQRT((1-I838^2)/W838), "X")</f>
        <v>9.178867780414858E-3</v>
      </c>
      <c r="K838" s="33">
        <f t="shared" ref="K838:K848" si="618">IFERROR(1/J838, "X")</f>
        <v>108.94589876691774</v>
      </c>
      <c r="L838" s="33">
        <f t="shared" ref="L838:L848" si="619">IFERROR(I838-J838, "X")</f>
        <v>2.2893176111152352E-2</v>
      </c>
      <c r="M838" s="33">
        <f t="shared" ref="M838:M848" si="620">IFERROR(I838+J838, "X")</f>
        <v>4.1250911671982068E-2</v>
      </c>
      <c r="N838" s="8">
        <v>1</v>
      </c>
      <c r="O838" s="9">
        <v>0</v>
      </c>
      <c r="P838" s="8">
        <v>0</v>
      </c>
      <c r="Q838" s="9">
        <v>1</v>
      </c>
      <c r="R838" s="9">
        <v>0</v>
      </c>
      <c r="S838" s="9">
        <v>0</v>
      </c>
      <c r="T838" s="9">
        <v>0</v>
      </c>
      <c r="U838" s="8">
        <v>11878</v>
      </c>
      <c r="V838" s="9">
        <v>20</v>
      </c>
      <c r="W838" s="9">
        <f t="shared" ref="W838:W848" si="621">U838-V838-1</f>
        <v>11857</v>
      </c>
      <c r="X838" s="9">
        <f t="shared" si="610"/>
        <v>12</v>
      </c>
      <c r="Y838" s="7">
        <v>14</v>
      </c>
      <c r="Z838" s="7">
        <f t="shared" ref="Z838:Z848" si="622">BQ838-Y838-6</f>
        <v>15.5</v>
      </c>
      <c r="AA838" s="9">
        <v>0</v>
      </c>
      <c r="AB838" s="9">
        <v>1</v>
      </c>
      <c r="AC838" s="9">
        <v>0</v>
      </c>
      <c r="AD838" s="9">
        <v>0</v>
      </c>
      <c r="AE838" s="9">
        <v>1</v>
      </c>
      <c r="AF838" s="9">
        <v>0</v>
      </c>
      <c r="AG838" s="8">
        <v>0</v>
      </c>
      <c r="AH838" s="9">
        <v>1</v>
      </c>
      <c r="AI838" s="30">
        <v>0</v>
      </c>
      <c r="AJ838" s="9">
        <v>1</v>
      </c>
      <c r="AK838" s="30">
        <v>0</v>
      </c>
      <c r="AL838" s="21">
        <v>2017</v>
      </c>
      <c r="AM838" s="23">
        <f t="shared" si="611"/>
        <v>7.6093665379542115</v>
      </c>
      <c r="AN838" s="33">
        <v>0</v>
      </c>
      <c r="AO838" s="33">
        <v>0</v>
      </c>
      <c r="AP838" s="33">
        <v>1</v>
      </c>
      <c r="AQ838" s="43">
        <v>0</v>
      </c>
      <c r="AR838" s="33" t="s">
        <v>106</v>
      </c>
      <c r="AS838" s="43" t="s">
        <v>106</v>
      </c>
      <c r="AT838" s="42">
        <f t="shared" ref="AT838:AT848" si="623">1-AU838</f>
        <v>0.48699999999999999</v>
      </c>
      <c r="AU838" s="18">
        <v>0.51300000000000001</v>
      </c>
      <c r="AV838">
        <v>1</v>
      </c>
      <c r="AW838" s="40">
        <f t="shared" ref="AW838:AW848" si="624">1-AV838</f>
        <v>0</v>
      </c>
      <c r="AX838" t="s">
        <v>106</v>
      </c>
      <c r="AY838" s="40" t="s">
        <v>106</v>
      </c>
      <c r="BA838" s="18"/>
      <c r="BB838">
        <f t="shared" ref="BB838:BB848" si="625">1-BC838</f>
        <v>0.23850000000000005</v>
      </c>
      <c r="BC838" s="18">
        <v>0.76149999999999995</v>
      </c>
      <c r="BD838" s="18" t="s">
        <v>544</v>
      </c>
      <c r="BK838" s="18"/>
      <c r="BN838" s="18"/>
      <c r="BQ838" s="25">
        <v>35.5</v>
      </c>
      <c r="BR838">
        <v>1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 s="18">
        <v>0</v>
      </c>
      <c r="BZ838">
        <v>0</v>
      </c>
      <c r="CA838">
        <v>0</v>
      </c>
      <c r="CB838">
        <v>0</v>
      </c>
      <c r="CC838" s="18">
        <v>1</v>
      </c>
      <c r="CD838">
        <v>0</v>
      </c>
      <c r="CE838">
        <v>0</v>
      </c>
      <c r="CF838">
        <v>0</v>
      </c>
      <c r="CG838">
        <v>0</v>
      </c>
      <c r="CH838" s="18">
        <v>0</v>
      </c>
      <c r="CI838">
        <v>1</v>
      </c>
      <c r="CJ838">
        <v>1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1</v>
      </c>
      <c r="CQ838">
        <v>1</v>
      </c>
      <c r="CR838">
        <v>1</v>
      </c>
      <c r="CS838" s="18">
        <v>1</v>
      </c>
      <c r="DD838" s="34" t="s">
        <v>86</v>
      </c>
    </row>
    <row r="839" spans="1:108" x14ac:dyDescent="0.25">
      <c r="A839">
        <v>838</v>
      </c>
      <c r="B839">
        <v>55</v>
      </c>
      <c r="C839" s="25" t="s">
        <v>527</v>
      </c>
      <c r="D839" s="12">
        <v>4.1137433494068363</v>
      </c>
      <c r="E839" s="14">
        <v>0.27971962937943129</v>
      </c>
      <c r="F839" s="7">
        <v>14.706666666666667</v>
      </c>
      <c r="G839" s="7">
        <f t="shared" si="614"/>
        <v>3.834023720027405</v>
      </c>
      <c r="H839" s="16">
        <f t="shared" si="615"/>
        <v>4.3934629787862676</v>
      </c>
      <c r="I839" s="11">
        <f t="shared" si="616"/>
        <v>0.13384480026334233</v>
      </c>
      <c r="J839" s="33">
        <f t="shared" si="617"/>
        <v>9.100961033318835E-3</v>
      </c>
      <c r="K839" s="33">
        <f t="shared" si="618"/>
        <v>109.878505834601</v>
      </c>
      <c r="L839" s="33">
        <f t="shared" si="619"/>
        <v>0.1247438392300235</v>
      </c>
      <c r="M839" s="33">
        <f t="shared" si="620"/>
        <v>0.14294576129666117</v>
      </c>
      <c r="N839" s="8">
        <v>1</v>
      </c>
      <c r="O839" s="9">
        <v>0</v>
      </c>
      <c r="P839" s="8">
        <v>0</v>
      </c>
      <c r="Q839" s="9">
        <v>1</v>
      </c>
      <c r="R839" s="9">
        <v>0</v>
      </c>
      <c r="S839" s="9">
        <v>0</v>
      </c>
      <c r="T839" s="9">
        <v>0</v>
      </c>
      <c r="U839" s="8">
        <v>11878</v>
      </c>
      <c r="V839" s="9">
        <v>20</v>
      </c>
      <c r="W839" s="9">
        <f t="shared" si="621"/>
        <v>11857</v>
      </c>
      <c r="X839" s="9">
        <f t="shared" si="610"/>
        <v>12</v>
      </c>
      <c r="Y839" s="7">
        <v>16</v>
      </c>
      <c r="Z839" s="7">
        <f t="shared" si="622"/>
        <v>13.5</v>
      </c>
      <c r="AA839" s="9">
        <v>0</v>
      </c>
      <c r="AB839" s="9">
        <v>1</v>
      </c>
      <c r="AC839" s="9">
        <v>0</v>
      </c>
      <c r="AD839" s="9">
        <v>0</v>
      </c>
      <c r="AE839" s="9">
        <v>1</v>
      </c>
      <c r="AF839" s="9">
        <v>0</v>
      </c>
      <c r="AG839" s="8">
        <v>0</v>
      </c>
      <c r="AH839" s="9">
        <v>1</v>
      </c>
      <c r="AI839" s="30">
        <v>0</v>
      </c>
      <c r="AJ839" s="9">
        <v>1</v>
      </c>
      <c r="AK839" s="30">
        <v>0</v>
      </c>
      <c r="AL839" s="21">
        <v>2017</v>
      </c>
      <c r="AM839" s="23">
        <f t="shared" si="611"/>
        <v>7.6093665379542115</v>
      </c>
      <c r="AN839" s="33">
        <v>0</v>
      </c>
      <c r="AO839" s="33">
        <v>0</v>
      </c>
      <c r="AP839" s="33">
        <v>0</v>
      </c>
      <c r="AQ839" s="43">
        <v>1</v>
      </c>
      <c r="AR839" s="33" t="s">
        <v>106</v>
      </c>
      <c r="AS839" s="43" t="s">
        <v>106</v>
      </c>
      <c r="AT839" s="42">
        <f t="shared" si="623"/>
        <v>0.48699999999999999</v>
      </c>
      <c r="AU839" s="18">
        <v>0.51300000000000001</v>
      </c>
      <c r="AV839">
        <v>1</v>
      </c>
      <c r="AW839" s="40">
        <f t="shared" si="624"/>
        <v>0</v>
      </c>
      <c r="AX839" t="s">
        <v>106</v>
      </c>
      <c r="AY839" s="40" t="s">
        <v>106</v>
      </c>
      <c r="BA839" s="18"/>
      <c r="BB839">
        <f t="shared" si="625"/>
        <v>0.23850000000000005</v>
      </c>
      <c r="BC839" s="18">
        <v>0.76149999999999995</v>
      </c>
      <c r="BD839" s="18" t="s">
        <v>544</v>
      </c>
      <c r="BK839" s="18"/>
      <c r="BN839" s="18"/>
      <c r="BQ839" s="25">
        <v>35.5</v>
      </c>
      <c r="BR839">
        <v>1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 s="18">
        <v>0</v>
      </c>
      <c r="BZ839">
        <v>0</v>
      </c>
      <c r="CA839">
        <v>0</v>
      </c>
      <c r="CB839">
        <v>0</v>
      </c>
      <c r="CC839" s="18">
        <v>1</v>
      </c>
      <c r="CD839">
        <v>0</v>
      </c>
      <c r="CE839">
        <v>0</v>
      </c>
      <c r="CF839">
        <v>0</v>
      </c>
      <c r="CG839">
        <v>0</v>
      </c>
      <c r="CH839" s="18">
        <v>0</v>
      </c>
      <c r="CI839">
        <v>1</v>
      </c>
      <c r="CJ839">
        <v>1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1</v>
      </c>
      <c r="CQ839">
        <v>1</v>
      </c>
      <c r="CR839">
        <v>1</v>
      </c>
      <c r="CS839" s="18">
        <v>1</v>
      </c>
      <c r="DD839" s="34" t="s">
        <v>86</v>
      </c>
    </row>
    <row r="840" spans="1:108" x14ac:dyDescent="0.25">
      <c r="A840">
        <v>839</v>
      </c>
      <c r="B840">
        <v>55</v>
      </c>
      <c r="C840" s="25" t="s">
        <v>527</v>
      </c>
      <c r="D840" s="12">
        <v>5.3379577429739618</v>
      </c>
      <c r="E840" s="14">
        <v>1.3209794189586854</v>
      </c>
      <c r="F840" s="7">
        <v>4.0409090909090919</v>
      </c>
      <c r="G840" s="7">
        <f t="shared" si="614"/>
        <v>4.0169783240152768</v>
      </c>
      <c r="H840" s="16">
        <f t="shared" si="615"/>
        <v>6.6589371619326467</v>
      </c>
      <c r="I840" s="11">
        <f t="shared" si="616"/>
        <v>3.7084534349250138E-2</v>
      </c>
      <c r="J840" s="33">
        <f t="shared" si="617"/>
        <v>9.1772750920529021E-3</v>
      </c>
      <c r="K840" s="33">
        <f t="shared" si="618"/>
        <v>108.96480599845525</v>
      </c>
      <c r="L840" s="33">
        <f t="shared" si="619"/>
        <v>2.7907259257197236E-2</v>
      </c>
      <c r="M840" s="33">
        <f t="shared" si="620"/>
        <v>4.6261809441303037E-2</v>
      </c>
      <c r="N840" s="8">
        <v>1</v>
      </c>
      <c r="O840" s="9">
        <v>0</v>
      </c>
      <c r="P840" s="8">
        <v>0</v>
      </c>
      <c r="Q840" s="9">
        <v>1</v>
      </c>
      <c r="R840" s="9">
        <v>0</v>
      </c>
      <c r="S840" s="9">
        <v>0</v>
      </c>
      <c r="T840" s="9">
        <v>0</v>
      </c>
      <c r="U840" s="8">
        <v>11878</v>
      </c>
      <c r="V840" s="9">
        <v>20</v>
      </c>
      <c r="W840" s="9">
        <f t="shared" si="621"/>
        <v>11857</v>
      </c>
      <c r="X840" s="9">
        <f t="shared" si="610"/>
        <v>12</v>
      </c>
      <c r="Y840" s="7">
        <v>18</v>
      </c>
      <c r="Z840" s="7">
        <f t="shared" si="622"/>
        <v>11.5</v>
      </c>
      <c r="AA840" s="9">
        <v>0</v>
      </c>
      <c r="AB840" s="9">
        <v>1</v>
      </c>
      <c r="AC840" s="9">
        <v>0</v>
      </c>
      <c r="AD840" s="9">
        <v>0</v>
      </c>
      <c r="AE840" s="9">
        <v>1</v>
      </c>
      <c r="AF840" s="9">
        <v>0</v>
      </c>
      <c r="AG840" s="8">
        <v>0</v>
      </c>
      <c r="AH840" s="9">
        <v>1</v>
      </c>
      <c r="AI840" s="30">
        <v>0</v>
      </c>
      <c r="AJ840" s="9">
        <v>1</v>
      </c>
      <c r="AK840" s="30">
        <v>0</v>
      </c>
      <c r="AL840" s="21">
        <v>2017</v>
      </c>
      <c r="AM840" s="23">
        <f t="shared" si="611"/>
        <v>7.6093665379542115</v>
      </c>
      <c r="AN840" s="33">
        <v>0</v>
      </c>
      <c r="AO840" s="33">
        <v>0</v>
      </c>
      <c r="AP840" s="33">
        <v>0</v>
      </c>
      <c r="AQ840" s="43">
        <v>1</v>
      </c>
      <c r="AR840" s="33" t="s">
        <v>106</v>
      </c>
      <c r="AS840" s="43" t="s">
        <v>106</v>
      </c>
      <c r="AT840" s="42">
        <f t="shared" si="623"/>
        <v>0.48699999999999999</v>
      </c>
      <c r="AU840" s="18">
        <v>0.51300000000000001</v>
      </c>
      <c r="AV840">
        <v>1</v>
      </c>
      <c r="AW840" s="40">
        <f t="shared" si="624"/>
        <v>0</v>
      </c>
      <c r="AX840" t="s">
        <v>106</v>
      </c>
      <c r="AY840" s="40" t="s">
        <v>106</v>
      </c>
      <c r="BA840" s="18"/>
      <c r="BB840">
        <f t="shared" si="625"/>
        <v>0.23850000000000005</v>
      </c>
      <c r="BC840" s="18">
        <v>0.76149999999999995</v>
      </c>
      <c r="BD840" s="18" t="s">
        <v>544</v>
      </c>
      <c r="BK840" s="18"/>
      <c r="BN840" s="18"/>
      <c r="BQ840" s="25">
        <v>35.5</v>
      </c>
      <c r="BR840">
        <v>1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 s="18">
        <v>0</v>
      </c>
      <c r="BZ840">
        <v>0</v>
      </c>
      <c r="CA840">
        <v>0</v>
      </c>
      <c r="CB840">
        <v>0</v>
      </c>
      <c r="CC840" s="18">
        <v>1</v>
      </c>
      <c r="CD840">
        <v>0</v>
      </c>
      <c r="CE840">
        <v>0</v>
      </c>
      <c r="CF840">
        <v>0</v>
      </c>
      <c r="CG840">
        <v>0</v>
      </c>
      <c r="CH840" s="18">
        <v>0</v>
      </c>
      <c r="CI840">
        <v>1</v>
      </c>
      <c r="CJ840">
        <v>1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1</v>
      </c>
      <c r="CQ840">
        <v>1</v>
      </c>
      <c r="CR840">
        <v>1</v>
      </c>
      <c r="CS840" s="18">
        <v>1</v>
      </c>
      <c r="DD840" s="34" t="s">
        <v>86</v>
      </c>
    </row>
    <row r="841" spans="1:108" x14ac:dyDescent="0.25">
      <c r="A841">
        <v>840</v>
      </c>
      <c r="B841">
        <v>55</v>
      </c>
      <c r="C841" s="25" t="s">
        <v>527</v>
      </c>
      <c r="D841" s="12">
        <v>8.5611191076401774</v>
      </c>
      <c r="E841" s="14">
        <v>0.62358161029389814</v>
      </c>
      <c r="F841" s="7">
        <v>13.728947368421055</v>
      </c>
      <c r="G841" s="7">
        <f t="shared" si="614"/>
        <v>7.9375374973462796</v>
      </c>
      <c r="H841" s="16">
        <f t="shared" si="615"/>
        <v>9.1847007179340761</v>
      </c>
      <c r="I841" s="11">
        <f t="shared" si="616"/>
        <v>0.12509072587246778</v>
      </c>
      <c r="J841" s="33">
        <f t="shared" si="617"/>
        <v>9.1114578937200961E-3</v>
      </c>
      <c r="K841" s="33">
        <f t="shared" si="618"/>
        <v>109.75192023761988</v>
      </c>
      <c r="L841" s="33">
        <f t="shared" si="619"/>
        <v>0.11597926797874768</v>
      </c>
      <c r="M841" s="33">
        <f t="shared" si="620"/>
        <v>0.13420218376618787</v>
      </c>
      <c r="N841" s="8">
        <v>1</v>
      </c>
      <c r="O841" s="9">
        <v>0</v>
      </c>
      <c r="P841" s="8">
        <v>0</v>
      </c>
      <c r="Q841" s="9">
        <v>1</v>
      </c>
      <c r="R841" s="9">
        <v>0</v>
      </c>
      <c r="S841" s="9">
        <v>0</v>
      </c>
      <c r="T841" s="9">
        <v>0</v>
      </c>
      <c r="U841" s="8">
        <v>11878</v>
      </c>
      <c r="V841" s="9">
        <v>20</v>
      </c>
      <c r="W841" s="9">
        <f t="shared" si="621"/>
        <v>11857</v>
      </c>
      <c r="X841" s="9">
        <f t="shared" si="610"/>
        <v>12</v>
      </c>
      <c r="Y841" s="7">
        <v>18</v>
      </c>
      <c r="Z841" s="7">
        <f t="shared" si="622"/>
        <v>11.5</v>
      </c>
      <c r="AA841" s="9">
        <v>0</v>
      </c>
      <c r="AB841" s="9">
        <v>1</v>
      </c>
      <c r="AC841" s="9">
        <v>0</v>
      </c>
      <c r="AD841" s="9">
        <v>0</v>
      </c>
      <c r="AE841" s="9">
        <v>1</v>
      </c>
      <c r="AF841" s="9">
        <v>0</v>
      </c>
      <c r="AG841" s="8">
        <v>0</v>
      </c>
      <c r="AH841" s="9">
        <v>1</v>
      </c>
      <c r="AI841" s="30">
        <v>0</v>
      </c>
      <c r="AJ841" s="9">
        <v>1</v>
      </c>
      <c r="AK841" s="30">
        <v>0</v>
      </c>
      <c r="AL841" s="21">
        <v>2017</v>
      </c>
      <c r="AM841" s="23">
        <f t="shared" si="611"/>
        <v>7.6093665379542115</v>
      </c>
      <c r="AN841" s="33">
        <v>0</v>
      </c>
      <c r="AO841" s="33">
        <v>0</v>
      </c>
      <c r="AP841" s="33">
        <v>0</v>
      </c>
      <c r="AQ841" s="43">
        <v>1</v>
      </c>
      <c r="AR841" s="33" t="s">
        <v>106</v>
      </c>
      <c r="AS841" s="43" t="s">
        <v>106</v>
      </c>
      <c r="AT841" s="42">
        <f t="shared" si="623"/>
        <v>0.48699999999999999</v>
      </c>
      <c r="AU841" s="18">
        <v>0.51300000000000001</v>
      </c>
      <c r="AV841">
        <v>1</v>
      </c>
      <c r="AW841" s="40">
        <f t="shared" si="624"/>
        <v>0</v>
      </c>
      <c r="AX841" t="s">
        <v>106</v>
      </c>
      <c r="AY841" s="40" t="s">
        <v>106</v>
      </c>
      <c r="BA841" s="18"/>
      <c r="BB841">
        <f t="shared" si="625"/>
        <v>0.23850000000000005</v>
      </c>
      <c r="BC841" s="18">
        <v>0.76149999999999995</v>
      </c>
      <c r="BD841" s="18" t="s">
        <v>544</v>
      </c>
      <c r="BK841" s="18"/>
      <c r="BN841" s="18"/>
      <c r="BQ841" s="25">
        <v>35.5</v>
      </c>
      <c r="BR841">
        <v>1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 s="18">
        <v>0</v>
      </c>
      <c r="BZ841">
        <v>0</v>
      </c>
      <c r="CA841">
        <v>0</v>
      </c>
      <c r="CB841">
        <v>0</v>
      </c>
      <c r="CC841" s="18">
        <v>1</v>
      </c>
      <c r="CD841">
        <v>0</v>
      </c>
      <c r="CE841">
        <v>0</v>
      </c>
      <c r="CF841">
        <v>0</v>
      </c>
      <c r="CG841">
        <v>0</v>
      </c>
      <c r="CH841" s="18">
        <v>0</v>
      </c>
      <c r="CI841">
        <v>1</v>
      </c>
      <c r="CJ841">
        <v>1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1</v>
      </c>
      <c r="CQ841">
        <v>1</v>
      </c>
      <c r="CR841">
        <v>1</v>
      </c>
      <c r="CS841" s="18">
        <v>1</v>
      </c>
      <c r="DD841" s="34" t="s">
        <v>86</v>
      </c>
    </row>
    <row r="842" spans="1:108" x14ac:dyDescent="0.25">
      <c r="A842">
        <v>841</v>
      </c>
      <c r="B842">
        <v>55</v>
      </c>
      <c r="C842" s="25" t="s">
        <v>527</v>
      </c>
      <c r="D842" s="12">
        <v>15.46138259477722</v>
      </c>
      <c r="E842" s="14">
        <v>1.1494356103627748</v>
      </c>
      <c r="F842" s="7">
        <v>13.45128205128205</v>
      </c>
      <c r="G842" s="7">
        <f t="shared" si="614"/>
        <v>14.311946984414446</v>
      </c>
      <c r="H842" s="16">
        <f t="shared" si="615"/>
        <v>16.610818205139996</v>
      </c>
      <c r="I842" s="11">
        <f t="shared" si="616"/>
        <v>0.12259920284686227</v>
      </c>
      <c r="J842" s="33">
        <f t="shared" si="617"/>
        <v>9.1143135932665442E-3</v>
      </c>
      <c r="K842" s="33">
        <f t="shared" si="618"/>
        <v>109.71753273211689</v>
      </c>
      <c r="L842" s="33">
        <f t="shared" si="619"/>
        <v>0.11348488925359572</v>
      </c>
      <c r="M842" s="33">
        <f t="shared" si="620"/>
        <v>0.1317135164401288</v>
      </c>
      <c r="N842" s="8">
        <v>1</v>
      </c>
      <c r="O842" s="9">
        <v>0</v>
      </c>
      <c r="P842" s="8">
        <v>0</v>
      </c>
      <c r="Q842" s="9">
        <v>1</v>
      </c>
      <c r="R842" s="9">
        <v>0</v>
      </c>
      <c r="S842" s="9">
        <v>0</v>
      </c>
      <c r="T842" s="9">
        <v>0</v>
      </c>
      <c r="U842" s="8">
        <v>11878</v>
      </c>
      <c r="V842" s="9">
        <v>20</v>
      </c>
      <c r="W842" s="9">
        <f t="shared" si="621"/>
        <v>11857</v>
      </c>
      <c r="X842" s="9">
        <f t="shared" si="610"/>
        <v>12</v>
      </c>
      <c r="Y842" s="7">
        <v>22</v>
      </c>
      <c r="Z842" s="7">
        <f t="shared" si="622"/>
        <v>7.5</v>
      </c>
      <c r="AA842" s="9">
        <v>0</v>
      </c>
      <c r="AB842" s="9">
        <v>1</v>
      </c>
      <c r="AC842" s="9">
        <v>0</v>
      </c>
      <c r="AD842" s="9">
        <v>0</v>
      </c>
      <c r="AE842" s="9">
        <v>1</v>
      </c>
      <c r="AF842" s="9">
        <v>0</v>
      </c>
      <c r="AG842" s="8">
        <v>0</v>
      </c>
      <c r="AH842" s="9">
        <v>1</v>
      </c>
      <c r="AI842" s="30">
        <v>0</v>
      </c>
      <c r="AJ842" s="9">
        <v>1</v>
      </c>
      <c r="AK842" s="30">
        <v>0</v>
      </c>
      <c r="AL842" s="21">
        <v>2017</v>
      </c>
      <c r="AM842" s="23">
        <f t="shared" si="611"/>
        <v>7.6093665379542115</v>
      </c>
      <c r="AN842" s="33">
        <v>0</v>
      </c>
      <c r="AO842" s="33">
        <v>0</v>
      </c>
      <c r="AP842" s="33">
        <v>0</v>
      </c>
      <c r="AQ842" s="43">
        <v>1</v>
      </c>
      <c r="AR842" s="33" t="s">
        <v>106</v>
      </c>
      <c r="AS842" s="43" t="s">
        <v>106</v>
      </c>
      <c r="AT842" s="42">
        <f t="shared" si="623"/>
        <v>0.48699999999999999</v>
      </c>
      <c r="AU842" s="18">
        <v>0.51300000000000001</v>
      </c>
      <c r="AV842">
        <v>1</v>
      </c>
      <c r="AW842" s="40">
        <f t="shared" si="624"/>
        <v>0</v>
      </c>
      <c r="AX842" t="s">
        <v>106</v>
      </c>
      <c r="AY842" s="40" t="s">
        <v>106</v>
      </c>
      <c r="BA842" s="18"/>
      <c r="BB842">
        <f t="shared" si="625"/>
        <v>0.23850000000000005</v>
      </c>
      <c r="BC842" s="18">
        <v>0.76149999999999995</v>
      </c>
      <c r="BD842" s="18" t="s">
        <v>544</v>
      </c>
      <c r="BK842" s="18"/>
      <c r="BN842" s="18"/>
      <c r="BQ842" s="25">
        <v>35.5</v>
      </c>
      <c r="BR842">
        <v>1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 s="18">
        <v>0</v>
      </c>
      <c r="BZ842">
        <v>0</v>
      </c>
      <c r="CA842">
        <v>0</v>
      </c>
      <c r="CB842">
        <v>0</v>
      </c>
      <c r="CC842" s="18">
        <v>1</v>
      </c>
      <c r="CD842">
        <v>0</v>
      </c>
      <c r="CE842">
        <v>0</v>
      </c>
      <c r="CF842">
        <v>0</v>
      </c>
      <c r="CG842">
        <v>0</v>
      </c>
      <c r="CH842" s="18">
        <v>0</v>
      </c>
      <c r="CI842">
        <v>1</v>
      </c>
      <c r="CJ842">
        <v>1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1</v>
      </c>
      <c r="CQ842">
        <v>1</v>
      </c>
      <c r="CR842">
        <v>1</v>
      </c>
      <c r="CS842" s="18">
        <v>1</v>
      </c>
      <c r="DD842" s="34" t="s">
        <v>86</v>
      </c>
    </row>
    <row r="843" spans="1:108" x14ac:dyDescent="0.25">
      <c r="A843">
        <v>842</v>
      </c>
      <c r="B843">
        <v>55</v>
      </c>
      <c r="C843" s="25" t="s">
        <v>527</v>
      </c>
      <c r="D843" s="12">
        <v>1.6982021076035414</v>
      </c>
      <c r="E843" s="14">
        <v>2.9489737197905814</v>
      </c>
      <c r="F843" s="7">
        <v>0.57586206896551717</v>
      </c>
      <c r="G843" s="7">
        <f t="shared" si="614"/>
        <v>-1.25077161218704</v>
      </c>
      <c r="H843" s="16">
        <f t="shared" si="615"/>
        <v>4.6471758273941228</v>
      </c>
      <c r="I843" s="11">
        <f t="shared" si="616"/>
        <v>5.2884084466817312E-3</v>
      </c>
      <c r="J843" s="33">
        <f t="shared" si="617"/>
        <v>9.1834637696868397E-3</v>
      </c>
      <c r="K843" s="33">
        <f t="shared" si="618"/>
        <v>108.89137531100647</v>
      </c>
      <c r="L843" s="33">
        <f t="shared" si="619"/>
        <v>-3.8950553230051085E-3</v>
      </c>
      <c r="M843" s="33">
        <f t="shared" si="620"/>
        <v>1.4471872216368571E-2</v>
      </c>
      <c r="N843" s="8">
        <v>1</v>
      </c>
      <c r="O843" s="9">
        <v>0</v>
      </c>
      <c r="P843" s="8">
        <v>0</v>
      </c>
      <c r="Q843" s="9">
        <v>1</v>
      </c>
      <c r="R843" s="9">
        <v>0</v>
      </c>
      <c r="S843" s="9">
        <v>0</v>
      </c>
      <c r="T843" s="9">
        <v>0</v>
      </c>
      <c r="U843" s="8">
        <v>11878</v>
      </c>
      <c r="V843" s="9">
        <v>20</v>
      </c>
      <c r="W843" s="9">
        <f t="shared" si="621"/>
        <v>11857</v>
      </c>
      <c r="X843" s="9">
        <f t="shared" si="610"/>
        <v>12</v>
      </c>
      <c r="Y843" s="7">
        <v>12</v>
      </c>
      <c r="Z843" s="7">
        <f t="shared" si="622"/>
        <v>17.5</v>
      </c>
      <c r="AA843" s="9">
        <v>0</v>
      </c>
      <c r="AB843" s="9">
        <v>1</v>
      </c>
      <c r="AC843" s="9">
        <v>0</v>
      </c>
      <c r="AD843" s="9">
        <v>0</v>
      </c>
      <c r="AE843" s="9">
        <v>1</v>
      </c>
      <c r="AF843" s="9">
        <v>0</v>
      </c>
      <c r="AG843" s="8">
        <v>0</v>
      </c>
      <c r="AH843" s="9">
        <v>1</v>
      </c>
      <c r="AI843" s="30">
        <v>0</v>
      </c>
      <c r="AJ843" s="9">
        <v>1</v>
      </c>
      <c r="AK843" s="30">
        <v>0</v>
      </c>
      <c r="AL843" s="21">
        <v>2017</v>
      </c>
      <c r="AM843" s="23">
        <f t="shared" si="611"/>
        <v>7.6093665379542115</v>
      </c>
      <c r="AN843" s="33">
        <v>0</v>
      </c>
      <c r="AO843" s="33">
        <v>0</v>
      </c>
      <c r="AP843" s="33">
        <v>1</v>
      </c>
      <c r="AQ843" s="43">
        <v>0</v>
      </c>
      <c r="AR843" s="33" t="s">
        <v>106</v>
      </c>
      <c r="AS843" s="43" t="s">
        <v>106</v>
      </c>
      <c r="AT843" s="42">
        <f t="shared" si="623"/>
        <v>0.48699999999999999</v>
      </c>
      <c r="AU843" s="18">
        <v>0.51300000000000001</v>
      </c>
      <c r="AV843">
        <v>0</v>
      </c>
      <c r="AW843" s="40">
        <f t="shared" si="624"/>
        <v>1</v>
      </c>
      <c r="AX843" t="s">
        <v>106</v>
      </c>
      <c r="AY843" s="40" t="s">
        <v>106</v>
      </c>
      <c r="BA843" s="18"/>
      <c r="BB843">
        <f t="shared" si="625"/>
        <v>0.23850000000000005</v>
      </c>
      <c r="BC843" s="18">
        <v>0.76149999999999995</v>
      </c>
      <c r="BD843" s="18" t="s">
        <v>544</v>
      </c>
      <c r="BK843" s="18"/>
      <c r="BN843" s="18"/>
      <c r="BQ843" s="25">
        <v>35.5</v>
      </c>
      <c r="BR843">
        <v>1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 s="18">
        <v>0</v>
      </c>
      <c r="BZ843">
        <v>0</v>
      </c>
      <c r="CA843">
        <v>0</v>
      </c>
      <c r="CB843">
        <v>0</v>
      </c>
      <c r="CC843" s="18">
        <v>1</v>
      </c>
      <c r="CD843">
        <v>0</v>
      </c>
      <c r="CE843">
        <v>0</v>
      </c>
      <c r="CF843">
        <v>0</v>
      </c>
      <c r="CG843">
        <v>0</v>
      </c>
      <c r="CH843" s="18">
        <v>0</v>
      </c>
      <c r="CI843">
        <v>1</v>
      </c>
      <c r="CJ843">
        <v>1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1</v>
      </c>
      <c r="CQ843">
        <v>1</v>
      </c>
      <c r="CR843">
        <v>1</v>
      </c>
      <c r="CS843" s="18">
        <v>1</v>
      </c>
      <c r="DD843" s="34" t="s">
        <v>86</v>
      </c>
    </row>
    <row r="844" spans="1:108" x14ac:dyDescent="0.25">
      <c r="A844">
        <v>843</v>
      </c>
      <c r="B844">
        <v>55</v>
      </c>
      <c r="C844" s="25" t="s">
        <v>527</v>
      </c>
      <c r="D844" s="12">
        <v>11.755057118863599</v>
      </c>
      <c r="E844" s="14">
        <v>1.8605565237433301</v>
      </c>
      <c r="F844" s="7">
        <v>6.3180327868852464</v>
      </c>
      <c r="G844" s="7">
        <f t="shared" si="614"/>
        <v>9.8945005951202685</v>
      </c>
      <c r="H844" s="16">
        <f t="shared" si="615"/>
        <v>13.615613642606929</v>
      </c>
      <c r="I844" s="11">
        <f t="shared" si="616"/>
        <v>5.7924814228773547E-2</v>
      </c>
      <c r="J844" s="33">
        <f t="shared" si="617"/>
        <v>9.1681724648551774E-3</v>
      </c>
      <c r="K844" s="33">
        <f t="shared" si="618"/>
        <v>109.07299179125948</v>
      </c>
      <c r="L844" s="33">
        <f t="shared" si="619"/>
        <v>4.8756641763918369E-2</v>
      </c>
      <c r="M844" s="33">
        <f t="shared" si="620"/>
        <v>6.7092986693628731E-2</v>
      </c>
      <c r="N844" s="8">
        <v>1</v>
      </c>
      <c r="O844" s="9">
        <v>0</v>
      </c>
      <c r="P844" s="8">
        <v>0</v>
      </c>
      <c r="Q844" s="9">
        <v>1</v>
      </c>
      <c r="R844" s="9">
        <v>0</v>
      </c>
      <c r="S844" s="9">
        <v>0</v>
      </c>
      <c r="T844" s="9">
        <v>0</v>
      </c>
      <c r="U844" s="8">
        <v>11878</v>
      </c>
      <c r="V844" s="9">
        <v>20</v>
      </c>
      <c r="W844" s="9">
        <f t="shared" si="621"/>
        <v>11857</v>
      </c>
      <c r="X844" s="9">
        <f t="shared" si="610"/>
        <v>12</v>
      </c>
      <c r="Y844" s="7">
        <v>14</v>
      </c>
      <c r="Z844" s="7">
        <f t="shared" si="622"/>
        <v>15.5</v>
      </c>
      <c r="AA844" s="9">
        <v>0</v>
      </c>
      <c r="AB844" s="9">
        <v>1</v>
      </c>
      <c r="AC844" s="9">
        <v>0</v>
      </c>
      <c r="AD844" s="9">
        <v>0</v>
      </c>
      <c r="AE844" s="9">
        <v>1</v>
      </c>
      <c r="AF844" s="9">
        <v>0</v>
      </c>
      <c r="AG844" s="8">
        <v>0</v>
      </c>
      <c r="AH844" s="9">
        <v>1</v>
      </c>
      <c r="AI844" s="30">
        <v>0</v>
      </c>
      <c r="AJ844" s="9">
        <v>1</v>
      </c>
      <c r="AK844" s="30">
        <v>0</v>
      </c>
      <c r="AL844" s="21">
        <v>2017</v>
      </c>
      <c r="AM844" s="23">
        <f t="shared" si="611"/>
        <v>7.6093665379542115</v>
      </c>
      <c r="AN844" s="33">
        <v>0</v>
      </c>
      <c r="AO844" s="33">
        <v>0</v>
      </c>
      <c r="AP844" s="33">
        <v>1</v>
      </c>
      <c r="AQ844" s="43">
        <v>0</v>
      </c>
      <c r="AR844" s="33" t="s">
        <v>106</v>
      </c>
      <c r="AS844" s="43" t="s">
        <v>106</v>
      </c>
      <c r="AT844" s="42">
        <f t="shared" si="623"/>
        <v>0.48699999999999999</v>
      </c>
      <c r="AU844" s="18">
        <v>0.51300000000000001</v>
      </c>
      <c r="AV844">
        <v>0</v>
      </c>
      <c r="AW844" s="40">
        <f t="shared" si="624"/>
        <v>1</v>
      </c>
      <c r="AX844" t="s">
        <v>106</v>
      </c>
      <c r="AY844" s="40" t="s">
        <v>106</v>
      </c>
      <c r="BA844" s="18"/>
      <c r="BB844">
        <f t="shared" si="625"/>
        <v>0.23850000000000005</v>
      </c>
      <c r="BC844" s="18">
        <v>0.76149999999999995</v>
      </c>
      <c r="BD844" s="18" t="s">
        <v>544</v>
      </c>
      <c r="BK844" s="18"/>
      <c r="BN844" s="18"/>
      <c r="BQ844" s="25">
        <v>35.5</v>
      </c>
      <c r="BR844">
        <v>1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 s="18">
        <v>0</v>
      </c>
      <c r="BZ844">
        <v>0</v>
      </c>
      <c r="CA844">
        <v>0</v>
      </c>
      <c r="CB844">
        <v>0</v>
      </c>
      <c r="CC844" s="18">
        <v>1</v>
      </c>
      <c r="CD844">
        <v>0</v>
      </c>
      <c r="CE844">
        <v>0</v>
      </c>
      <c r="CF844">
        <v>0</v>
      </c>
      <c r="CG844">
        <v>0</v>
      </c>
      <c r="CH844" s="18">
        <v>0</v>
      </c>
      <c r="CI844">
        <v>1</v>
      </c>
      <c r="CJ844">
        <v>1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1</v>
      </c>
      <c r="CQ844">
        <v>1</v>
      </c>
      <c r="CR844">
        <v>1</v>
      </c>
      <c r="CS844" s="18">
        <v>1</v>
      </c>
      <c r="DD844" s="34" t="s">
        <v>86</v>
      </c>
    </row>
    <row r="845" spans="1:108" x14ac:dyDescent="0.25">
      <c r="A845">
        <v>844</v>
      </c>
      <c r="B845">
        <v>55</v>
      </c>
      <c r="C845" s="25" t="s">
        <v>527</v>
      </c>
      <c r="D845" s="12">
        <v>11.013349554110597</v>
      </c>
      <c r="E845" s="14">
        <v>1.2374550060798426</v>
      </c>
      <c r="F845" s="7">
        <v>8.8999999999999986</v>
      </c>
      <c r="G845" s="7">
        <f t="shared" si="614"/>
        <v>9.7758945480307542</v>
      </c>
      <c r="H845" s="16">
        <f t="shared" si="615"/>
        <v>12.25080456019044</v>
      </c>
      <c r="I845" s="11">
        <f t="shared" si="616"/>
        <v>8.1462321271508209E-2</v>
      </c>
      <c r="J845" s="33">
        <f t="shared" si="617"/>
        <v>9.15306980578744E-3</v>
      </c>
      <c r="K845" s="33">
        <f t="shared" si="618"/>
        <v>109.25296334653812</v>
      </c>
      <c r="L845" s="33">
        <f t="shared" si="619"/>
        <v>7.2309251465720772E-2</v>
      </c>
      <c r="M845" s="33">
        <f t="shared" si="620"/>
        <v>9.0615391077295646E-2</v>
      </c>
      <c r="N845" s="8">
        <v>1</v>
      </c>
      <c r="O845" s="9">
        <v>0</v>
      </c>
      <c r="P845" s="8">
        <v>0</v>
      </c>
      <c r="Q845" s="9">
        <v>1</v>
      </c>
      <c r="R845" s="9">
        <v>0</v>
      </c>
      <c r="S845" s="9">
        <v>0</v>
      </c>
      <c r="T845" s="9">
        <v>0</v>
      </c>
      <c r="U845" s="8">
        <v>11878</v>
      </c>
      <c r="V845" s="9">
        <v>20</v>
      </c>
      <c r="W845" s="9">
        <f t="shared" si="621"/>
        <v>11857</v>
      </c>
      <c r="X845" s="9">
        <f t="shared" si="610"/>
        <v>12</v>
      </c>
      <c r="Y845" s="7">
        <v>16</v>
      </c>
      <c r="Z845" s="7">
        <f t="shared" si="622"/>
        <v>13.5</v>
      </c>
      <c r="AA845" s="9">
        <v>0</v>
      </c>
      <c r="AB845" s="9">
        <v>1</v>
      </c>
      <c r="AC845" s="9">
        <v>0</v>
      </c>
      <c r="AD845" s="9">
        <v>0</v>
      </c>
      <c r="AE845" s="9">
        <v>1</v>
      </c>
      <c r="AF845" s="9">
        <v>0</v>
      </c>
      <c r="AG845" s="8">
        <v>0</v>
      </c>
      <c r="AH845" s="9">
        <v>1</v>
      </c>
      <c r="AI845" s="30">
        <v>0</v>
      </c>
      <c r="AJ845" s="9">
        <v>1</v>
      </c>
      <c r="AK845" s="30">
        <v>0</v>
      </c>
      <c r="AL845" s="21">
        <v>2017</v>
      </c>
      <c r="AM845" s="23">
        <f t="shared" si="611"/>
        <v>7.6093665379542115</v>
      </c>
      <c r="AN845" s="33">
        <v>0</v>
      </c>
      <c r="AO845" s="33">
        <v>0</v>
      </c>
      <c r="AP845" s="33">
        <v>0</v>
      </c>
      <c r="AQ845" s="43">
        <v>1</v>
      </c>
      <c r="AR845" s="33" t="s">
        <v>106</v>
      </c>
      <c r="AS845" s="43" t="s">
        <v>106</v>
      </c>
      <c r="AT845" s="42">
        <f t="shared" si="623"/>
        <v>0.48699999999999999</v>
      </c>
      <c r="AU845" s="18">
        <v>0.51300000000000001</v>
      </c>
      <c r="AV845">
        <v>0</v>
      </c>
      <c r="AW845" s="40">
        <f t="shared" si="624"/>
        <v>1</v>
      </c>
      <c r="AX845" t="s">
        <v>106</v>
      </c>
      <c r="AY845" s="40" t="s">
        <v>106</v>
      </c>
      <c r="BA845" s="18"/>
      <c r="BB845">
        <f t="shared" si="625"/>
        <v>0.23850000000000005</v>
      </c>
      <c r="BC845" s="18">
        <v>0.76149999999999995</v>
      </c>
      <c r="BD845" s="18" t="s">
        <v>544</v>
      </c>
      <c r="BK845" s="18"/>
      <c r="BN845" s="18"/>
      <c r="BQ845" s="25">
        <v>35.5</v>
      </c>
      <c r="BR845">
        <v>1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 s="18">
        <v>0</v>
      </c>
      <c r="BZ845">
        <v>0</v>
      </c>
      <c r="CA845">
        <v>0</v>
      </c>
      <c r="CB845">
        <v>0</v>
      </c>
      <c r="CC845" s="18">
        <v>1</v>
      </c>
      <c r="CD845">
        <v>0</v>
      </c>
      <c r="CE845">
        <v>0</v>
      </c>
      <c r="CF845">
        <v>0</v>
      </c>
      <c r="CG845">
        <v>0</v>
      </c>
      <c r="CH845" s="18">
        <v>0</v>
      </c>
      <c r="CI845">
        <v>1</v>
      </c>
      <c r="CJ845">
        <v>1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1</v>
      </c>
      <c r="CQ845">
        <v>1</v>
      </c>
      <c r="CR845">
        <v>1</v>
      </c>
      <c r="CS845" s="18">
        <v>1</v>
      </c>
      <c r="DD845" s="34" t="s">
        <v>86</v>
      </c>
    </row>
    <row r="846" spans="1:108" x14ac:dyDescent="0.25">
      <c r="A846">
        <v>845</v>
      </c>
      <c r="B846">
        <v>55</v>
      </c>
      <c r="C846" s="25" t="s">
        <v>527</v>
      </c>
      <c r="D846" s="12">
        <v>13.86213352434218</v>
      </c>
      <c r="E846" s="14">
        <v>2.0248895124005597</v>
      </c>
      <c r="F846" s="7">
        <v>6.8458715596330277</v>
      </c>
      <c r="G846" s="7">
        <f t="shared" si="614"/>
        <v>11.837244011941621</v>
      </c>
      <c r="H846" s="16">
        <f t="shared" si="615"/>
        <v>15.88702303674274</v>
      </c>
      <c r="I846" s="11">
        <f t="shared" si="616"/>
        <v>6.2745810395942639E-2</v>
      </c>
      <c r="J846" s="33">
        <f t="shared" si="617"/>
        <v>9.1654962920902534E-3</v>
      </c>
      <c r="K846" s="33">
        <f t="shared" si="618"/>
        <v>109.10483929418984</v>
      </c>
      <c r="L846" s="33">
        <f t="shared" si="619"/>
        <v>5.3580314103852389E-2</v>
      </c>
      <c r="M846" s="33">
        <f t="shared" si="620"/>
        <v>7.1911306688032889E-2</v>
      </c>
      <c r="N846" s="8">
        <v>1</v>
      </c>
      <c r="O846" s="9">
        <v>0</v>
      </c>
      <c r="P846" s="8">
        <v>0</v>
      </c>
      <c r="Q846" s="9">
        <v>1</v>
      </c>
      <c r="R846" s="9">
        <v>0</v>
      </c>
      <c r="S846" s="9">
        <v>0</v>
      </c>
      <c r="T846" s="9">
        <v>0</v>
      </c>
      <c r="U846" s="8">
        <v>11878</v>
      </c>
      <c r="V846" s="9">
        <v>20</v>
      </c>
      <c r="W846" s="9">
        <f t="shared" si="621"/>
        <v>11857</v>
      </c>
      <c r="X846" s="9">
        <f t="shared" si="610"/>
        <v>12</v>
      </c>
      <c r="Y846" s="7">
        <v>18</v>
      </c>
      <c r="Z846" s="7">
        <f t="shared" si="622"/>
        <v>11.5</v>
      </c>
      <c r="AA846" s="9">
        <v>0</v>
      </c>
      <c r="AB846" s="9">
        <v>1</v>
      </c>
      <c r="AC846" s="9">
        <v>0</v>
      </c>
      <c r="AD846" s="9">
        <v>0</v>
      </c>
      <c r="AE846" s="9">
        <v>1</v>
      </c>
      <c r="AF846" s="9">
        <v>0</v>
      </c>
      <c r="AG846" s="8">
        <v>0</v>
      </c>
      <c r="AH846" s="9">
        <v>1</v>
      </c>
      <c r="AI846" s="30">
        <v>0</v>
      </c>
      <c r="AJ846" s="9">
        <v>1</v>
      </c>
      <c r="AK846" s="30">
        <v>0</v>
      </c>
      <c r="AL846" s="21">
        <v>2017</v>
      </c>
      <c r="AM846" s="23">
        <f t="shared" si="611"/>
        <v>7.6093665379542115</v>
      </c>
      <c r="AN846" s="33">
        <v>0</v>
      </c>
      <c r="AO846" s="33">
        <v>0</v>
      </c>
      <c r="AP846" s="33">
        <v>0</v>
      </c>
      <c r="AQ846" s="43">
        <v>1</v>
      </c>
      <c r="AR846" s="33" t="s">
        <v>106</v>
      </c>
      <c r="AS846" s="43" t="s">
        <v>106</v>
      </c>
      <c r="AT846" s="42">
        <f t="shared" si="623"/>
        <v>0.48699999999999999</v>
      </c>
      <c r="AU846" s="18">
        <v>0.51300000000000001</v>
      </c>
      <c r="AV846">
        <v>0</v>
      </c>
      <c r="AW846" s="40">
        <f t="shared" si="624"/>
        <v>1</v>
      </c>
      <c r="AX846" t="s">
        <v>106</v>
      </c>
      <c r="AY846" s="40" t="s">
        <v>106</v>
      </c>
      <c r="BA846" s="18"/>
      <c r="BB846">
        <f t="shared" si="625"/>
        <v>0.23850000000000005</v>
      </c>
      <c r="BC846" s="18">
        <v>0.76149999999999995</v>
      </c>
      <c r="BD846" s="18" t="s">
        <v>544</v>
      </c>
      <c r="BK846" s="18"/>
      <c r="BN846" s="18"/>
      <c r="BQ846" s="25">
        <v>35.5</v>
      </c>
      <c r="BR846">
        <v>1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 s="18">
        <v>0</v>
      </c>
      <c r="BZ846">
        <v>0</v>
      </c>
      <c r="CA846">
        <v>0</v>
      </c>
      <c r="CB846">
        <v>0</v>
      </c>
      <c r="CC846" s="18">
        <v>1</v>
      </c>
      <c r="CD846">
        <v>0</v>
      </c>
      <c r="CE846">
        <v>0</v>
      </c>
      <c r="CF846">
        <v>0</v>
      </c>
      <c r="CG846">
        <v>0</v>
      </c>
      <c r="CH846" s="18">
        <v>0</v>
      </c>
      <c r="CI846">
        <v>1</v>
      </c>
      <c r="CJ846">
        <v>1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1</v>
      </c>
      <c r="CQ846">
        <v>1</v>
      </c>
      <c r="CR846">
        <v>1</v>
      </c>
      <c r="CS846" s="18">
        <v>1</v>
      </c>
      <c r="DD846" s="34" t="s">
        <v>86</v>
      </c>
    </row>
    <row r="847" spans="1:108" x14ac:dyDescent="0.25">
      <c r="A847">
        <v>846</v>
      </c>
      <c r="B847">
        <v>55</v>
      </c>
      <c r="C847" s="25" t="s">
        <v>527</v>
      </c>
      <c r="D847" s="12">
        <v>16.977540792158972</v>
      </c>
      <c r="E847" s="14">
        <v>21.48760204234318</v>
      </c>
      <c r="F847" s="7">
        <v>0.79010867563087117</v>
      </c>
      <c r="G847" s="7">
        <f t="shared" si="614"/>
        <v>-4.5100612501842079</v>
      </c>
      <c r="H847" s="16">
        <f t="shared" si="615"/>
        <v>38.465142834502153</v>
      </c>
      <c r="I847" s="11">
        <f t="shared" si="616"/>
        <v>7.25584485540922E-3</v>
      </c>
      <c r="J847" s="33">
        <f t="shared" si="617"/>
        <v>9.1833504417803153E-3</v>
      </c>
      <c r="K847" s="33">
        <f t="shared" si="618"/>
        <v>108.89271909415848</v>
      </c>
      <c r="L847" s="33">
        <f t="shared" si="619"/>
        <v>-1.9275055863710953E-3</v>
      </c>
      <c r="M847" s="33">
        <f t="shared" si="620"/>
        <v>1.6439195297189534E-2</v>
      </c>
      <c r="N847" s="8">
        <v>1</v>
      </c>
      <c r="O847" s="9">
        <v>0</v>
      </c>
      <c r="P847" s="8">
        <v>0</v>
      </c>
      <c r="Q847" s="9">
        <v>1</v>
      </c>
      <c r="R847" s="9">
        <v>0</v>
      </c>
      <c r="S847" s="9">
        <v>0</v>
      </c>
      <c r="T847" s="9">
        <v>0</v>
      </c>
      <c r="U847" s="8">
        <v>11878</v>
      </c>
      <c r="V847" s="9">
        <v>20</v>
      </c>
      <c r="W847" s="9">
        <f t="shared" si="621"/>
        <v>11857</v>
      </c>
      <c r="X847" s="9">
        <f t="shared" si="610"/>
        <v>12</v>
      </c>
      <c r="Y847" s="7">
        <v>18</v>
      </c>
      <c r="Z847" s="7">
        <f t="shared" si="622"/>
        <v>11.5</v>
      </c>
      <c r="AA847" s="9">
        <v>0</v>
      </c>
      <c r="AB847" s="9">
        <v>1</v>
      </c>
      <c r="AC847" s="9">
        <v>0</v>
      </c>
      <c r="AD847" s="9">
        <v>0</v>
      </c>
      <c r="AE847" s="9">
        <v>1</v>
      </c>
      <c r="AF847" s="9">
        <v>0</v>
      </c>
      <c r="AG847" s="8">
        <v>0</v>
      </c>
      <c r="AH847" s="9">
        <v>1</v>
      </c>
      <c r="AI847" s="30">
        <v>0</v>
      </c>
      <c r="AJ847" s="9">
        <v>1</v>
      </c>
      <c r="AK847" s="30">
        <v>0</v>
      </c>
      <c r="AL847" s="21">
        <v>2017</v>
      </c>
      <c r="AM847" s="23">
        <f t="shared" si="611"/>
        <v>7.6093665379542115</v>
      </c>
      <c r="AN847" s="33">
        <v>0</v>
      </c>
      <c r="AO847" s="33">
        <v>0</v>
      </c>
      <c r="AP847" s="33">
        <v>0</v>
      </c>
      <c r="AQ847" s="43">
        <v>1</v>
      </c>
      <c r="AR847" s="33" t="s">
        <v>106</v>
      </c>
      <c r="AS847" s="43" t="s">
        <v>106</v>
      </c>
      <c r="AT847" s="42">
        <f t="shared" si="623"/>
        <v>0.48699999999999999</v>
      </c>
      <c r="AU847" s="18">
        <v>0.51300000000000001</v>
      </c>
      <c r="AV847">
        <v>0</v>
      </c>
      <c r="AW847" s="40">
        <f t="shared" si="624"/>
        <v>1</v>
      </c>
      <c r="AX847" t="s">
        <v>106</v>
      </c>
      <c r="AY847" s="40" t="s">
        <v>106</v>
      </c>
      <c r="BA847" s="18"/>
      <c r="BB847">
        <f t="shared" si="625"/>
        <v>0.23850000000000005</v>
      </c>
      <c r="BC847" s="18">
        <v>0.76149999999999995</v>
      </c>
      <c r="BD847" s="18" t="s">
        <v>544</v>
      </c>
      <c r="BK847" s="18"/>
      <c r="BN847" s="18"/>
      <c r="BQ847" s="25">
        <v>35.5</v>
      </c>
      <c r="BR847">
        <v>1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 s="18">
        <v>0</v>
      </c>
      <c r="BZ847">
        <v>0</v>
      </c>
      <c r="CA847">
        <v>0</v>
      </c>
      <c r="CB847">
        <v>0</v>
      </c>
      <c r="CC847" s="18">
        <v>1</v>
      </c>
      <c r="CD847">
        <v>0</v>
      </c>
      <c r="CE847">
        <v>0</v>
      </c>
      <c r="CF847">
        <v>0</v>
      </c>
      <c r="CG847">
        <v>0</v>
      </c>
      <c r="CH847" s="18">
        <v>0</v>
      </c>
      <c r="CI847">
        <v>1</v>
      </c>
      <c r="CJ847">
        <v>1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1</v>
      </c>
      <c r="CQ847">
        <v>1</v>
      </c>
      <c r="CR847">
        <v>1</v>
      </c>
      <c r="CS847" s="18">
        <v>1</v>
      </c>
      <c r="DD847" s="34" t="s">
        <v>86</v>
      </c>
    </row>
    <row r="848" spans="1:108" s="207" customFormat="1" x14ac:dyDescent="0.25">
      <c r="A848" s="207">
        <v>847</v>
      </c>
      <c r="B848" s="207">
        <v>55</v>
      </c>
      <c r="C848" s="208" t="s">
        <v>527</v>
      </c>
      <c r="D848" s="209">
        <v>16.348402648898457</v>
      </c>
      <c r="E848" s="210">
        <v>2.0326343319223534</v>
      </c>
      <c r="F848" s="211">
        <v>8.0429629629629638</v>
      </c>
      <c r="G848" s="211">
        <f t="shared" si="614"/>
        <v>14.315768316976104</v>
      </c>
      <c r="H848" s="212">
        <f t="shared" si="615"/>
        <v>18.381036980820809</v>
      </c>
      <c r="I848" s="213">
        <f t="shared" si="616"/>
        <v>7.3662621441902193E-2</v>
      </c>
      <c r="J848" s="214">
        <f t="shared" si="617"/>
        <v>9.1586423785750548E-3</v>
      </c>
      <c r="K848" s="214">
        <f t="shared" si="618"/>
        <v>109.18648841877641</v>
      </c>
      <c r="L848" s="214">
        <f t="shared" si="619"/>
        <v>6.4503979063327138E-2</v>
      </c>
      <c r="M848" s="214">
        <f t="shared" si="620"/>
        <v>8.2821263820477248E-2</v>
      </c>
      <c r="N848" s="215">
        <v>1</v>
      </c>
      <c r="O848" s="216">
        <v>0</v>
      </c>
      <c r="P848" s="215">
        <v>0</v>
      </c>
      <c r="Q848" s="216">
        <v>1</v>
      </c>
      <c r="R848" s="216">
        <v>0</v>
      </c>
      <c r="S848" s="216">
        <v>0</v>
      </c>
      <c r="T848" s="216">
        <v>0</v>
      </c>
      <c r="U848" s="215">
        <v>11878</v>
      </c>
      <c r="V848" s="216">
        <v>20</v>
      </c>
      <c r="W848" s="216">
        <f t="shared" si="621"/>
        <v>11857</v>
      </c>
      <c r="X848" s="216">
        <f t="shared" si="610"/>
        <v>12</v>
      </c>
      <c r="Y848" s="211">
        <v>22</v>
      </c>
      <c r="Z848" s="211">
        <f t="shared" si="622"/>
        <v>7.5</v>
      </c>
      <c r="AA848" s="216">
        <v>0</v>
      </c>
      <c r="AB848" s="216">
        <v>1</v>
      </c>
      <c r="AC848" s="216">
        <v>0</v>
      </c>
      <c r="AD848" s="216">
        <v>0</v>
      </c>
      <c r="AE848" s="216">
        <v>1</v>
      </c>
      <c r="AF848" s="216">
        <v>0</v>
      </c>
      <c r="AG848" s="215">
        <v>0</v>
      </c>
      <c r="AH848" s="216">
        <v>1</v>
      </c>
      <c r="AI848" s="217">
        <v>0</v>
      </c>
      <c r="AJ848" s="216">
        <v>1</v>
      </c>
      <c r="AK848" s="217">
        <v>0</v>
      </c>
      <c r="AL848" s="218">
        <v>2017</v>
      </c>
      <c r="AM848" s="219">
        <f t="shared" si="611"/>
        <v>7.6093665379542115</v>
      </c>
      <c r="AN848" s="214">
        <v>0</v>
      </c>
      <c r="AO848" s="214">
        <v>0</v>
      </c>
      <c r="AP848" s="214">
        <v>0</v>
      </c>
      <c r="AQ848" s="220">
        <v>1</v>
      </c>
      <c r="AR848" s="214" t="s">
        <v>106</v>
      </c>
      <c r="AS848" s="220" t="s">
        <v>106</v>
      </c>
      <c r="AT848" s="221">
        <f t="shared" si="623"/>
        <v>0.48699999999999999</v>
      </c>
      <c r="AU848" s="222">
        <v>0.51300000000000001</v>
      </c>
      <c r="AV848" s="207">
        <v>0</v>
      </c>
      <c r="AW848" s="223">
        <f t="shared" si="624"/>
        <v>1</v>
      </c>
      <c r="AX848" s="207" t="s">
        <v>106</v>
      </c>
      <c r="AY848" s="223" t="s">
        <v>106</v>
      </c>
      <c r="BA848" s="222"/>
      <c r="BB848" s="207">
        <f t="shared" si="625"/>
        <v>0.23850000000000005</v>
      </c>
      <c r="BC848" s="222">
        <v>0.76149999999999995</v>
      </c>
      <c r="BD848" s="222" t="s">
        <v>544</v>
      </c>
      <c r="BK848" s="222"/>
      <c r="BN848" s="222"/>
      <c r="BQ848" s="208">
        <v>35.5</v>
      </c>
      <c r="BR848" s="207">
        <v>1</v>
      </c>
      <c r="BS848" s="207">
        <v>0</v>
      </c>
      <c r="BT848" s="207">
        <v>0</v>
      </c>
      <c r="BU848" s="207">
        <v>0</v>
      </c>
      <c r="BV848" s="207">
        <v>0</v>
      </c>
      <c r="BW848" s="207">
        <v>0</v>
      </c>
      <c r="BX848" s="207">
        <v>0</v>
      </c>
      <c r="BY848" s="222">
        <v>0</v>
      </c>
      <c r="BZ848" s="207">
        <v>0</v>
      </c>
      <c r="CA848" s="207">
        <v>0</v>
      </c>
      <c r="CB848" s="207">
        <v>0</v>
      </c>
      <c r="CC848" s="222">
        <v>1</v>
      </c>
      <c r="CD848" s="207">
        <v>0</v>
      </c>
      <c r="CE848" s="207">
        <v>0</v>
      </c>
      <c r="CF848" s="207">
        <v>0</v>
      </c>
      <c r="CG848" s="207">
        <v>0</v>
      </c>
      <c r="CH848" s="222">
        <v>0</v>
      </c>
      <c r="CI848" s="207">
        <v>1</v>
      </c>
      <c r="CJ848" s="207">
        <v>1</v>
      </c>
      <c r="CK848" s="207">
        <v>0</v>
      </c>
      <c r="CL848" s="207">
        <v>0</v>
      </c>
      <c r="CM848" s="207">
        <v>0</v>
      </c>
      <c r="CN848" s="207">
        <v>0</v>
      </c>
      <c r="CO848" s="207">
        <v>0</v>
      </c>
      <c r="CP848" s="207">
        <v>1</v>
      </c>
      <c r="CQ848" s="207">
        <v>1</v>
      </c>
      <c r="CR848" s="207">
        <v>1</v>
      </c>
      <c r="CS848" s="222">
        <v>1</v>
      </c>
      <c r="CY848" s="224"/>
      <c r="DD848" s="224" t="s">
        <v>86</v>
      </c>
    </row>
    <row r="849" spans="1:108" x14ac:dyDescent="0.25">
      <c r="A849">
        <v>848</v>
      </c>
      <c r="B849">
        <v>56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610"/>
        <v>2</v>
      </c>
      <c r="AG849" s="8"/>
      <c r="AI849" s="30"/>
      <c r="AK849" s="30"/>
      <c r="AL849" s="21"/>
      <c r="AM849" s="23" t="e">
        <f t="shared" si="611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B850">
        <v>56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610"/>
        <v>2</v>
      </c>
      <c r="AG850" s="8"/>
      <c r="AI850" s="30"/>
      <c r="AK850" s="30"/>
      <c r="AL850" s="21"/>
      <c r="AM850" s="23" t="e">
        <f t="shared" si="611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610"/>
        <v>0</v>
      </c>
      <c r="AG851" s="8"/>
      <c r="AI851" s="30"/>
      <c r="AK851" s="30"/>
      <c r="AL851" s="21"/>
      <c r="AM851" s="23" t="e">
        <f t="shared" si="611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610"/>
        <v>0</v>
      </c>
      <c r="AG852" s="8"/>
      <c r="AI852" s="30"/>
      <c r="AK852" s="30"/>
      <c r="AL852" s="21"/>
      <c r="AM852" s="23" t="e">
        <f t="shared" si="611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610"/>
        <v>0</v>
      </c>
      <c r="AG853" s="8"/>
      <c r="AI853" s="30"/>
      <c r="AK853" s="30"/>
      <c r="AL853" s="21"/>
      <c r="AM853" s="23" t="e">
        <f t="shared" si="611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610"/>
        <v>0</v>
      </c>
      <c r="AG854" s="8"/>
      <c r="AI854" s="30"/>
      <c r="AK854" s="30"/>
      <c r="AL854" s="21"/>
      <c r="AM854" s="23" t="e">
        <f t="shared" si="611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610"/>
        <v>0</v>
      </c>
      <c r="AG855" s="8"/>
      <c r="AI855" s="30"/>
      <c r="AK855" s="30"/>
      <c r="AL855" s="21"/>
      <c r="AM855" s="23" t="e">
        <f t="shared" si="611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610"/>
        <v>0</v>
      </c>
      <c r="AG856" s="8"/>
      <c r="AI856" s="30"/>
      <c r="AK856" s="30"/>
      <c r="AL856" s="21"/>
      <c r="AM856" s="23" t="e">
        <f t="shared" si="611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610"/>
        <v>0</v>
      </c>
      <c r="AG857" s="8"/>
      <c r="AI857" s="30"/>
      <c r="AK857" s="30"/>
      <c r="AL857" s="21"/>
      <c r="AM857" s="23" t="e">
        <f t="shared" si="611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610"/>
        <v>0</v>
      </c>
      <c r="AG858" s="8"/>
      <c r="AI858" s="30"/>
      <c r="AK858" s="30"/>
      <c r="AL858" s="21"/>
      <c r="AM858" s="23" t="e">
        <f t="shared" si="611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610"/>
        <v>0</v>
      </c>
      <c r="AG859" s="8"/>
      <c r="AI859" s="30"/>
      <c r="AK859" s="30"/>
      <c r="AL859" s="21"/>
      <c r="AM859" s="23" t="e">
        <f t="shared" si="611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610"/>
        <v>0</v>
      </c>
      <c r="AG860" s="8"/>
      <c r="AI860" s="30"/>
      <c r="AK860" s="30"/>
      <c r="AL860" s="21"/>
      <c r="AM860" s="23" t="e">
        <f t="shared" si="611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610"/>
        <v>0</v>
      </c>
      <c r="AG861" s="8"/>
      <c r="AI861" s="30"/>
      <c r="AK861" s="30"/>
      <c r="AL861" s="21"/>
      <c r="AM861" s="23" t="e">
        <f t="shared" si="611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610"/>
        <v>0</v>
      </c>
      <c r="AG862" s="8"/>
      <c r="AI862" s="30"/>
      <c r="AK862" s="30"/>
      <c r="AL862" s="21"/>
      <c r="AM862" s="23" t="e">
        <f t="shared" si="611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610"/>
        <v>0</v>
      </c>
      <c r="AG863" s="8"/>
      <c r="AI863" s="30"/>
      <c r="AK863" s="30"/>
      <c r="AL863" s="21"/>
      <c r="AM863" s="23" t="e">
        <f t="shared" si="611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610"/>
        <v>0</v>
      </c>
      <c r="AG864" s="8"/>
      <c r="AI864" s="30"/>
      <c r="AK864" s="30"/>
      <c r="AL864" s="21"/>
      <c r="AM864" s="23" t="e">
        <f t="shared" si="611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610"/>
        <v>0</v>
      </c>
      <c r="AG865" s="8"/>
      <c r="AI865" s="30"/>
      <c r="AK865" s="30"/>
      <c r="AL865" s="21"/>
      <c r="AM865" s="23" t="e">
        <f t="shared" si="611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610"/>
        <v>0</v>
      </c>
      <c r="AG866" s="8"/>
      <c r="AI866" s="30"/>
      <c r="AK866" s="30"/>
      <c r="AL866" s="21"/>
      <c r="AM866" s="23" t="e">
        <f t="shared" si="611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610"/>
        <v>0</v>
      </c>
      <c r="AG867" s="8"/>
      <c r="AI867" s="30"/>
      <c r="AK867" s="30"/>
      <c r="AL867" s="21"/>
      <c r="AM867" s="23" t="e">
        <f t="shared" si="611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610"/>
        <v>0</v>
      </c>
      <c r="AG868" s="8"/>
      <c r="AI868" s="30"/>
      <c r="AK868" s="30"/>
      <c r="AL868" s="21"/>
      <c r="AM868" s="23" t="e">
        <f t="shared" si="611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610"/>
        <v>0</v>
      </c>
      <c r="AG869" s="8"/>
      <c r="AI869" s="30"/>
      <c r="AK869" s="30"/>
      <c r="AL869" s="21"/>
      <c r="AM869" s="23" t="e">
        <f t="shared" si="611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610"/>
        <v>0</v>
      </c>
      <c r="AG870" s="8"/>
      <c r="AI870" s="30"/>
      <c r="AK870" s="30"/>
      <c r="AL870" s="21"/>
      <c r="AM870" s="23" t="e">
        <f t="shared" si="611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610"/>
        <v>0</v>
      </c>
      <c r="AG871" s="8"/>
      <c r="AI871" s="30"/>
      <c r="AK871" s="30"/>
      <c r="AL871" s="21"/>
      <c r="AM871" s="23" t="e">
        <f t="shared" si="611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610"/>
        <v>0</v>
      </c>
      <c r="AG872" s="8"/>
      <c r="AI872" s="30"/>
      <c r="AK872" s="30"/>
      <c r="AL872" s="21"/>
      <c r="AM872" s="23" t="e">
        <f t="shared" si="611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610"/>
        <v>0</v>
      </c>
      <c r="AG873" s="8"/>
      <c r="AI873" s="30"/>
      <c r="AK873" s="30"/>
      <c r="AL873" s="21"/>
      <c r="AM873" s="23" t="e">
        <f t="shared" si="611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610"/>
        <v>0</v>
      </c>
      <c r="AG874" s="8"/>
      <c r="AI874" s="30"/>
      <c r="AK874" s="30"/>
      <c r="AL874" s="21"/>
      <c r="AM874" s="23" t="e">
        <f t="shared" si="611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610"/>
        <v>0</v>
      </c>
      <c r="AG875" s="8"/>
      <c r="AI875" s="30"/>
      <c r="AK875" s="30"/>
      <c r="AL875" s="21"/>
      <c r="AM875" s="23" t="e">
        <f t="shared" si="611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610"/>
        <v>0</v>
      </c>
      <c r="AG876" s="8"/>
      <c r="AI876" s="30"/>
      <c r="AK876" s="30"/>
      <c r="AL876" s="21"/>
      <c r="AM876" s="23" t="e">
        <f t="shared" si="611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610"/>
        <v>0</v>
      </c>
      <c r="AG877" s="8"/>
      <c r="AI877" s="30"/>
      <c r="AK877" s="30"/>
      <c r="AL877" s="21"/>
      <c r="AM877" s="23" t="e">
        <f t="shared" si="611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610"/>
        <v>0</v>
      </c>
      <c r="AG878" s="8"/>
      <c r="AI878" s="30"/>
      <c r="AK878" s="30"/>
      <c r="AL878" s="21"/>
      <c r="AM878" s="23" t="e">
        <f t="shared" si="611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610"/>
        <v>0</v>
      </c>
      <c r="AG879" s="8"/>
      <c r="AI879" s="30"/>
      <c r="AK879" s="30"/>
      <c r="AL879" s="21"/>
      <c r="AM879" s="23" t="e">
        <f t="shared" si="611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610"/>
        <v>0</v>
      </c>
      <c r="AG880" s="8"/>
      <c r="AI880" s="30"/>
      <c r="AK880" s="30"/>
      <c r="AL880" s="21"/>
      <c r="AM880" s="23" t="e">
        <f t="shared" si="611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610"/>
        <v>0</v>
      </c>
      <c r="AG881" s="8"/>
      <c r="AI881" s="30"/>
      <c r="AK881" s="30"/>
      <c r="AL881" s="21"/>
      <c r="AM881" s="23" t="e">
        <f t="shared" si="611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610"/>
        <v>0</v>
      </c>
      <c r="AG882" s="8"/>
      <c r="AI882" s="30"/>
      <c r="AK882" s="30"/>
      <c r="AL882" s="21"/>
      <c r="AM882" s="23" t="e">
        <f t="shared" si="611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610"/>
        <v>0</v>
      </c>
      <c r="AG883" s="8"/>
      <c r="AI883" s="30"/>
      <c r="AK883" s="30"/>
      <c r="AL883" s="21"/>
      <c r="AM883" s="23" t="e">
        <f t="shared" si="611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610"/>
        <v>0</v>
      </c>
      <c r="AG884" s="8"/>
      <c r="AI884" s="30"/>
      <c r="AK884" s="30"/>
      <c r="AL884" s="21"/>
      <c r="AM884" s="23" t="e">
        <f t="shared" si="611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610"/>
        <v>0</v>
      </c>
      <c r="AG885" s="8"/>
      <c r="AI885" s="30"/>
      <c r="AK885" s="30"/>
      <c r="AL885" s="21"/>
      <c r="AM885" s="23" t="e">
        <f t="shared" si="611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610"/>
        <v>0</v>
      </c>
      <c r="AG886" s="8"/>
      <c r="AI886" s="30"/>
      <c r="AK886" s="30"/>
      <c r="AL886" s="21"/>
      <c r="AM886" s="23" t="e">
        <f t="shared" si="611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610"/>
        <v>0</v>
      </c>
      <c r="AG887" s="8"/>
      <c r="AI887" s="30"/>
      <c r="AK887" s="30"/>
      <c r="AL887" s="21"/>
      <c r="AM887" s="23" t="e">
        <f t="shared" si="611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610"/>
        <v>0</v>
      </c>
      <c r="AG888" s="8"/>
      <c r="AI888" s="30"/>
      <c r="AK888" s="30"/>
      <c r="AL888" s="21"/>
      <c r="AM888" s="23" t="e">
        <f t="shared" si="611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610"/>
        <v>0</v>
      </c>
      <c r="AG889" s="8"/>
      <c r="AI889" s="30"/>
      <c r="AK889" s="30"/>
      <c r="AL889" s="21"/>
      <c r="AM889" s="23" t="e">
        <f t="shared" si="611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610"/>
        <v>0</v>
      </c>
      <c r="AG890" s="8"/>
      <c r="AI890" s="30"/>
      <c r="AK890" s="30"/>
      <c r="AL890" s="21"/>
      <c r="AM890" s="23" t="e">
        <f t="shared" si="611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610"/>
        <v>0</v>
      </c>
      <c r="AG891" s="8"/>
      <c r="AI891" s="30"/>
      <c r="AK891" s="30"/>
      <c r="AL891" s="21"/>
      <c r="AM891" s="23" t="e">
        <f t="shared" si="611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610"/>
        <v>0</v>
      </c>
      <c r="AG892" s="8"/>
      <c r="AI892" s="30"/>
      <c r="AK892" s="30"/>
      <c r="AL892" s="21"/>
      <c r="AM892" s="23" t="e">
        <f t="shared" si="611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610"/>
        <v>0</v>
      </c>
      <c r="AG893" s="8"/>
      <c r="AI893" s="30"/>
      <c r="AK893" s="30"/>
      <c r="AL893" s="21"/>
      <c r="AM893" s="23" t="e">
        <f t="shared" si="611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610"/>
        <v>0</v>
      </c>
      <c r="AG894" s="8"/>
      <c r="AI894" s="30"/>
      <c r="AK894" s="30"/>
      <c r="AL894" s="21"/>
      <c r="AM894" s="23" t="e">
        <f t="shared" si="611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610"/>
        <v>0</v>
      </c>
      <c r="AG895" s="8"/>
      <c r="AI895" s="30"/>
      <c r="AK895" s="30"/>
      <c r="AL895" s="21"/>
      <c r="AM895" s="23" t="e">
        <f t="shared" si="611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610"/>
        <v>0</v>
      </c>
      <c r="AG896" s="8"/>
      <c r="AI896" s="30"/>
      <c r="AK896" s="30"/>
      <c r="AL896" s="21"/>
      <c r="AM896" s="23" t="e">
        <f t="shared" si="611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610"/>
        <v>0</v>
      </c>
      <c r="AG897" s="8"/>
      <c r="AI897" s="30"/>
      <c r="AK897" s="30"/>
      <c r="AL897" s="21"/>
      <c r="AM897" s="23" t="e">
        <f t="shared" si="611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610"/>
        <v>0</v>
      </c>
      <c r="AG898" s="8"/>
      <c r="AI898" s="30"/>
      <c r="AK898" s="30"/>
      <c r="AL898" s="21"/>
      <c r="AM898" s="23" t="e">
        <f t="shared" si="611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626">COUNTIF(B:B,B899)</f>
        <v>0</v>
      </c>
      <c r="AG899" s="8"/>
      <c r="AI899" s="30"/>
      <c r="AK899" s="30"/>
      <c r="AL899" s="21"/>
      <c r="AM899" s="23" t="e">
        <f t="shared" ref="AM899:AM962" si="627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626"/>
        <v>0</v>
      </c>
      <c r="AG900" s="8"/>
      <c r="AI900" s="30"/>
      <c r="AK900" s="30"/>
      <c r="AL900" s="21"/>
      <c r="AM900" s="23" t="e">
        <f t="shared" si="627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626"/>
        <v>0</v>
      </c>
      <c r="AG901" s="8"/>
      <c r="AI901" s="30"/>
      <c r="AK901" s="30"/>
      <c r="AL901" s="21"/>
      <c r="AM901" s="23" t="e">
        <f t="shared" si="627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626"/>
        <v>0</v>
      </c>
      <c r="AG902" s="8"/>
      <c r="AI902" s="30"/>
      <c r="AK902" s="30"/>
      <c r="AL902" s="21"/>
      <c r="AM902" s="23" t="e">
        <f t="shared" si="627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626"/>
        <v>0</v>
      </c>
      <c r="AG903" s="8"/>
      <c r="AI903" s="30"/>
      <c r="AK903" s="30"/>
      <c r="AL903" s="21"/>
      <c r="AM903" s="23" t="e">
        <f t="shared" si="627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626"/>
        <v>0</v>
      </c>
      <c r="AG904" s="8"/>
      <c r="AI904" s="30"/>
      <c r="AK904" s="30"/>
      <c r="AL904" s="21"/>
      <c r="AM904" s="23" t="e">
        <f t="shared" si="627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626"/>
        <v>0</v>
      </c>
      <c r="AG905" s="8"/>
      <c r="AI905" s="30"/>
      <c r="AK905" s="30"/>
      <c r="AL905" s="21"/>
      <c r="AM905" s="23" t="e">
        <f t="shared" si="627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626"/>
        <v>0</v>
      </c>
      <c r="AG906" s="8"/>
      <c r="AI906" s="30"/>
      <c r="AK906" s="30"/>
      <c r="AL906" s="21"/>
      <c r="AM906" s="23" t="e">
        <f t="shared" si="627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626"/>
        <v>0</v>
      </c>
      <c r="AG907" s="8"/>
      <c r="AI907" s="30"/>
      <c r="AK907" s="30"/>
      <c r="AL907" s="21"/>
      <c r="AM907" s="23" t="e">
        <f t="shared" si="627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626"/>
        <v>0</v>
      </c>
      <c r="AG908" s="8"/>
      <c r="AI908" s="30"/>
      <c r="AK908" s="30"/>
      <c r="AL908" s="21"/>
      <c r="AM908" s="23" t="e">
        <f t="shared" si="627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626"/>
        <v>0</v>
      </c>
      <c r="AG909" s="8"/>
      <c r="AI909" s="30"/>
      <c r="AK909" s="30"/>
      <c r="AL909" s="21"/>
      <c r="AM909" s="23" t="e">
        <f t="shared" si="627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626"/>
        <v>0</v>
      </c>
      <c r="AG910" s="8"/>
      <c r="AI910" s="30"/>
      <c r="AK910" s="30"/>
      <c r="AL910" s="21"/>
      <c r="AM910" s="23" t="e">
        <f t="shared" si="627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626"/>
        <v>0</v>
      </c>
      <c r="AG911" s="8"/>
      <c r="AI911" s="30"/>
      <c r="AK911" s="30"/>
      <c r="AL911" s="21"/>
      <c r="AM911" s="23" t="e">
        <f t="shared" si="627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626"/>
        <v>0</v>
      </c>
      <c r="AG912" s="8"/>
      <c r="AI912" s="30"/>
      <c r="AK912" s="30"/>
      <c r="AL912" s="21"/>
      <c r="AM912" s="23" t="e">
        <f t="shared" si="627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626"/>
        <v>0</v>
      </c>
      <c r="AG913" s="8"/>
      <c r="AI913" s="30"/>
      <c r="AK913" s="30"/>
      <c r="AL913" s="21"/>
      <c r="AM913" s="23" t="e">
        <f t="shared" si="627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626"/>
        <v>0</v>
      </c>
      <c r="AG914" s="8"/>
      <c r="AI914" s="30"/>
      <c r="AK914" s="30"/>
      <c r="AL914" s="21"/>
      <c r="AM914" s="23" t="e">
        <f t="shared" si="627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626"/>
        <v>0</v>
      </c>
      <c r="AG915" s="8"/>
      <c r="AI915" s="30"/>
      <c r="AK915" s="30"/>
      <c r="AL915" s="21"/>
      <c r="AM915" s="23" t="e">
        <f t="shared" si="627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626"/>
        <v>0</v>
      </c>
      <c r="AG916" s="8"/>
      <c r="AI916" s="30"/>
      <c r="AK916" s="30"/>
      <c r="AL916" s="21"/>
      <c r="AM916" s="23" t="e">
        <f t="shared" si="627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626"/>
        <v>0</v>
      </c>
      <c r="AG917" s="8"/>
      <c r="AI917" s="30"/>
      <c r="AK917" s="30"/>
      <c r="AL917" s="21"/>
      <c r="AM917" s="23" t="e">
        <f t="shared" si="627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626"/>
        <v>0</v>
      </c>
      <c r="AG918" s="8"/>
      <c r="AI918" s="30"/>
      <c r="AK918" s="30"/>
      <c r="AL918" s="21"/>
      <c r="AM918" s="23" t="e">
        <f t="shared" si="627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626"/>
        <v>0</v>
      </c>
      <c r="AG919" s="8"/>
      <c r="AI919" s="30"/>
      <c r="AK919" s="30"/>
      <c r="AL919" s="21"/>
      <c r="AM919" s="23" t="e">
        <f t="shared" si="627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626"/>
        <v>0</v>
      </c>
      <c r="AG920" s="8"/>
      <c r="AI920" s="30"/>
      <c r="AK920" s="30"/>
      <c r="AL920" s="21"/>
      <c r="AM920" s="23" t="e">
        <f t="shared" si="627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626"/>
        <v>0</v>
      </c>
      <c r="AG921" s="8"/>
      <c r="AI921" s="30"/>
      <c r="AK921" s="30"/>
      <c r="AL921" s="21"/>
      <c r="AM921" s="23" t="e">
        <f t="shared" si="627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626"/>
        <v>0</v>
      </c>
      <c r="AG922" s="8"/>
      <c r="AI922" s="30"/>
      <c r="AK922" s="30"/>
      <c r="AL922" s="21"/>
      <c r="AM922" s="23" t="e">
        <f t="shared" si="627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626"/>
        <v>0</v>
      </c>
      <c r="AG923" s="8"/>
      <c r="AI923" s="30"/>
      <c r="AK923" s="30"/>
      <c r="AL923" s="21"/>
      <c r="AM923" s="23" t="e">
        <f t="shared" si="627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626"/>
        <v>0</v>
      </c>
      <c r="AG924" s="8"/>
      <c r="AI924" s="30"/>
      <c r="AK924" s="30"/>
      <c r="AL924" s="21"/>
      <c r="AM924" s="23" t="e">
        <f t="shared" si="627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626"/>
        <v>0</v>
      </c>
      <c r="AG925" s="8"/>
      <c r="AI925" s="30"/>
      <c r="AK925" s="30"/>
      <c r="AL925" s="21"/>
      <c r="AM925" s="23" t="e">
        <f t="shared" si="627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626"/>
        <v>0</v>
      </c>
      <c r="AG926" s="8"/>
      <c r="AI926" s="30"/>
      <c r="AK926" s="30"/>
      <c r="AL926" s="21"/>
      <c r="AM926" s="23" t="e">
        <f t="shared" si="627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626"/>
        <v>0</v>
      </c>
      <c r="AG927" s="8"/>
      <c r="AI927" s="30"/>
      <c r="AK927" s="30"/>
      <c r="AL927" s="21"/>
      <c r="AM927" s="23" t="e">
        <f t="shared" si="627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626"/>
        <v>0</v>
      </c>
      <c r="AG928" s="8"/>
      <c r="AI928" s="30"/>
      <c r="AK928" s="30"/>
      <c r="AL928" s="21"/>
      <c r="AM928" s="23" t="e">
        <f t="shared" si="627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626"/>
        <v>0</v>
      </c>
      <c r="AG929" s="8"/>
      <c r="AI929" s="30"/>
      <c r="AK929" s="30"/>
      <c r="AL929" s="21"/>
      <c r="AM929" s="23" t="e">
        <f t="shared" si="627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626"/>
        <v>0</v>
      </c>
      <c r="AG930" s="8"/>
      <c r="AI930" s="30"/>
      <c r="AK930" s="30"/>
      <c r="AL930" s="21"/>
      <c r="AM930" s="23" t="e">
        <f t="shared" si="627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626"/>
        <v>0</v>
      </c>
      <c r="AG931" s="8"/>
      <c r="AI931" s="30"/>
      <c r="AK931" s="30"/>
      <c r="AL931" s="21"/>
      <c r="AM931" s="23" t="e">
        <f t="shared" si="627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626"/>
        <v>0</v>
      </c>
      <c r="AG932" s="8"/>
      <c r="AI932" s="30"/>
      <c r="AK932" s="30"/>
      <c r="AL932" s="21"/>
      <c r="AM932" s="23" t="e">
        <f t="shared" si="627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626"/>
        <v>0</v>
      </c>
      <c r="AG933" s="8"/>
      <c r="AI933" s="30"/>
      <c r="AK933" s="30"/>
      <c r="AL933" s="21"/>
      <c r="AM933" s="23" t="e">
        <f t="shared" si="627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626"/>
        <v>0</v>
      </c>
      <c r="AG934" s="8"/>
      <c r="AI934" s="30"/>
      <c r="AK934" s="30"/>
      <c r="AL934" s="21"/>
      <c r="AM934" s="23" t="e">
        <f t="shared" si="627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626"/>
        <v>0</v>
      </c>
      <c r="AG935" s="8"/>
      <c r="AI935" s="30"/>
      <c r="AK935" s="30"/>
      <c r="AL935" s="21"/>
      <c r="AM935" s="23" t="e">
        <f t="shared" si="627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626"/>
        <v>0</v>
      </c>
      <c r="AG936" s="8"/>
      <c r="AI936" s="30"/>
      <c r="AK936" s="30"/>
      <c r="AL936" s="21"/>
      <c r="AM936" s="23" t="e">
        <f t="shared" si="627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626"/>
        <v>0</v>
      </c>
      <c r="AG937" s="8"/>
      <c r="AI937" s="30"/>
      <c r="AK937" s="30"/>
      <c r="AL937" s="21"/>
      <c r="AM937" s="23" t="e">
        <f t="shared" si="627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626"/>
        <v>0</v>
      </c>
      <c r="AG938" s="8"/>
      <c r="AI938" s="30"/>
      <c r="AK938" s="30"/>
      <c r="AL938" s="21"/>
      <c r="AM938" s="23" t="e">
        <f t="shared" si="627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626"/>
        <v>0</v>
      </c>
      <c r="AG939" s="8"/>
      <c r="AI939" s="30"/>
      <c r="AK939" s="30"/>
      <c r="AL939" s="21"/>
      <c r="AM939" s="23" t="e">
        <f t="shared" si="627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626"/>
        <v>0</v>
      </c>
      <c r="AG940" s="8"/>
      <c r="AI940" s="30"/>
      <c r="AK940" s="30"/>
      <c r="AL940" s="21"/>
      <c r="AM940" s="23" t="e">
        <f t="shared" si="627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626"/>
        <v>0</v>
      </c>
      <c r="AG941" s="8"/>
      <c r="AI941" s="30"/>
      <c r="AK941" s="30"/>
      <c r="AL941" s="21"/>
      <c r="AM941" s="23" t="e">
        <f t="shared" si="627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626"/>
        <v>0</v>
      </c>
      <c r="AG942" s="8"/>
      <c r="AI942" s="30"/>
      <c r="AK942" s="30"/>
      <c r="AL942" s="21"/>
      <c r="AM942" s="23" t="e">
        <f t="shared" si="627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626"/>
        <v>0</v>
      </c>
      <c r="AG943" s="8"/>
      <c r="AI943" s="30"/>
      <c r="AK943" s="30"/>
      <c r="AL943" s="21"/>
      <c r="AM943" s="23" t="e">
        <f t="shared" si="627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626"/>
        <v>0</v>
      </c>
      <c r="AG944" s="8"/>
      <c r="AI944" s="30"/>
      <c r="AK944" s="30"/>
      <c r="AL944" s="21"/>
      <c r="AM944" s="23" t="e">
        <f t="shared" si="627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626"/>
        <v>0</v>
      </c>
      <c r="AG945" s="8"/>
      <c r="AI945" s="30"/>
      <c r="AK945" s="30"/>
      <c r="AL945" s="21"/>
      <c r="AM945" s="23" t="e">
        <f t="shared" si="627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626"/>
        <v>0</v>
      </c>
      <c r="AG946" s="8"/>
      <c r="AI946" s="30"/>
      <c r="AK946" s="30"/>
      <c r="AL946" s="21"/>
      <c r="AM946" s="23" t="e">
        <f t="shared" si="627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626"/>
        <v>0</v>
      </c>
      <c r="AG947" s="8"/>
      <c r="AI947" s="30"/>
      <c r="AK947" s="30"/>
      <c r="AL947" s="21"/>
      <c r="AM947" s="23" t="e">
        <f t="shared" si="627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626"/>
        <v>0</v>
      </c>
      <c r="AG948" s="8"/>
      <c r="AI948" s="30"/>
      <c r="AK948" s="30"/>
      <c r="AL948" s="21"/>
      <c r="AM948" s="23" t="e">
        <f t="shared" si="627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626"/>
        <v>0</v>
      </c>
      <c r="AG949" s="8"/>
      <c r="AI949" s="30"/>
      <c r="AK949" s="30"/>
      <c r="AL949" s="21"/>
      <c r="AM949" s="23" t="e">
        <f t="shared" si="627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626"/>
        <v>0</v>
      </c>
      <c r="AG950" s="8"/>
      <c r="AI950" s="30"/>
      <c r="AK950" s="30"/>
      <c r="AL950" s="21"/>
      <c r="AM950" s="23" t="e">
        <f t="shared" si="627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626"/>
        <v>0</v>
      </c>
      <c r="AG951" s="8"/>
      <c r="AI951" s="30"/>
      <c r="AK951" s="30"/>
      <c r="AL951" s="21"/>
      <c r="AM951" s="23" t="e">
        <f t="shared" si="627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626"/>
        <v>0</v>
      </c>
      <c r="AG952" s="8"/>
      <c r="AI952" s="30"/>
      <c r="AK952" s="30"/>
      <c r="AL952" s="21"/>
      <c r="AM952" s="23" t="e">
        <f t="shared" si="627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626"/>
        <v>0</v>
      </c>
      <c r="AG953" s="8"/>
      <c r="AI953" s="30"/>
      <c r="AK953" s="30"/>
      <c r="AL953" s="21"/>
      <c r="AM953" s="23" t="e">
        <f t="shared" si="627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626"/>
        <v>0</v>
      </c>
      <c r="AG954" s="8"/>
      <c r="AI954" s="30"/>
      <c r="AK954" s="30"/>
      <c r="AL954" s="21"/>
      <c r="AM954" s="23" t="e">
        <f t="shared" si="627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626"/>
        <v>0</v>
      </c>
      <c r="AG955" s="8"/>
      <c r="AI955" s="30"/>
      <c r="AK955" s="30"/>
      <c r="AL955" s="21"/>
      <c r="AM955" s="23" t="e">
        <f t="shared" si="627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626"/>
        <v>0</v>
      </c>
      <c r="AG956" s="8"/>
      <c r="AI956" s="30"/>
      <c r="AK956" s="30"/>
      <c r="AL956" s="21"/>
      <c r="AM956" s="23" t="e">
        <f t="shared" si="627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626"/>
        <v>0</v>
      </c>
      <c r="AG957" s="8"/>
      <c r="AI957" s="30"/>
      <c r="AK957" s="30"/>
      <c r="AL957" s="21"/>
      <c r="AM957" s="23" t="e">
        <f t="shared" si="627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626"/>
        <v>0</v>
      </c>
      <c r="AG958" s="8"/>
      <c r="AI958" s="30"/>
      <c r="AK958" s="30"/>
      <c r="AL958" s="21"/>
      <c r="AM958" s="23" t="e">
        <f t="shared" si="627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626"/>
        <v>0</v>
      </c>
      <c r="AG959" s="8"/>
      <c r="AI959" s="30"/>
      <c r="AK959" s="30"/>
      <c r="AL959" s="21"/>
      <c r="AM959" s="23" t="e">
        <f t="shared" si="627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626"/>
        <v>0</v>
      </c>
      <c r="AG960" s="8"/>
      <c r="AI960" s="30"/>
      <c r="AK960" s="30"/>
      <c r="AL960" s="21"/>
      <c r="AM960" s="23" t="e">
        <f t="shared" si="627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626"/>
        <v>0</v>
      </c>
      <c r="AG961" s="8"/>
      <c r="AI961" s="30"/>
      <c r="AK961" s="30"/>
      <c r="AL961" s="21"/>
      <c r="AM961" s="23" t="e">
        <f t="shared" si="627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626"/>
        <v>0</v>
      </c>
      <c r="AG962" s="8"/>
      <c r="AI962" s="30"/>
      <c r="AK962" s="30"/>
      <c r="AL962" s="21"/>
      <c r="AM962" s="23" t="e">
        <f t="shared" si="627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628">COUNTIF(B:B,B963)</f>
        <v>0</v>
      </c>
      <c r="AG963" s="8"/>
      <c r="AI963" s="30"/>
      <c r="AK963" s="30"/>
      <c r="AL963" s="21"/>
      <c r="AM963" s="23" t="e">
        <f t="shared" ref="AM963:AM1026" si="629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628"/>
        <v>0</v>
      </c>
      <c r="AG964" s="8"/>
      <c r="AI964" s="30"/>
      <c r="AK964" s="30"/>
      <c r="AL964" s="21"/>
      <c r="AM964" s="23" t="e">
        <f t="shared" si="629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628"/>
        <v>0</v>
      </c>
      <c r="AG965" s="8"/>
      <c r="AI965" s="30"/>
      <c r="AK965" s="30"/>
      <c r="AL965" s="21"/>
      <c r="AM965" s="23" t="e">
        <f t="shared" si="629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628"/>
        <v>0</v>
      </c>
      <c r="AG966" s="8"/>
      <c r="AI966" s="30"/>
      <c r="AK966" s="30"/>
      <c r="AL966" s="21"/>
      <c r="AM966" s="23" t="e">
        <f t="shared" si="629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628"/>
        <v>0</v>
      </c>
      <c r="AG967" s="8"/>
      <c r="AI967" s="30"/>
      <c r="AK967" s="30"/>
      <c r="AL967" s="21"/>
      <c r="AM967" s="23" t="e">
        <f t="shared" si="629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628"/>
        <v>0</v>
      </c>
      <c r="AG968" s="8"/>
      <c r="AI968" s="30"/>
      <c r="AK968" s="30"/>
      <c r="AL968" s="21"/>
      <c r="AM968" s="23" t="e">
        <f t="shared" si="629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628"/>
        <v>0</v>
      </c>
      <c r="AG969" s="8"/>
      <c r="AI969" s="30"/>
      <c r="AK969" s="30"/>
      <c r="AL969" s="21"/>
      <c r="AM969" s="23" t="e">
        <f t="shared" si="629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628"/>
        <v>0</v>
      </c>
      <c r="AG970" s="8"/>
      <c r="AI970" s="30"/>
      <c r="AK970" s="30"/>
      <c r="AL970" s="21"/>
      <c r="AM970" s="23" t="e">
        <f t="shared" si="629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628"/>
        <v>0</v>
      </c>
      <c r="AG971" s="8"/>
      <c r="AI971" s="30"/>
      <c r="AK971" s="30"/>
      <c r="AL971" s="21"/>
      <c r="AM971" s="23" t="e">
        <f t="shared" si="629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628"/>
        <v>0</v>
      </c>
      <c r="AG972" s="8"/>
      <c r="AI972" s="30"/>
      <c r="AK972" s="30"/>
      <c r="AL972" s="21"/>
      <c r="AM972" s="23" t="e">
        <f t="shared" si="629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628"/>
        <v>0</v>
      </c>
      <c r="AG973" s="8"/>
      <c r="AI973" s="30"/>
      <c r="AK973" s="30"/>
      <c r="AL973" s="21"/>
      <c r="AM973" s="23" t="e">
        <f t="shared" si="629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628"/>
        <v>0</v>
      </c>
      <c r="AG974" s="8"/>
      <c r="AI974" s="30"/>
      <c r="AK974" s="30"/>
      <c r="AL974" s="21"/>
      <c r="AM974" s="23" t="e">
        <f t="shared" si="629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628"/>
        <v>0</v>
      </c>
      <c r="AG975" s="8"/>
      <c r="AI975" s="30"/>
      <c r="AK975" s="30"/>
      <c r="AL975" s="21"/>
      <c r="AM975" s="23" t="e">
        <f t="shared" si="629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628"/>
        <v>0</v>
      </c>
      <c r="AG976" s="8"/>
      <c r="AI976" s="30"/>
      <c r="AK976" s="30"/>
      <c r="AL976" s="21"/>
      <c r="AM976" s="23" t="e">
        <f t="shared" si="629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628"/>
        <v>0</v>
      </c>
      <c r="AG977" s="8"/>
      <c r="AI977" s="30"/>
      <c r="AK977" s="30"/>
      <c r="AL977" s="21"/>
      <c r="AM977" s="23" t="e">
        <f t="shared" si="629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628"/>
        <v>0</v>
      </c>
      <c r="AG978" s="8"/>
      <c r="AI978" s="30"/>
      <c r="AK978" s="30"/>
      <c r="AL978" s="21"/>
      <c r="AM978" s="23" t="e">
        <f t="shared" si="629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628"/>
        <v>0</v>
      </c>
      <c r="AG979" s="8"/>
      <c r="AI979" s="30"/>
      <c r="AK979" s="30"/>
      <c r="AL979" s="21"/>
      <c r="AM979" s="23" t="e">
        <f t="shared" si="629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628"/>
        <v>0</v>
      </c>
      <c r="AG980" s="8"/>
      <c r="AI980" s="30"/>
      <c r="AK980" s="30"/>
      <c r="AL980" s="21"/>
      <c r="AM980" s="23" t="e">
        <f t="shared" si="629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628"/>
        <v>0</v>
      </c>
      <c r="AG981" s="8"/>
      <c r="AI981" s="30"/>
      <c r="AK981" s="30"/>
      <c r="AL981" s="21"/>
      <c r="AM981" s="23" t="e">
        <f t="shared" si="629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628"/>
        <v>0</v>
      </c>
      <c r="AG982" s="8"/>
      <c r="AI982" s="30"/>
      <c r="AK982" s="30"/>
      <c r="AL982" s="21"/>
      <c r="AM982" s="23" t="e">
        <f t="shared" si="629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628"/>
        <v>0</v>
      </c>
      <c r="AG983" s="8"/>
      <c r="AI983" s="30"/>
      <c r="AK983" s="30"/>
      <c r="AL983" s="21"/>
      <c r="AM983" s="23" t="e">
        <f t="shared" si="629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628"/>
        <v>0</v>
      </c>
      <c r="AG984" s="8"/>
      <c r="AI984" s="30"/>
      <c r="AK984" s="30"/>
      <c r="AL984" s="21"/>
      <c r="AM984" s="23" t="e">
        <f t="shared" si="629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628"/>
        <v>0</v>
      </c>
      <c r="AG985" s="8"/>
      <c r="AI985" s="30"/>
      <c r="AK985" s="30"/>
      <c r="AL985" s="21"/>
      <c r="AM985" s="23" t="e">
        <f t="shared" si="629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628"/>
        <v>0</v>
      </c>
      <c r="AG986" s="8"/>
      <c r="AI986" s="30"/>
      <c r="AK986" s="30"/>
      <c r="AL986" s="21"/>
      <c r="AM986" s="23" t="e">
        <f t="shared" si="629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628"/>
        <v>0</v>
      </c>
      <c r="AG987" s="8"/>
      <c r="AI987" s="30"/>
      <c r="AK987" s="30"/>
      <c r="AL987" s="21"/>
      <c r="AM987" s="23" t="e">
        <f t="shared" si="629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628"/>
        <v>0</v>
      </c>
      <c r="AG988" s="8"/>
      <c r="AI988" s="30"/>
      <c r="AK988" s="30"/>
      <c r="AL988" s="21"/>
      <c r="AM988" s="23" t="e">
        <f t="shared" si="629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628"/>
        <v>0</v>
      </c>
      <c r="AG989" s="8"/>
      <c r="AI989" s="30"/>
      <c r="AK989" s="30"/>
      <c r="AL989" s="21"/>
      <c r="AM989" s="23" t="e">
        <f t="shared" si="629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628"/>
        <v>0</v>
      </c>
      <c r="AG990" s="8"/>
      <c r="AI990" s="30"/>
      <c r="AK990" s="30"/>
      <c r="AL990" s="21"/>
      <c r="AM990" s="23" t="e">
        <f t="shared" si="629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628"/>
        <v>0</v>
      </c>
      <c r="AG991" s="8"/>
      <c r="AI991" s="30"/>
      <c r="AK991" s="30"/>
      <c r="AL991" s="21"/>
      <c r="AM991" s="23" t="e">
        <f t="shared" si="629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628"/>
        <v>0</v>
      </c>
      <c r="AG992" s="8"/>
      <c r="AI992" s="30"/>
      <c r="AK992" s="30"/>
      <c r="AL992" s="21"/>
      <c r="AM992" s="23" t="e">
        <f t="shared" si="629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628"/>
        <v>0</v>
      </c>
      <c r="AG993" s="8"/>
      <c r="AI993" s="30"/>
      <c r="AK993" s="30"/>
      <c r="AL993" s="21"/>
      <c r="AM993" s="23" t="e">
        <f t="shared" si="629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628"/>
        <v>0</v>
      </c>
      <c r="AG994" s="8"/>
      <c r="AI994" s="30"/>
      <c r="AK994" s="30"/>
      <c r="AL994" s="21"/>
      <c r="AM994" s="23" t="e">
        <f t="shared" si="629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628"/>
        <v>0</v>
      </c>
      <c r="AG995" s="8"/>
      <c r="AI995" s="30"/>
      <c r="AK995" s="30"/>
      <c r="AL995" s="21"/>
      <c r="AM995" s="23" t="e">
        <f t="shared" si="629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628"/>
        <v>0</v>
      </c>
      <c r="AG996" s="8"/>
      <c r="AI996" s="30"/>
      <c r="AK996" s="30"/>
      <c r="AL996" s="21"/>
      <c r="AM996" s="23" t="e">
        <f t="shared" si="629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628"/>
        <v>0</v>
      </c>
      <c r="AG997" s="8"/>
      <c r="AI997" s="30"/>
      <c r="AK997" s="30"/>
      <c r="AL997" s="21"/>
      <c r="AM997" s="23" t="e">
        <f t="shared" si="629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628"/>
        <v>0</v>
      </c>
      <c r="AG998" s="8"/>
      <c r="AI998" s="30"/>
      <c r="AK998" s="30"/>
      <c r="AL998" s="21"/>
      <c r="AM998" s="23" t="e">
        <f t="shared" si="629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628"/>
        <v>0</v>
      </c>
      <c r="AG999" s="8"/>
      <c r="AI999" s="30"/>
      <c r="AK999" s="30"/>
      <c r="AL999" s="21"/>
      <c r="AM999" s="23" t="e">
        <f t="shared" si="629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628"/>
        <v>0</v>
      </c>
      <c r="AG1000" s="8"/>
      <c r="AI1000" s="30"/>
      <c r="AK1000" s="30"/>
      <c r="AL1000" s="21"/>
      <c r="AM1000" s="23" t="e">
        <f t="shared" si="629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628"/>
        <v>0</v>
      </c>
      <c r="AG1001" s="8"/>
      <c r="AI1001" s="30"/>
      <c r="AK1001" s="30"/>
      <c r="AL1001" s="21"/>
      <c r="AM1001" s="23" t="e">
        <f t="shared" si="629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628"/>
        <v>0</v>
      </c>
      <c r="AG1002" s="8"/>
      <c r="AI1002" s="30"/>
      <c r="AK1002" s="30"/>
      <c r="AL1002" s="21"/>
      <c r="AM1002" s="23" t="e">
        <f t="shared" si="629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628"/>
        <v>0</v>
      </c>
      <c r="AG1003" s="8"/>
      <c r="AI1003" s="30"/>
      <c r="AK1003" s="30"/>
      <c r="AL1003" s="21"/>
      <c r="AM1003" s="23" t="e">
        <f t="shared" si="629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628"/>
        <v>0</v>
      </c>
      <c r="AG1004" s="8"/>
      <c r="AI1004" s="30"/>
      <c r="AK1004" s="30"/>
      <c r="AL1004" s="21"/>
      <c r="AM1004" s="23" t="e">
        <f t="shared" si="629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628"/>
        <v>0</v>
      </c>
      <c r="AG1005" s="8"/>
      <c r="AI1005" s="30"/>
      <c r="AK1005" s="30"/>
      <c r="AL1005" s="21"/>
      <c r="AM1005" s="23" t="e">
        <f t="shared" si="629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628"/>
        <v>0</v>
      </c>
      <c r="AG1006" s="8"/>
      <c r="AI1006" s="30"/>
      <c r="AK1006" s="30"/>
      <c r="AL1006" s="21"/>
      <c r="AM1006" s="23" t="e">
        <f t="shared" si="629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628"/>
        <v>0</v>
      </c>
      <c r="AG1007" s="8"/>
      <c r="AI1007" s="30"/>
      <c r="AK1007" s="30"/>
      <c r="AL1007" s="21"/>
      <c r="AM1007" s="23" t="e">
        <f t="shared" si="629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628"/>
        <v>0</v>
      </c>
      <c r="AG1008" s="8"/>
      <c r="AI1008" s="30"/>
      <c r="AK1008" s="30"/>
      <c r="AL1008" s="21"/>
      <c r="AM1008" s="23" t="e">
        <f t="shared" si="629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628"/>
        <v>0</v>
      </c>
      <c r="AG1009" s="8"/>
      <c r="AI1009" s="30"/>
      <c r="AK1009" s="30"/>
      <c r="AL1009" s="21"/>
      <c r="AM1009" s="23" t="e">
        <f t="shared" si="629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628"/>
        <v>0</v>
      </c>
      <c r="AG1010" s="8"/>
      <c r="AI1010" s="30"/>
      <c r="AK1010" s="30"/>
      <c r="AL1010" s="21"/>
      <c r="AM1010" s="23" t="e">
        <f t="shared" si="629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628"/>
        <v>0</v>
      </c>
      <c r="AG1011" s="8"/>
      <c r="AI1011" s="30"/>
      <c r="AK1011" s="30"/>
      <c r="AL1011" s="21"/>
      <c r="AM1011" s="23" t="e">
        <f t="shared" si="629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628"/>
        <v>0</v>
      </c>
      <c r="AG1012" s="8"/>
      <c r="AI1012" s="30"/>
      <c r="AK1012" s="30"/>
      <c r="AL1012" s="21"/>
      <c r="AM1012" s="23" t="e">
        <f t="shared" si="629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628"/>
        <v>0</v>
      </c>
      <c r="AG1013" s="8"/>
      <c r="AI1013" s="30"/>
      <c r="AK1013" s="30"/>
      <c r="AL1013" s="21"/>
      <c r="AM1013" s="23" t="e">
        <f t="shared" si="629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628"/>
        <v>0</v>
      </c>
      <c r="AG1014" s="8"/>
      <c r="AI1014" s="30"/>
      <c r="AK1014" s="30"/>
      <c r="AL1014" s="21"/>
      <c r="AM1014" s="23" t="e">
        <f t="shared" si="629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628"/>
        <v>0</v>
      </c>
      <c r="AG1015" s="8"/>
      <c r="AI1015" s="30"/>
      <c r="AK1015" s="30"/>
      <c r="AL1015" s="21"/>
      <c r="AM1015" s="23" t="e">
        <f t="shared" si="629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628"/>
        <v>0</v>
      </c>
      <c r="AG1016" s="8"/>
      <c r="AI1016" s="30"/>
      <c r="AK1016" s="30"/>
      <c r="AL1016" s="21"/>
      <c r="AM1016" s="23" t="e">
        <f t="shared" si="629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628"/>
        <v>0</v>
      </c>
      <c r="AG1017" s="8"/>
      <c r="AI1017" s="30"/>
      <c r="AK1017" s="30"/>
      <c r="AL1017" s="21"/>
      <c r="AM1017" s="23" t="e">
        <f t="shared" si="629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628"/>
        <v>0</v>
      </c>
      <c r="AG1018" s="8"/>
      <c r="AI1018" s="30"/>
      <c r="AK1018" s="30"/>
      <c r="AL1018" s="21"/>
      <c r="AM1018" s="23" t="e">
        <f t="shared" si="629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628"/>
        <v>0</v>
      </c>
      <c r="AG1019" s="8"/>
      <c r="AI1019" s="30"/>
      <c r="AK1019" s="30"/>
      <c r="AL1019" s="21"/>
      <c r="AM1019" s="23" t="e">
        <f t="shared" si="629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628"/>
        <v>0</v>
      </c>
      <c r="AG1020" s="8"/>
      <c r="AI1020" s="30"/>
      <c r="AK1020" s="30"/>
      <c r="AL1020" s="21"/>
      <c r="AM1020" s="23" t="e">
        <f t="shared" si="629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628"/>
        <v>0</v>
      </c>
      <c r="AG1021" s="8"/>
      <c r="AI1021" s="30"/>
      <c r="AK1021" s="30"/>
      <c r="AL1021" s="21"/>
      <c r="AM1021" s="23" t="e">
        <f t="shared" si="629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628"/>
        <v>0</v>
      </c>
      <c r="AG1022" s="8"/>
      <c r="AI1022" s="30"/>
      <c r="AK1022" s="30"/>
      <c r="AL1022" s="21"/>
      <c r="AM1022" s="23" t="e">
        <f t="shared" si="629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628"/>
        <v>0</v>
      </c>
      <c r="AG1023" s="8"/>
      <c r="AI1023" s="30"/>
      <c r="AK1023" s="30"/>
      <c r="AL1023" s="21"/>
      <c r="AM1023" s="23" t="e">
        <f t="shared" si="629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628"/>
        <v>0</v>
      </c>
      <c r="AG1024" s="8"/>
      <c r="AI1024" s="30"/>
      <c r="AK1024" s="30"/>
      <c r="AL1024" s="21"/>
      <c r="AM1024" s="23" t="e">
        <f t="shared" si="629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628"/>
        <v>0</v>
      </c>
      <c r="AG1025" s="8"/>
      <c r="AI1025" s="30"/>
      <c r="AK1025" s="30"/>
      <c r="AL1025" s="21"/>
      <c r="AM1025" s="23" t="e">
        <f t="shared" si="629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628"/>
        <v>0</v>
      </c>
      <c r="AG1026" s="8"/>
      <c r="AI1026" s="30"/>
      <c r="AK1026" s="30"/>
      <c r="AL1026" s="21"/>
      <c r="AM1026" s="23" t="e">
        <f t="shared" si="629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630">COUNTIF(B:B,B1027)</f>
        <v>0</v>
      </c>
      <c r="AG1027" s="8"/>
      <c r="AI1027" s="30"/>
      <c r="AK1027" s="30"/>
      <c r="AL1027" s="21"/>
      <c r="AM1027" s="23" t="e">
        <f t="shared" ref="AM1027:AM1090" si="631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630"/>
        <v>0</v>
      </c>
      <c r="AG1028" s="8"/>
      <c r="AI1028" s="30"/>
      <c r="AK1028" s="30"/>
      <c r="AL1028" s="21"/>
      <c r="AM1028" s="23" t="e">
        <f t="shared" si="631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630"/>
        <v>0</v>
      </c>
      <c r="AG1029" s="8"/>
      <c r="AI1029" s="30"/>
      <c r="AK1029" s="30"/>
      <c r="AL1029" s="21"/>
      <c r="AM1029" s="23" t="e">
        <f t="shared" si="631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630"/>
        <v>0</v>
      </c>
      <c r="AG1030" s="8"/>
      <c r="AI1030" s="30"/>
      <c r="AK1030" s="30"/>
      <c r="AL1030" s="21"/>
      <c r="AM1030" s="23" t="e">
        <f t="shared" si="631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630"/>
        <v>0</v>
      </c>
      <c r="AG1031" s="8"/>
      <c r="AI1031" s="30"/>
      <c r="AK1031" s="30"/>
      <c r="AL1031" s="21"/>
      <c r="AM1031" s="23" t="e">
        <f t="shared" si="631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630"/>
        <v>0</v>
      </c>
      <c r="AG1032" s="8"/>
      <c r="AI1032" s="30"/>
      <c r="AK1032" s="30"/>
      <c r="AL1032" s="21"/>
      <c r="AM1032" s="23" t="e">
        <f t="shared" si="631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630"/>
        <v>0</v>
      </c>
      <c r="AG1033" s="8"/>
      <c r="AI1033" s="30"/>
      <c r="AK1033" s="30"/>
      <c r="AL1033" s="21"/>
      <c r="AM1033" s="23" t="e">
        <f t="shared" si="631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630"/>
        <v>0</v>
      </c>
      <c r="AG1034" s="8"/>
      <c r="AI1034" s="30"/>
      <c r="AK1034" s="30"/>
      <c r="AL1034" s="21"/>
      <c r="AM1034" s="23" t="e">
        <f t="shared" si="631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631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631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631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631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631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631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631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631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631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631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631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631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631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631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631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631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631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631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631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631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631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631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631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631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631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631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631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631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631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631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631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631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631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631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631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631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631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631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631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631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631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631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631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631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631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631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631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631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631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631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631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631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631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631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631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631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632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632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632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632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632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632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632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632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632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632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632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632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632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632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632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632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632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632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632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632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632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632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632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632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632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632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632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632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632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632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632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632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632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632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632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632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632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632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632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632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632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632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632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632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632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632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632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632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632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632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632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632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632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632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632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632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632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632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632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632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632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632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632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632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633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633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633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633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633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633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633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633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633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633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633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633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633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633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633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633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633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633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633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633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633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633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633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633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633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633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633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633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633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633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633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633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633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633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633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633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633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633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633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633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633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633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633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633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633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633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633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633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633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633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633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633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633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633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633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633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633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633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633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633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633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633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633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633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634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634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634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634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634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634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634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634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634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634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634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634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634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634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634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634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634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634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634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634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634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634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634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634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634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634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634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634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634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634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634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634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634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634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634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634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634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634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634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634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634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634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634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634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634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634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634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634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634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634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S122:AY135 S121:BP121 S136:CC346 N503:BQ517 A502:CH502 S1:CC120 CD1:CX346 CI502:CX504 BR505:CX517 S347:CX479 A480:CX501 CY1:XFD1048576 A518:CX739 V762:V769 U763:U768 U756:V761 A741:T769 U741:AM755 W756:AM769 A740:AW740 AN741:AW769 AX740:CX769 A435:O479 A770:CX1048576">
    <cfRule type="containsBlanks" dxfId="33" priority="19">
      <formula>LEN(TRIM(A1))=0</formula>
    </cfRule>
  </conditionalFormatting>
  <conditionalFormatting sqref="Y19:Y34">
    <cfRule type="containsBlanks" dxfId="32" priority="18">
      <formula>LEN(TRIM(Y19))=0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workbookViewId="0">
      <selection activeCell="E13" sqref="E13"/>
    </sheetView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333</v>
      </c>
      <c r="B1" s="172" t="s">
        <v>377</v>
      </c>
      <c r="C1" s="95" t="s">
        <v>342</v>
      </c>
      <c r="D1" s="95" t="s">
        <v>362</v>
      </c>
      <c r="E1" s="179" t="s">
        <v>365</v>
      </c>
      <c r="F1" s="180" t="s">
        <v>366</v>
      </c>
      <c r="G1" s="180" t="s">
        <v>367</v>
      </c>
      <c r="H1" s="180" t="s">
        <v>370</v>
      </c>
      <c r="I1" s="94" t="s">
        <v>334</v>
      </c>
      <c r="J1" s="93" t="s">
        <v>335</v>
      </c>
    </row>
    <row r="2" spans="1:10" x14ac:dyDescent="0.25">
      <c r="A2" s="28" t="s">
        <v>0</v>
      </c>
      <c r="B2" s="183" t="s">
        <v>380</v>
      </c>
      <c r="C2" t="s">
        <v>360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378</v>
      </c>
      <c r="C3" t="s">
        <v>360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338</v>
      </c>
      <c r="B4" s="183" t="s">
        <v>379</v>
      </c>
      <c r="C4" t="s">
        <v>376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381</v>
      </c>
      <c r="C5" t="s">
        <v>361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382</v>
      </c>
      <c r="C6" t="s">
        <v>361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477</v>
      </c>
      <c r="C7" t="s">
        <v>361</v>
      </c>
      <c r="D7">
        <v>6</v>
      </c>
      <c r="E7" s="42" t="b">
        <v>1</v>
      </c>
      <c r="F7" t="b">
        <v>1</v>
      </c>
      <c r="H7" t="s">
        <v>371</v>
      </c>
      <c r="I7" t="b">
        <v>0</v>
      </c>
    </row>
    <row r="8" spans="1:10" x14ac:dyDescent="0.25">
      <c r="A8" s="28" t="s">
        <v>88</v>
      </c>
      <c r="B8" s="183" t="s">
        <v>383</v>
      </c>
      <c r="C8" t="s">
        <v>361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384</v>
      </c>
      <c r="C9" t="s">
        <v>361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385</v>
      </c>
      <c r="C10" t="s">
        <v>361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386</v>
      </c>
      <c r="C11" t="s">
        <v>361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387</v>
      </c>
      <c r="C12" t="s">
        <v>361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388</v>
      </c>
      <c r="C13" t="s">
        <v>361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389</v>
      </c>
      <c r="C14" t="s">
        <v>361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390</v>
      </c>
      <c r="C15" t="s">
        <v>343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391</v>
      </c>
      <c r="C16" t="s">
        <v>343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392</v>
      </c>
      <c r="C17" t="s">
        <v>343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393</v>
      </c>
      <c r="C18" t="s">
        <v>343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394</v>
      </c>
      <c r="C19" t="s">
        <v>343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395</v>
      </c>
      <c r="C20" t="s">
        <v>343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287</v>
      </c>
      <c r="B21" s="175" t="s">
        <v>396</v>
      </c>
      <c r="C21" t="s">
        <v>343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397</v>
      </c>
      <c r="C22" t="s">
        <v>360</v>
      </c>
      <c r="D22">
        <v>13</v>
      </c>
      <c r="E22" s="42" t="b">
        <v>1</v>
      </c>
      <c r="F22" t="b">
        <v>1</v>
      </c>
      <c r="H22" t="s">
        <v>371</v>
      </c>
      <c r="I22" t="b">
        <v>0</v>
      </c>
    </row>
    <row r="23" spans="1:9" x14ac:dyDescent="0.25">
      <c r="A23" s="6" t="s">
        <v>99</v>
      </c>
      <c r="B23" s="175" t="s">
        <v>398</v>
      </c>
      <c r="C23" t="s">
        <v>360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399</v>
      </c>
      <c r="C24" t="s">
        <v>360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400</v>
      </c>
      <c r="C25" t="s">
        <v>360</v>
      </c>
      <c r="D25">
        <v>14</v>
      </c>
      <c r="E25" s="42" t="b">
        <v>1</v>
      </c>
      <c r="F25" t="b">
        <v>1</v>
      </c>
      <c r="H25" t="s">
        <v>371</v>
      </c>
      <c r="I25" t="b">
        <v>1</v>
      </c>
    </row>
    <row r="26" spans="1:9" x14ac:dyDescent="0.25">
      <c r="A26" s="2" t="s">
        <v>31</v>
      </c>
      <c r="B26" s="176" t="s">
        <v>401</v>
      </c>
      <c r="C26" t="s">
        <v>361</v>
      </c>
      <c r="D26">
        <v>15</v>
      </c>
      <c r="E26" s="42" t="b">
        <v>1</v>
      </c>
      <c r="F26" t="b">
        <v>1</v>
      </c>
      <c r="H26" t="s">
        <v>371</v>
      </c>
      <c r="I26" t="b">
        <v>1</v>
      </c>
    </row>
    <row r="27" spans="1:9" x14ac:dyDescent="0.25">
      <c r="A27" s="2" t="s">
        <v>46</v>
      </c>
      <c r="B27" s="176" t="s">
        <v>402</v>
      </c>
      <c r="C27" t="s">
        <v>361</v>
      </c>
      <c r="D27">
        <v>16</v>
      </c>
      <c r="E27" s="42" t="b">
        <v>1</v>
      </c>
      <c r="F27" t="b">
        <v>1</v>
      </c>
      <c r="H27" t="s">
        <v>371</v>
      </c>
      <c r="I27" t="b">
        <v>1</v>
      </c>
    </row>
    <row r="28" spans="1:9" x14ac:dyDescent="0.25">
      <c r="A28" s="2" t="s">
        <v>204</v>
      </c>
      <c r="B28" s="176" t="s">
        <v>403</v>
      </c>
      <c r="C28" t="s">
        <v>343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205</v>
      </c>
      <c r="B29" s="176" t="s">
        <v>404</v>
      </c>
      <c r="C29" t="s">
        <v>343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405</v>
      </c>
      <c r="C30" t="s">
        <v>343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406</v>
      </c>
      <c r="C31" t="s">
        <v>343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407</v>
      </c>
      <c r="C32" t="s">
        <v>343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408</v>
      </c>
      <c r="C33" t="s">
        <v>343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409</v>
      </c>
      <c r="C34" t="s">
        <v>343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410</v>
      </c>
      <c r="C35" t="s">
        <v>343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411</v>
      </c>
      <c r="C36" t="s">
        <v>343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412</v>
      </c>
      <c r="C37" t="s">
        <v>343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413</v>
      </c>
      <c r="C38" t="s">
        <v>343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414</v>
      </c>
      <c r="C39" t="s">
        <v>361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415</v>
      </c>
      <c r="C40" t="s">
        <v>361</v>
      </c>
      <c r="D40">
        <v>21</v>
      </c>
      <c r="E40" s="42" t="b">
        <v>1</v>
      </c>
      <c r="F40" t="b">
        <v>1</v>
      </c>
      <c r="H40" t="s">
        <v>371</v>
      </c>
      <c r="I40" t="b">
        <v>1</v>
      </c>
    </row>
    <row r="41" spans="1:9" x14ac:dyDescent="0.25">
      <c r="A41" s="38" t="s">
        <v>111</v>
      </c>
      <c r="B41" s="184" t="s">
        <v>416</v>
      </c>
      <c r="C41" t="s">
        <v>363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417</v>
      </c>
      <c r="C42" t="s">
        <v>363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418</v>
      </c>
      <c r="C43" t="s">
        <v>363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419</v>
      </c>
      <c r="C44" t="s">
        <v>363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420</v>
      </c>
      <c r="C45" t="s">
        <v>363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421</v>
      </c>
      <c r="C46" t="s">
        <v>363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422</v>
      </c>
      <c r="C47" t="s">
        <v>363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423</v>
      </c>
      <c r="C48" t="s">
        <v>363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424</v>
      </c>
      <c r="C49" t="s">
        <v>363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425</v>
      </c>
      <c r="C50" t="s">
        <v>363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426</v>
      </c>
      <c r="C51" t="s">
        <v>363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427</v>
      </c>
      <c r="C52" t="s">
        <v>363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428</v>
      </c>
      <c r="C53" t="s">
        <v>363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429</v>
      </c>
      <c r="C54" t="s">
        <v>363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235</v>
      </c>
      <c r="B55" s="184" t="s">
        <v>430</v>
      </c>
      <c r="C55" t="s">
        <v>363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234</v>
      </c>
      <c r="B56" s="184" t="s">
        <v>431</v>
      </c>
      <c r="C56" t="s">
        <v>363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302</v>
      </c>
      <c r="C57" t="s">
        <v>376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432</v>
      </c>
      <c r="C58" t="s">
        <v>343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433</v>
      </c>
      <c r="C59" t="s">
        <v>343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434</v>
      </c>
      <c r="C60" t="s">
        <v>343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435</v>
      </c>
      <c r="C61" t="s">
        <v>343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436</v>
      </c>
      <c r="C62" t="s">
        <v>343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437</v>
      </c>
      <c r="C63" t="s">
        <v>343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438</v>
      </c>
      <c r="C64" t="s">
        <v>343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439</v>
      </c>
      <c r="C65" t="s">
        <v>343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440</v>
      </c>
      <c r="C66" t="s">
        <v>343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441</v>
      </c>
      <c r="C67" t="s">
        <v>343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442</v>
      </c>
      <c r="C68" t="s">
        <v>361</v>
      </c>
      <c r="D68">
        <v>32</v>
      </c>
      <c r="E68" s="42" t="b">
        <v>1</v>
      </c>
      <c r="F68" t="b">
        <v>1</v>
      </c>
      <c r="H68" t="s">
        <v>371</v>
      </c>
      <c r="I68" t="b">
        <v>1</v>
      </c>
    </row>
    <row r="69" spans="1:9" x14ac:dyDescent="0.25">
      <c r="A69" s="38" t="s">
        <v>67</v>
      </c>
      <c r="B69" s="184" t="s">
        <v>443</v>
      </c>
      <c r="C69" t="s">
        <v>361</v>
      </c>
      <c r="D69">
        <v>33</v>
      </c>
      <c r="E69" s="42" t="b">
        <v>1</v>
      </c>
      <c r="F69" t="b">
        <v>1</v>
      </c>
      <c r="H69" t="s">
        <v>371</v>
      </c>
      <c r="I69" t="b">
        <v>1</v>
      </c>
    </row>
    <row r="70" spans="1:9" x14ac:dyDescent="0.25">
      <c r="A70" s="38" t="s">
        <v>68</v>
      </c>
      <c r="B70" s="184" t="s">
        <v>444</v>
      </c>
      <c r="C70" t="s">
        <v>361</v>
      </c>
      <c r="D70">
        <v>34</v>
      </c>
      <c r="E70" s="42" t="b">
        <v>1</v>
      </c>
      <c r="F70" t="b">
        <v>1</v>
      </c>
      <c r="H70" t="s">
        <v>371</v>
      </c>
      <c r="I70" t="b">
        <v>1</v>
      </c>
    </row>
    <row r="71" spans="1:9" x14ac:dyDescent="0.25">
      <c r="A71" s="4" t="s">
        <v>69</v>
      </c>
      <c r="B71" s="177" t="s">
        <v>445</v>
      </c>
      <c r="C71" t="s">
        <v>343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242</v>
      </c>
      <c r="B72" s="177" t="s">
        <v>446</v>
      </c>
      <c r="C72" t="s">
        <v>343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273</v>
      </c>
      <c r="B73" s="177" t="s">
        <v>447</v>
      </c>
      <c r="C73" t="s">
        <v>343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162</v>
      </c>
      <c r="B74" s="177" t="s">
        <v>448</v>
      </c>
      <c r="C74" t="s">
        <v>343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449</v>
      </c>
      <c r="C75" t="s">
        <v>343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450</v>
      </c>
      <c r="C76" t="s">
        <v>343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451</v>
      </c>
      <c r="C77" t="s">
        <v>343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452</v>
      </c>
      <c r="C78" t="s">
        <v>343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453</v>
      </c>
      <c r="C79" t="s">
        <v>343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454</v>
      </c>
      <c r="C80" t="s">
        <v>343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455</v>
      </c>
      <c r="C81" t="s">
        <v>343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456</v>
      </c>
      <c r="C82" t="s">
        <v>343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457</v>
      </c>
      <c r="C83" t="s">
        <v>360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458</v>
      </c>
      <c r="C84" t="s">
        <v>360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163</v>
      </c>
      <c r="B85" s="177" t="s">
        <v>459</v>
      </c>
      <c r="C85" t="s">
        <v>360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515</v>
      </c>
      <c r="B86" s="177" t="s">
        <v>460</v>
      </c>
      <c r="C86" t="s">
        <v>360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518</v>
      </c>
      <c r="C87" t="s">
        <v>360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461</v>
      </c>
      <c r="C88" t="s">
        <v>343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462</v>
      </c>
      <c r="C89" t="s">
        <v>343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463</v>
      </c>
      <c r="C90" t="s">
        <v>343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464</v>
      </c>
      <c r="C91" t="s">
        <v>343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465</v>
      </c>
      <c r="C92" t="s">
        <v>343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466</v>
      </c>
      <c r="C93" t="s">
        <v>343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467</v>
      </c>
      <c r="C94" t="s">
        <v>343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468</v>
      </c>
      <c r="C95" t="s">
        <v>343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469</v>
      </c>
      <c r="C96" t="s">
        <v>343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470</v>
      </c>
      <c r="C97" t="s">
        <v>343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471</v>
      </c>
      <c r="C98" t="s">
        <v>343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472</v>
      </c>
      <c r="C99" t="s">
        <v>361</v>
      </c>
      <c r="D99">
        <v>39</v>
      </c>
      <c r="E99" s="42" t="b">
        <v>1</v>
      </c>
      <c r="F99" t="b">
        <v>1</v>
      </c>
      <c r="H99" t="s">
        <v>371</v>
      </c>
      <c r="I99" t="b">
        <v>0</v>
      </c>
    </row>
    <row r="100" spans="1:9" x14ac:dyDescent="0.25">
      <c r="A100" s="44" t="s">
        <v>83</v>
      </c>
      <c r="B100" s="178" t="s">
        <v>473</v>
      </c>
      <c r="C100" t="s">
        <v>360</v>
      </c>
      <c r="D100">
        <v>40</v>
      </c>
      <c r="E100" s="42" t="b">
        <v>1</v>
      </c>
      <c r="F100" t="b">
        <v>1</v>
      </c>
      <c r="H100" t="s">
        <v>371</v>
      </c>
      <c r="I100" t="b">
        <v>1</v>
      </c>
    </row>
    <row r="101" spans="1:9" x14ac:dyDescent="0.25">
      <c r="A101" s="44" t="s">
        <v>84</v>
      </c>
      <c r="B101" s="178" t="s">
        <v>474</v>
      </c>
      <c r="C101" t="s">
        <v>343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364</v>
      </c>
      <c r="B102" s="178" t="s">
        <v>475</v>
      </c>
      <c r="C102" t="s">
        <v>343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476</v>
      </c>
      <c r="C103" t="s">
        <v>360</v>
      </c>
      <c r="D103">
        <v>42</v>
      </c>
      <c r="E103" s="42" t="b">
        <v>1</v>
      </c>
      <c r="F103" t="b">
        <v>1</v>
      </c>
      <c r="H103" t="s">
        <v>371</v>
      </c>
      <c r="I103" t="b">
        <v>0</v>
      </c>
    </row>
    <row r="104" spans="1:9" x14ac:dyDescent="0.25">
      <c r="A104" s="185" t="s">
        <v>480</v>
      </c>
      <c r="B104" s="187" t="s">
        <v>485</v>
      </c>
      <c r="C104" t="s">
        <v>361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481</v>
      </c>
      <c r="B105" s="187" t="s">
        <v>486</v>
      </c>
      <c r="C105" t="s">
        <v>361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482</v>
      </c>
      <c r="B106" s="187" t="s">
        <v>487</v>
      </c>
      <c r="C106" t="s">
        <v>361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483</v>
      </c>
      <c r="B107" s="187" t="s">
        <v>488</v>
      </c>
      <c r="C107" t="s">
        <v>361</v>
      </c>
      <c r="D107">
        <v>46</v>
      </c>
      <c r="E107" s="42" t="b">
        <v>1</v>
      </c>
      <c r="F107" t="b">
        <v>1</v>
      </c>
      <c r="H107" t="s">
        <v>371</v>
      </c>
      <c r="I107" t="b">
        <v>0</v>
      </c>
    </row>
    <row r="108" spans="1:9" x14ac:dyDescent="0.25">
      <c r="A108" s="186" t="s">
        <v>484</v>
      </c>
      <c r="B108" s="187" t="s">
        <v>489</v>
      </c>
      <c r="C108" t="s">
        <v>360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19" priority="9">
      <formula>LEN(TRIM(A2))=0</formula>
    </cfRule>
  </conditionalFormatting>
  <conditionalFormatting sqref="A10:B10">
    <cfRule type="containsBlanks" dxfId="18" priority="8">
      <formula>LEN(TRIM(A10))=0</formula>
    </cfRule>
  </conditionalFormatting>
  <conditionalFormatting sqref="A5:B5">
    <cfRule type="containsBlanks" dxfId="17" priority="7">
      <formula>LEN(TRIM(A5))=0</formula>
    </cfRule>
  </conditionalFormatting>
  <conditionalFormatting sqref="A15:B24">
    <cfRule type="containsBlanks" dxfId="16" priority="6">
      <formula>LEN(TRIM(A15))=0</formula>
    </cfRule>
  </conditionalFormatting>
  <conditionalFormatting sqref="A41:B70">
    <cfRule type="containsBlanks" dxfId="15" priority="4">
      <formula>LEN(TRIM(A41))=0</formula>
    </cfRule>
  </conditionalFormatting>
  <conditionalFormatting sqref="A71:B99">
    <cfRule type="containsBlanks" dxfId="14" priority="3">
      <formula>LEN(TRIM(A71))=0</formula>
    </cfRule>
  </conditionalFormatting>
  <conditionalFormatting sqref="A100:B103">
    <cfRule type="containsBlanks" dxfId="13" priority="2">
      <formula>LEN(TRIM(A100))=0</formula>
    </cfRule>
  </conditionalFormatting>
  <conditionalFormatting sqref="A104:A108">
    <cfRule type="containsBlanks" dxfId="12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B5C2-6C22-4F2B-A669-783D33F6BA42}">
  <dimension ref="A1:M124"/>
  <sheetViews>
    <sheetView tabSelected="1" workbookViewId="0">
      <pane ySplit="1" topLeftCell="A20" activePane="bottomLeft" state="frozen"/>
      <selection pane="bottomLeft" activeCell="J30" sqref="J30"/>
    </sheetView>
  </sheetViews>
  <sheetFormatPr defaultColWidth="15.85546875" defaultRowHeight="15" x14ac:dyDescent="0.25"/>
  <sheetData>
    <row r="1" spans="1:13" x14ac:dyDescent="0.25">
      <c r="A1" s="226" t="s">
        <v>36</v>
      </c>
      <c r="B1" s="226" t="s">
        <v>57</v>
      </c>
      <c r="C1" s="226" t="s">
        <v>58</v>
      </c>
      <c r="D1" s="226" t="s">
        <v>59</v>
      </c>
      <c r="E1" s="226" t="s">
        <v>60</v>
      </c>
      <c r="F1" s="226" t="s">
        <v>61</v>
      </c>
      <c r="G1" s="226" t="s">
        <v>62</v>
      </c>
      <c r="H1" s="226" t="s">
        <v>63</v>
      </c>
      <c r="I1" s="226" t="s">
        <v>56</v>
      </c>
      <c r="J1" s="226" t="s">
        <v>54</v>
      </c>
      <c r="K1" s="226" t="s">
        <v>55</v>
      </c>
      <c r="L1" s="227" t="s">
        <v>66</v>
      </c>
      <c r="M1" s="227" t="s">
        <v>67</v>
      </c>
    </row>
    <row r="2" spans="1:13" x14ac:dyDescent="0.25">
      <c r="A2" t="s">
        <v>616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 t="s">
        <v>829</v>
      </c>
      <c r="M2" t="s">
        <v>830</v>
      </c>
    </row>
    <row r="3" spans="1:13" x14ac:dyDescent="0.25">
      <c r="A3" t="s">
        <v>552</v>
      </c>
      <c r="B3">
        <v>0</v>
      </c>
      <c r="C3">
        <v>0</v>
      </c>
      <c r="D3">
        <v>0</v>
      </c>
      <c r="E3">
        <v>0</v>
      </c>
      <c r="F3">
        <v>1</v>
      </c>
      <c r="G3">
        <v>0</v>
      </c>
      <c r="H3">
        <v>0</v>
      </c>
      <c r="I3">
        <v>0</v>
      </c>
      <c r="J3">
        <v>0</v>
      </c>
      <c r="K3">
        <v>1</v>
      </c>
      <c r="L3" t="s">
        <v>829</v>
      </c>
      <c r="M3" t="s">
        <v>830</v>
      </c>
    </row>
    <row r="4" spans="1:13" x14ac:dyDescent="0.25">
      <c r="A4" t="s">
        <v>589</v>
      </c>
      <c r="B4">
        <v>0</v>
      </c>
      <c r="C4">
        <v>0</v>
      </c>
      <c r="D4">
        <v>0</v>
      </c>
      <c r="E4">
        <v>1</v>
      </c>
      <c r="F4">
        <v>0</v>
      </c>
      <c r="G4">
        <v>0</v>
      </c>
      <c r="H4">
        <v>0</v>
      </c>
      <c r="I4">
        <v>1</v>
      </c>
      <c r="J4">
        <v>0</v>
      </c>
      <c r="K4">
        <v>0</v>
      </c>
      <c r="L4" s="228">
        <v>3290</v>
      </c>
      <c r="M4" t="s">
        <v>639</v>
      </c>
    </row>
    <row r="5" spans="1:13" x14ac:dyDescent="0.25">
      <c r="A5" t="s">
        <v>2</v>
      </c>
      <c r="B5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 s="228">
        <v>30464</v>
      </c>
      <c r="M5" t="s">
        <v>641</v>
      </c>
    </row>
    <row r="6" spans="1:13" x14ac:dyDescent="0.25">
      <c r="A6" t="s">
        <v>513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1</v>
      </c>
      <c r="J6">
        <v>0</v>
      </c>
      <c r="K6">
        <v>0</v>
      </c>
      <c r="L6" s="228">
        <v>20447</v>
      </c>
      <c r="M6" t="s">
        <v>643</v>
      </c>
    </row>
    <row r="7" spans="1:13" x14ac:dyDescent="0.25">
      <c r="A7" t="s">
        <v>617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 t="s">
        <v>829</v>
      </c>
      <c r="M7" t="s">
        <v>830</v>
      </c>
    </row>
    <row r="8" spans="1:13" x14ac:dyDescent="0.25">
      <c r="A8" t="s">
        <v>3</v>
      </c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H8">
        <v>0</v>
      </c>
      <c r="I8">
        <v>0</v>
      </c>
      <c r="J8">
        <v>0</v>
      </c>
      <c r="K8">
        <v>1</v>
      </c>
      <c r="L8" t="s">
        <v>829</v>
      </c>
      <c r="M8" t="s">
        <v>830</v>
      </c>
    </row>
    <row r="9" spans="1:13" x14ac:dyDescent="0.25">
      <c r="A9" t="s">
        <v>635</v>
      </c>
      <c r="B9">
        <v>0</v>
      </c>
      <c r="C9">
        <v>0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 t="s">
        <v>829</v>
      </c>
      <c r="M9" t="s">
        <v>830</v>
      </c>
    </row>
    <row r="10" spans="1:13" x14ac:dyDescent="0.25">
      <c r="A10" t="s">
        <v>624</v>
      </c>
      <c r="B10">
        <v>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K10">
        <v>0</v>
      </c>
      <c r="L10" s="228">
        <v>23564</v>
      </c>
      <c r="M10" t="s">
        <v>648</v>
      </c>
    </row>
    <row r="11" spans="1:13" x14ac:dyDescent="0.25">
      <c r="A11" t="s">
        <v>596</v>
      </c>
      <c r="B11">
        <v>0</v>
      </c>
      <c r="C11">
        <v>0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 t="s">
        <v>829</v>
      </c>
      <c r="M11" t="s">
        <v>830</v>
      </c>
    </row>
    <row r="12" spans="1:13" x14ac:dyDescent="0.25">
      <c r="A12" t="s">
        <v>597</v>
      </c>
      <c r="B12">
        <v>0</v>
      </c>
      <c r="C12">
        <v>0</v>
      </c>
      <c r="D12">
        <v>0</v>
      </c>
      <c r="E12">
        <v>1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 s="228">
        <v>1217</v>
      </c>
      <c r="M12" t="s">
        <v>651</v>
      </c>
    </row>
    <row r="13" spans="1:13" x14ac:dyDescent="0.25">
      <c r="A13" t="s">
        <v>618</v>
      </c>
      <c r="B13">
        <v>0</v>
      </c>
      <c r="C13">
        <v>0</v>
      </c>
      <c r="D13">
        <v>1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 t="s">
        <v>829</v>
      </c>
      <c r="M13" t="s">
        <v>830</v>
      </c>
    </row>
    <row r="14" spans="1:13" x14ac:dyDescent="0.25">
      <c r="A14" t="s">
        <v>598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1</v>
      </c>
      <c r="I14">
        <v>0</v>
      </c>
      <c r="J14">
        <v>0</v>
      </c>
      <c r="K14">
        <v>1</v>
      </c>
      <c r="L14" t="s">
        <v>829</v>
      </c>
      <c r="M14" t="s">
        <v>830</v>
      </c>
    </row>
    <row r="15" spans="1:13" x14ac:dyDescent="0.25">
      <c r="A15" t="s">
        <v>560</v>
      </c>
      <c r="B15">
        <v>0</v>
      </c>
      <c r="C15">
        <v>0</v>
      </c>
      <c r="D15">
        <v>0</v>
      </c>
      <c r="E15">
        <v>1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 s="228">
        <v>4874</v>
      </c>
      <c r="M15" t="s">
        <v>655</v>
      </c>
    </row>
    <row r="16" spans="1:13" x14ac:dyDescent="0.25">
      <c r="A16" t="s">
        <v>581</v>
      </c>
      <c r="B16">
        <v>0</v>
      </c>
      <c r="C16">
        <v>0</v>
      </c>
      <c r="D16">
        <v>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 t="s">
        <v>829</v>
      </c>
      <c r="M16" t="s">
        <v>830</v>
      </c>
    </row>
    <row r="17" spans="1:13" x14ac:dyDescent="0.25">
      <c r="A17" t="s">
        <v>625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1</v>
      </c>
      <c r="I17">
        <v>0</v>
      </c>
      <c r="J17">
        <v>1</v>
      </c>
      <c r="K17">
        <v>0</v>
      </c>
      <c r="L17" t="s">
        <v>829</v>
      </c>
      <c r="M17" t="s">
        <v>830</v>
      </c>
    </row>
    <row r="18" spans="1:13" x14ac:dyDescent="0.25">
      <c r="A18" t="s">
        <v>609</v>
      </c>
      <c r="B18">
        <v>0</v>
      </c>
      <c r="C18">
        <v>1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1</v>
      </c>
      <c r="K18">
        <v>0</v>
      </c>
      <c r="L18" t="s">
        <v>829</v>
      </c>
      <c r="M18" t="s">
        <v>830</v>
      </c>
    </row>
    <row r="19" spans="1:13" x14ac:dyDescent="0.25">
      <c r="A19" t="s">
        <v>561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1</v>
      </c>
      <c r="I19">
        <v>0</v>
      </c>
      <c r="J19">
        <v>0</v>
      </c>
      <c r="K19">
        <v>1</v>
      </c>
      <c r="L19" t="s">
        <v>829</v>
      </c>
      <c r="M19" t="s">
        <v>830</v>
      </c>
    </row>
    <row r="20" spans="1:13" x14ac:dyDescent="0.25">
      <c r="A20" t="s">
        <v>599</v>
      </c>
      <c r="B20">
        <v>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0</v>
      </c>
      <c r="K20">
        <v>0</v>
      </c>
      <c r="L20" s="228">
        <v>29010</v>
      </c>
      <c r="M20" t="s">
        <v>661</v>
      </c>
    </row>
    <row r="21" spans="1:13" x14ac:dyDescent="0.25">
      <c r="A21" t="s">
        <v>600</v>
      </c>
      <c r="B21">
        <v>1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>
        <v>0</v>
      </c>
      <c r="K21">
        <v>0</v>
      </c>
      <c r="L21" s="228">
        <v>3190</v>
      </c>
      <c r="M21" t="s">
        <v>663</v>
      </c>
    </row>
    <row r="22" spans="1:13" x14ac:dyDescent="0.25">
      <c r="A22" t="s">
        <v>5</v>
      </c>
      <c r="B22">
        <v>0</v>
      </c>
      <c r="C22">
        <v>1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1</v>
      </c>
      <c r="L22" s="228">
        <v>1526</v>
      </c>
      <c r="M22" t="s">
        <v>665</v>
      </c>
    </row>
    <row r="23" spans="1:13" x14ac:dyDescent="0.25">
      <c r="A23" t="s">
        <v>601</v>
      </c>
      <c r="B23">
        <v>0</v>
      </c>
      <c r="C23">
        <v>0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 s="228">
        <v>1690</v>
      </c>
      <c r="M23" t="s">
        <v>667</v>
      </c>
    </row>
    <row r="24" spans="1:13" x14ac:dyDescent="0.25">
      <c r="A24" t="s">
        <v>562</v>
      </c>
      <c r="B24">
        <v>0</v>
      </c>
      <c r="C24">
        <v>0</v>
      </c>
      <c r="D24">
        <v>0</v>
      </c>
      <c r="E24">
        <v>1</v>
      </c>
      <c r="F24">
        <v>0</v>
      </c>
      <c r="G24">
        <v>0</v>
      </c>
      <c r="H24">
        <v>0</v>
      </c>
      <c r="I24">
        <v>0</v>
      </c>
      <c r="J24">
        <v>0</v>
      </c>
      <c r="K24">
        <v>1</v>
      </c>
      <c r="L24" s="228">
        <v>3084</v>
      </c>
      <c r="M24" t="s">
        <v>669</v>
      </c>
    </row>
    <row r="25" spans="1:13" x14ac:dyDescent="0.25">
      <c r="A25" t="s">
        <v>602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</v>
      </c>
      <c r="I25">
        <v>0</v>
      </c>
      <c r="J25">
        <v>0</v>
      </c>
      <c r="K25">
        <v>1</v>
      </c>
      <c r="L25" t="s">
        <v>829</v>
      </c>
      <c r="M25" t="s">
        <v>830</v>
      </c>
    </row>
    <row r="26" spans="1:13" x14ac:dyDescent="0.25">
      <c r="A26" t="s">
        <v>630</v>
      </c>
      <c r="B26">
        <v>0</v>
      </c>
      <c r="C26">
        <v>1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0</v>
      </c>
      <c r="K26">
        <v>0</v>
      </c>
      <c r="L26" s="228">
        <v>5388</v>
      </c>
      <c r="M26" t="s">
        <v>672</v>
      </c>
    </row>
    <row r="27" spans="1:13" x14ac:dyDescent="0.25">
      <c r="A27" t="s">
        <v>563</v>
      </c>
      <c r="B27">
        <v>0</v>
      </c>
      <c r="C27">
        <v>0</v>
      </c>
      <c r="D27">
        <v>1</v>
      </c>
      <c r="E27">
        <v>0</v>
      </c>
      <c r="F27">
        <v>0</v>
      </c>
      <c r="G27">
        <v>0</v>
      </c>
      <c r="H27">
        <v>0</v>
      </c>
      <c r="I27">
        <v>1</v>
      </c>
      <c r="J27">
        <v>0</v>
      </c>
      <c r="K27">
        <v>0</v>
      </c>
      <c r="L27" s="228">
        <v>13014</v>
      </c>
      <c r="M27" t="s">
        <v>674</v>
      </c>
    </row>
    <row r="28" spans="1:13" x14ac:dyDescent="0.25">
      <c r="A28" t="s">
        <v>579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1</v>
      </c>
      <c r="J28">
        <v>0</v>
      </c>
      <c r="K28">
        <v>0</v>
      </c>
      <c r="L28" s="228">
        <v>5392</v>
      </c>
      <c r="M28" t="s">
        <v>676</v>
      </c>
    </row>
    <row r="29" spans="1:13" x14ac:dyDescent="0.25">
      <c r="A29" t="s">
        <v>573</v>
      </c>
      <c r="B29">
        <v>1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 s="228">
        <v>24677</v>
      </c>
      <c r="M29" t="s">
        <v>678</v>
      </c>
    </row>
    <row r="30" spans="1:13" x14ac:dyDescent="0.25">
      <c r="A30" t="s">
        <v>548</v>
      </c>
      <c r="B30">
        <v>0</v>
      </c>
      <c r="C30">
        <v>0</v>
      </c>
      <c r="D30">
        <v>0</v>
      </c>
      <c r="E30">
        <v>0</v>
      </c>
      <c r="F30">
        <v>1</v>
      </c>
      <c r="G30">
        <v>0</v>
      </c>
      <c r="H30">
        <v>0</v>
      </c>
      <c r="I30">
        <v>0</v>
      </c>
      <c r="J30">
        <v>0</v>
      </c>
      <c r="K30">
        <v>1</v>
      </c>
      <c r="L30" t="s">
        <v>829</v>
      </c>
      <c r="M30" t="s">
        <v>830</v>
      </c>
    </row>
    <row r="31" spans="1:13" x14ac:dyDescent="0.25">
      <c r="A31" t="s">
        <v>603</v>
      </c>
      <c r="B31">
        <v>0</v>
      </c>
      <c r="C31">
        <v>0</v>
      </c>
      <c r="D31">
        <v>0</v>
      </c>
      <c r="E31">
        <v>1</v>
      </c>
      <c r="F31">
        <v>0</v>
      </c>
      <c r="G31">
        <v>0</v>
      </c>
      <c r="H31">
        <v>0</v>
      </c>
      <c r="I31">
        <v>0</v>
      </c>
      <c r="J31">
        <v>0</v>
      </c>
      <c r="K31">
        <v>1</v>
      </c>
      <c r="L31" s="228">
        <v>1010</v>
      </c>
      <c r="M31" t="s">
        <v>681</v>
      </c>
    </row>
    <row r="32" spans="1:13" x14ac:dyDescent="0.25">
      <c r="A32" t="s">
        <v>604</v>
      </c>
      <c r="B32">
        <v>0</v>
      </c>
      <c r="C32">
        <v>0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1</v>
      </c>
      <c r="L32" s="228">
        <v>1326</v>
      </c>
      <c r="M32" t="s">
        <v>683</v>
      </c>
    </row>
    <row r="33" spans="1:13" x14ac:dyDescent="0.25">
      <c r="A33" t="s">
        <v>6</v>
      </c>
      <c r="B33">
        <v>0</v>
      </c>
      <c r="C33">
        <v>0</v>
      </c>
      <c r="D33">
        <v>0</v>
      </c>
      <c r="E33">
        <v>0</v>
      </c>
      <c r="F33">
        <v>1</v>
      </c>
      <c r="G33">
        <v>0</v>
      </c>
      <c r="H33">
        <v>0</v>
      </c>
      <c r="I33">
        <v>0</v>
      </c>
      <c r="J33">
        <v>0</v>
      </c>
      <c r="K33">
        <v>1</v>
      </c>
      <c r="L33" t="s">
        <v>829</v>
      </c>
      <c r="M33" t="s">
        <v>830</v>
      </c>
    </row>
    <row r="34" spans="1:13" x14ac:dyDescent="0.25">
      <c r="A34" t="s">
        <v>587</v>
      </c>
      <c r="B34">
        <v>0</v>
      </c>
      <c r="C34">
        <v>0</v>
      </c>
      <c r="D34">
        <v>0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1</v>
      </c>
      <c r="L34" s="228">
        <v>1065</v>
      </c>
      <c r="M34" t="s">
        <v>686</v>
      </c>
    </row>
    <row r="35" spans="1:13" x14ac:dyDescent="0.25">
      <c r="A35" t="s">
        <v>607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0</v>
      </c>
      <c r="J35">
        <v>1</v>
      </c>
      <c r="K35">
        <v>0</v>
      </c>
      <c r="L35" t="s">
        <v>829</v>
      </c>
      <c r="M35" t="s">
        <v>830</v>
      </c>
    </row>
    <row r="36" spans="1:13" x14ac:dyDescent="0.25">
      <c r="A36" t="s">
        <v>608</v>
      </c>
      <c r="B36">
        <v>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1</v>
      </c>
      <c r="J36">
        <v>0</v>
      </c>
      <c r="K36">
        <v>0</v>
      </c>
      <c r="L36" s="228">
        <v>3072</v>
      </c>
      <c r="M36" t="s">
        <v>689</v>
      </c>
    </row>
    <row r="37" spans="1:13" x14ac:dyDescent="0.25">
      <c r="A37" t="s">
        <v>7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1</v>
      </c>
      <c r="K37">
        <v>0</v>
      </c>
      <c r="L37" t="s">
        <v>829</v>
      </c>
      <c r="M37" t="s">
        <v>830</v>
      </c>
    </row>
    <row r="38" spans="1:13" x14ac:dyDescent="0.25">
      <c r="A38" t="s">
        <v>559</v>
      </c>
      <c r="B38">
        <v>1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0</v>
      </c>
      <c r="K38">
        <v>0</v>
      </c>
      <c r="L38" s="228">
        <v>23714</v>
      </c>
      <c r="M38" t="s">
        <v>692</v>
      </c>
    </row>
    <row r="39" spans="1:13" x14ac:dyDescent="0.25">
      <c r="A39" t="s">
        <v>553</v>
      </c>
      <c r="B39">
        <v>1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</v>
      </c>
      <c r="K39">
        <v>0</v>
      </c>
      <c r="L39" s="228">
        <v>23118</v>
      </c>
      <c r="M39" t="s">
        <v>694</v>
      </c>
    </row>
    <row r="40" spans="1:13" x14ac:dyDescent="0.25">
      <c r="A40" t="s">
        <v>585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1</v>
      </c>
      <c r="I40">
        <v>0</v>
      </c>
      <c r="J40">
        <v>1</v>
      </c>
      <c r="K40">
        <v>0</v>
      </c>
      <c r="L40" t="s">
        <v>829</v>
      </c>
      <c r="M40" t="s">
        <v>830</v>
      </c>
    </row>
    <row r="41" spans="1:13" x14ac:dyDescent="0.25">
      <c r="A41" t="s">
        <v>8</v>
      </c>
      <c r="B41">
        <v>0</v>
      </c>
      <c r="C41">
        <v>0</v>
      </c>
      <c r="D41">
        <v>1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 t="s">
        <v>829</v>
      </c>
      <c r="M41" t="s">
        <v>830</v>
      </c>
    </row>
    <row r="42" spans="1:13" x14ac:dyDescent="0.25">
      <c r="A42" t="s">
        <v>576</v>
      </c>
      <c r="B42">
        <v>1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1</v>
      </c>
      <c r="J42">
        <v>0</v>
      </c>
      <c r="K42">
        <v>0</v>
      </c>
      <c r="L42" s="228">
        <v>24079</v>
      </c>
      <c r="M42" t="s">
        <v>698</v>
      </c>
    </row>
    <row r="43" spans="1:13" x14ac:dyDescent="0.25">
      <c r="A43" t="s">
        <v>10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1</v>
      </c>
      <c r="I43">
        <v>0</v>
      </c>
      <c r="J43">
        <v>1</v>
      </c>
      <c r="K43">
        <v>0</v>
      </c>
      <c r="L43" t="s">
        <v>829</v>
      </c>
      <c r="M43" t="s">
        <v>830</v>
      </c>
    </row>
    <row r="44" spans="1:13" x14ac:dyDescent="0.25">
      <c r="A44" t="s">
        <v>594</v>
      </c>
      <c r="B44">
        <v>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1</v>
      </c>
      <c r="J44">
        <v>0</v>
      </c>
      <c r="K44">
        <v>0</v>
      </c>
      <c r="L44" s="228">
        <v>20938</v>
      </c>
      <c r="M44" t="s">
        <v>701</v>
      </c>
    </row>
    <row r="45" spans="1:13" x14ac:dyDescent="0.25">
      <c r="A45" t="s">
        <v>11</v>
      </c>
      <c r="B45">
        <v>1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1</v>
      </c>
      <c r="J45">
        <v>0</v>
      </c>
      <c r="K45">
        <v>0</v>
      </c>
      <c r="L45" s="228">
        <v>14027</v>
      </c>
      <c r="M45" t="s">
        <v>703</v>
      </c>
    </row>
    <row r="46" spans="1:13" x14ac:dyDescent="0.25">
      <c r="A46" t="s">
        <v>588</v>
      </c>
      <c r="B46">
        <v>0</v>
      </c>
      <c r="C46">
        <v>0</v>
      </c>
      <c r="D46">
        <v>0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1</v>
      </c>
      <c r="L46" s="228">
        <v>835</v>
      </c>
      <c r="M46" t="s">
        <v>705</v>
      </c>
    </row>
    <row r="47" spans="1:13" x14ac:dyDescent="0.25">
      <c r="A47" t="s">
        <v>567</v>
      </c>
      <c r="B47">
        <v>0</v>
      </c>
      <c r="C47">
        <v>0</v>
      </c>
      <c r="D47">
        <v>0</v>
      </c>
      <c r="E47">
        <v>1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 s="228">
        <v>1044</v>
      </c>
      <c r="M47" t="s">
        <v>707</v>
      </c>
    </row>
    <row r="48" spans="1:13" x14ac:dyDescent="0.25">
      <c r="A48" t="s">
        <v>623</v>
      </c>
      <c r="B48">
        <v>0</v>
      </c>
      <c r="C48">
        <v>1</v>
      </c>
      <c r="D48">
        <v>0</v>
      </c>
      <c r="E48">
        <v>0</v>
      </c>
      <c r="F48">
        <v>0</v>
      </c>
      <c r="G48">
        <v>0</v>
      </c>
      <c r="H48">
        <v>0</v>
      </c>
      <c r="I48">
        <v>1</v>
      </c>
      <c r="J48">
        <v>0</v>
      </c>
      <c r="K48">
        <v>0</v>
      </c>
      <c r="L48" s="228">
        <v>26949</v>
      </c>
      <c r="M48" t="s">
        <v>709</v>
      </c>
    </row>
    <row r="49" spans="1:13" x14ac:dyDescent="0.25">
      <c r="A49" t="s">
        <v>570</v>
      </c>
      <c r="B49">
        <v>1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1</v>
      </c>
      <c r="J49">
        <v>0</v>
      </c>
      <c r="K49">
        <v>0</v>
      </c>
      <c r="L49" t="s">
        <v>829</v>
      </c>
      <c r="M49" t="s">
        <v>830</v>
      </c>
    </row>
    <row r="50" spans="1:13" x14ac:dyDescent="0.25">
      <c r="A50" t="s">
        <v>12</v>
      </c>
      <c r="B50">
        <v>0</v>
      </c>
      <c r="C50">
        <v>0</v>
      </c>
      <c r="D50">
        <v>0</v>
      </c>
      <c r="E50">
        <v>0</v>
      </c>
      <c r="F50">
        <v>0</v>
      </c>
      <c r="G50">
        <v>1</v>
      </c>
      <c r="H50">
        <v>0</v>
      </c>
      <c r="I50">
        <v>0</v>
      </c>
      <c r="J50">
        <v>0</v>
      </c>
      <c r="K50">
        <v>1</v>
      </c>
      <c r="L50" s="228">
        <v>1141</v>
      </c>
      <c r="M50" t="s">
        <v>712</v>
      </c>
    </row>
    <row r="51" spans="1:13" x14ac:dyDescent="0.25">
      <c r="A51" t="s">
        <v>13</v>
      </c>
      <c r="B51">
        <v>0</v>
      </c>
      <c r="C51">
        <v>1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1</v>
      </c>
      <c r="L51" s="228">
        <v>348</v>
      </c>
      <c r="M51" t="s">
        <v>714</v>
      </c>
    </row>
    <row r="52" spans="1:13" x14ac:dyDescent="0.25">
      <c r="A52" t="s">
        <v>15</v>
      </c>
      <c r="B52">
        <v>0</v>
      </c>
      <c r="C52">
        <v>0</v>
      </c>
      <c r="D52">
        <v>0</v>
      </c>
      <c r="E52">
        <v>0</v>
      </c>
      <c r="F52">
        <v>1</v>
      </c>
      <c r="G52">
        <v>0</v>
      </c>
      <c r="H52">
        <v>0</v>
      </c>
      <c r="I52">
        <v>0</v>
      </c>
      <c r="J52">
        <v>0</v>
      </c>
      <c r="K52">
        <v>1</v>
      </c>
      <c r="L52" t="s">
        <v>829</v>
      </c>
      <c r="M52" t="s">
        <v>830</v>
      </c>
    </row>
    <row r="53" spans="1:13" x14ac:dyDescent="0.25">
      <c r="A53" t="s">
        <v>619</v>
      </c>
      <c r="B53">
        <v>0</v>
      </c>
      <c r="C53">
        <v>0</v>
      </c>
      <c r="D53">
        <v>0</v>
      </c>
      <c r="E53">
        <v>0</v>
      </c>
      <c r="F53">
        <v>1</v>
      </c>
      <c r="G53">
        <v>0</v>
      </c>
      <c r="H53">
        <v>0</v>
      </c>
      <c r="I53">
        <v>0</v>
      </c>
      <c r="J53">
        <v>0</v>
      </c>
      <c r="K53">
        <v>1</v>
      </c>
      <c r="L53" t="s">
        <v>829</v>
      </c>
      <c r="M53" t="s">
        <v>830</v>
      </c>
    </row>
    <row r="54" spans="1:13" x14ac:dyDescent="0.25">
      <c r="A54" t="s">
        <v>595</v>
      </c>
      <c r="B54">
        <v>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1</v>
      </c>
      <c r="J54">
        <v>0</v>
      </c>
      <c r="K54">
        <v>0</v>
      </c>
      <c r="L54" s="228">
        <v>22862</v>
      </c>
      <c r="M54" t="s">
        <v>718</v>
      </c>
    </row>
    <row r="55" spans="1:13" x14ac:dyDescent="0.25">
      <c r="A55" t="s">
        <v>554</v>
      </c>
      <c r="B55">
        <v>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1</v>
      </c>
      <c r="J55">
        <v>0</v>
      </c>
      <c r="K55">
        <v>0</v>
      </c>
      <c r="L55" s="228">
        <v>21364</v>
      </c>
      <c r="M55" t="s">
        <v>720</v>
      </c>
    </row>
    <row r="56" spans="1:13" x14ac:dyDescent="0.25">
      <c r="A56" t="s">
        <v>508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1</v>
      </c>
      <c r="J56">
        <v>0</v>
      </c>
      <c r="K56">
        <v>0</v>
      </c>
      <c r="L56" s="228">
        <v>21139</v>
      </c>
      <c r="M56" t="s">
        <v>722</v>
      </c>
    </row>
    <row r="57" spans="1:13" x14ac:dyDescent="0.25">
      <c r="A57" t="s">
        <v>626</v>
      </c>
      <c r="B57">
        <v>0</v>
      </c>
      <c r="C57">
        <v>0</v>
      </c>
      <c r="D57">
        <v>0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1</v>
      </c>
      <c r="L57" s="228">
        <v>1389</v>
      </c>
      <c r="M57" t="s">
        <v>724</v>
      </c>
    </row>
    <row r="58" spans="1:13" x14ac:dyDescent="0.25">
      <c r="A58" t="s">
        <v>577</v>
      </c>
      <c r="B58">
        <v>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1</v>
      </c>
      <c r="J58">
        <v>0</v>
      </c>
      <c r="K58">
        <v>0</v>
      </c>
      <c r="L58" s="228">
        <v>22501</v>
      </c>
      <c r="M58" t="s">
        <v>726</v>
      </c>
    </row>
    <row r="59" spans="1:13" x14ac:dyDescent="0.25">
      <c r="A59" t="s">
        <v>555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1</v>
      </c>
      <c r="L59" t="s">
        <v>829</v>
      </c>
      <c r="M59" t="s">
        <v>830</v>
      </c>
    </row>
    <row r="60" spans="1:13" x14ac:dyDescent="0.25">
      <c r="A60" t="s">
        <v>550</v>
      </c>
      <c r="B60">
        <v>0</v>
      </c>
      <c r="C60">
        <v>0</v>
      </c>
      <c r="D60">
        <v>1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 t="s">
        <v>829</v>
      </c>
      <c r="M60" t="s">
        <v>830</v>
      </c>
    </row>
    <row r="61" spans="1:13" x14ac:dyDescent="0.25">
      <c r="A61" t="s">
        <v>491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1</v>
      </c>
      <c r="I61">
        <v>0</v>
      </c>
      <c r="J61">
        <v>0</v>
      </c>
      <c r="K61">
        <v>1</v>
      </c>
      <c r="L61" t="s">
        <v>829</v>
      </c>
      <c r="M61" t="s">
        <v>830</v>
      </c>
    </row>
    <row r="62" spans="1:13" x14ac:dyDescent="0.25">
      <c r="A62" t="s">
        <v>572</v>
      </c>
      <c r="B62">
        <v>1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1</v>
      </c>
      <c r="J62">
        <v>0</v>
      </c>
      <c r="K62">
        <v>0</v>
      </c>
      <c r="L62" s="228">
        <v>13995</v>
      </c>
      <c r="M62" t="s">
        <v>731</v>
      </c>
    </row>
    <row r="63" spans="1:13" x14ac:dyDescent="0.25">
      <c r="A63" t="s">
        <v>546</v>
      </c>
      <c r="B63">
        <v>0</v>
      </c>
      <c r="C63">
        <v>0</v>
      </c>
      <c r="D63">
        <v>0</v>
      </c>
      <c r="E63">
        <v>0</v>
      </c>
      <c r="F63">
        <v>1</v>
      </c>
      <c r="G63">
        <v>0</v>
      </c>
      <c r="H63">
        <v>0</v>
      </c>
      <c r="I63">
        <v>1</v>
      </c>
      <c r="J63">
        <v>0</v>
      </c>
      <c r="K63">
        <v>0</v>
      </c>
      <c r="L63" t="s">
        <v>829</v>
      </c>
      <c r="M63" t="s">
        <v>830</v>
      </c>
    </row>
    <row r="64" spans="1:13" x14ac:dyDescent="0.25">
      <c r="A64" t="s">
        <v>620</v>
      </c>
      <c r="B64">
        <v>0</v>
      </c>
      <c r="C64">
        <v>0</v>
      </c>
      <c r="D64">
        <v>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1</v>
      </c>
      <c r="L64" t="s">
        <v>829</v>
      </c>
      <c r="M64" t="s">
        <v>830</v>
      </c>
    </row>
    <row r="65" spans="1:13" x14ac:dyDescent="0.25">
      <c r="A65" t="s">
        <v>582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0</v>
      </c>
      <c r="I65">
        <v>1</v>
      </c>
      <c r="J65">
        <v>0</v>
      </c>
      <c r="K65">
        <v>0</v>
      </c>
      <c r="L65" s="228">
        <v>3368</v>
      </c>
      <c r="M65" t="s">
        <v>735</v>
      </c>
    </row>
    <row r="66" spans="1:13" x14ac:dyDescent="0.25">
      <c r="A66" t="s">
        <v>628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1</v>
      </c>
      <c r="I66">
        <v>0</v>
      </c>
      <c r="J66">
        <v>0</v>
      </c>
      <c r="K66">
        <v>1</v>
      </c>
      <c r="L66" t="s">
        <v>829</v>
      </c>
      <c r="M66" t="s">
        <v>830</v>
      </c>
    </row>
    <row r="67" spans="1:13" x14ac:dyDescent="0.25">
      <c r="A67" t="s">
        <v>574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1</v>
      </c>
      <c r="I67">
        <v>0</v>
      </c>
      <c r="J67">
        <v>1</v>
      </c>
      <c r="K67">
        <v>0</v>
      </c>
      <c r="L67" t="s">
        <v>829</v>
      </c>
      <c r="M67" t="s">
        <v>830</v>
      </c>
    </row>
    <row r="68" spans="1:13" x14ac:dyDescent="0.25">
      <c r="A68" t="s">
        <v>571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1</v>
      </c>
      <c r="I68">
        <v>0</v>
      </c>
      <c r="J68">
        <v>1</v>
      </c>
      <c r="K68">
        <v>0</v>
      </c>
      <c r="L68" t="s">
        <v>829</v>
      </c>
      <c r="M68" t="s">
        <v>830</v>
      </c>
    </row>
    <row r="69" spans="1:13" x14ac:dyDescent="0.25">
      <c r="A69" t="s">
        <v>16</v>
      </c>
      <c r="B69">
        <v>0</v>
      </c>
      <c r="C69">
        <v>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1</v>
      </c>
      <c r="L69" s="228">
        <v>2185</v>
      </c>
      <c r="M69" t="s">
        <v>740</v>
      </c>
    </row>
    <row r="70" spans="1:13" x14ac:dyDescent="0.25">
      <c r="A70" t="s">
        <v>634</v>
      </c>
      <c r="B70">
        <v>0</v>
      </c>
      <c r="C70">
        <v>0</v>
      </c>
      <c r="D70">
        <v>0</v>
      </c>
      <c r="E70">
        <v>0</v>
      </c>
      <c r="F70">
        <v>0</v>
      </c>
      <c r="G70">
        <v>1</v>
      </c>
      <c r="H70">
        <v>0</v>
      </c>
      <c r="I70">
        <v>0</v>
      </c>
      <c r="J70">
        <v>0</v>
      </c>
      <c r="K70">
        <v>1</v>
      </c>
      <c r="L70" t="s">
        <v>829</v>
      </c>
      <c r="M70" t="s">
        <v>830</v>
      </c>
    </row>
    <row r="71" spans="1:13" x14ac:dyDescent="0.25">
      <c r="A71" t="s">
        <v>556</v>
      </c>
      <c r="B71">
        <v>0</v>
      </c>
      <c r="C71">
        <v>0</v>
      </c>
      <c r="D71">
        <v>0</v>
      </c>
      <c r="E71">
        <v>0</v>
      </c>
      <c r="F71">
        <v>1</v>
      </c>
      <c r="G71">
        <v>0</v>
      </c>
      <c r="H71">
        <v>0</v>
      </c>
      <c r="I71">
        <v>1</v>
      </c>
      <c r="J71">
        <v>0</v>
      </c>
      <c r="K71">
        <v>0</v>
      </c>
      <c r="L71" s="228">
        <v>11194</v>
      </c>
      <c r="M71" t="s">
        <v>743</v>
      </c>
    </row>
    <row r="72" spans="1:13" x14ac:dyDescent="0.25">
      <c r="A72" t="s">
        <v>564</v>
      </c>
      <c r="B72">
        <v>0</v>
      </c>
      <c r="C72">
        <v>0</v>
      </c>
      <c r="D72">
        <v>0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1</v>
      </c>
      <c r="L72" s="228">
        <v>1310</v>
      </c>
      <c r="M72" t="s">
        <v>745</v>
      </c>
    </row>
    <row r="73" spans="1:13" x14ac:dyDescent="0.25">
      <c r="A73" t="s">
        <v>584</v>
      </c>
      <c r="B73">
        <v>0</v>
      </c>
      <c r="C73">
        <v>0</v>
      </c>
      <c r="D73">
        <v>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 t="s">
        <v>829</v>
      </c>
      <c r="M73" t="s">
        <v>830</v>
      </c>
    </row>
    <row r="74" spans="1:13" x14ac:dyDescent="0.25">
      <c r="A74" t="s">
        <v>615</v>
      </c>
      <c r="B74">
        <v>0</v>
      </c>
      <c r="C74">
        <v>1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 t="s">
        <v>829</v>
      </c>
      <c r="M74" t="s">
        <v>830</v>
      </c>
    </row>
    <row r="75" spans="1:13" x14ac:dyDescent="0.25">
      <c r="A75" t="s">
        <v>557</v>
      </c>
      <c r="B75">
        <v>0</v>
      </c>
      <c r="C75">
        <v>0</v>
      </c>
      <c r="D75">
        <v>0</v>
      </c>
      <c r="E75">
        <v>0</v>
      </c>
      <c r="F75">
        <v>1</v>
      </c>
      <c r="G75">
        <v>0</v>
      </c>
      <c r="H75">
        <v>0</v>
      </c>
      <c r="I75">
        <v>0</v>
      </c>
      <c r="J75">
        <v>0</v>
      </c>
      <c r="K75">
        <v>1</v>
      </c>
      <c r="L75" s="228">
        <v>1181</v>
      </c>
      <c r="M75" t="s">
        <v>749</v>
      </c>
    </row>
    <row r="76" spans="1:13" x14ac:dyDescent="0.25">
      <c r="A76" t="s">
        <v>590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1</v>
      </c>
      <c r="I76">
        <v>0</v>
      </c>
      <c r="J76">
        <v>0</v>
      </c>
      <c r="K76">
        <v>1</v>
      </c>
      <c r="L76" t="s">
        <v>829</v>
      </c>
      <c r="M76" t="s">
        <v>830</v>
      </c>
    </row>
    <row r="77" spans="1:13" x14ac:dyDescent="0.25">
      <c r="A77" t="s">
        <v>629</v>
      </c>
      <c r="B77">
        <v>0</v>
      </c>
      <c r="C77">
        <v>0</v>
      </c>
      <c r="D77">
        <v>0</v>
      </c>
      <c r="E77">
        <v>0</v>
      </c>
      <c r="F77">
        <v>0</v>
      </c>
      <c r="G77">
        <v>1</v>
      </c>
      <c r="H77">
        <v>0</v>
      </c>
      <c r="I77">
        <v>0</v>
      </c>
      <c r="J77">
        <v>1</v>
      </c>
      <c r="K77">
        <v>0</v>
      </c>
      <c r="L77" t="s">
        <v>829</v>
      </c>
      <c r="M77" t="s">
        <v>830</v>
      </c>
    </row>
    <row r="78" spans="1:13" x14ac:dyDescent="0.25">
      <c r="A78" t="s">
        <v>18</v>
      </c>
      <c r="B78">
        <v>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1</v>
      </c>
      <c r="J78">
        <v>0</v>
      </c>
      <c r="K78">
        <v>0</v>
      </c>
      <c r="L78" s="228">
        <v>28339</v>
      </c>
      <c r="M78" t="s">
        <v>753</v>
      </c>
    </row>
    <row r="79" spans="1:13" x14ac:dyDescent="0.25">
      <c r="A79" t="s">
        <v>632</v>
      </c>
      <c r="B79">
        <v>1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1</v>
      </c>
      <c r="J79">
        <v>0</v>
      </c>
      <c r="K79">
        <v>0</v>
      </c>
      <c r="L79" s="228">
        <v>19352</v>
      </c>
      <c r="M79" t="s">
        <v>755</v>
      </c>
    </row>
    <row r="80" spans="1:13" x14ac:dyDescent="0.25">
      <c r="A80" t="s">
        <v>568</v>
      </c>
      <c r="B80">
        <v>0</v>
      </c>
      <c r="C80">
        <v>0</v>
      </c>
      <c r="D80">
        <v>0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 s="228">
        <v>478</v>
      </c>
      <c r="M80" t="s">
        <v>712</v>
      </c>
    </row>
    <row r="81" spans="1:13" x14ac:dyDescent="0.25">
      <c r="A81" t="s">
        <v>621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1</v>
      </c>
      <c r="I81">
        <v>0</v>
      </c>
      <c r="J81">
        <v>1</v>
      </c>
      <c r="K81">
        <v>0</v>
      </c>
      <c r="L81" t="s">
        <v>829</v>
      </c>
      <c r="M81" t="s">
        <v>830</v>
      </c>
    </row>
    <row r="82" spans="1:13" x14ac:dyDescent="0.25">
      <c r="A82" t="s">
        <v>19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1</v>
      </c>
      <c r="I82">
        <v>0</v>
      </c>
      <c r="J82">
        <v>0</v>
      </c>
      <c r="K82">
        <v>1</v>
      </c>
      <c r="L82" t="s">
        <v>829</v>
      </c>
      <c r="M82" t="s">
        <v>830</v>
      </c>
    </row>
    <row r="83" spans="1:13" x14ac:dyDescent="0.25">
      <c r="A83" t="s">
        <v>633</v>
      </c>
      <c r="B83">
        <v>1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1</v>
      </c>
      <c r="J83">
        <v>0</v>
      </c>
      <c r="K83">
        <v>0</v>
      </c>
      <c r="L83" s="228">
        <v>19221</v>
      </c>
      <c r="M83" t="s">
        <v>760</v>
      </c>
    </row>
    <row r="84" spans="1:13" x14ac:dyDescent="0.25">
      <c r="A84" t="s">
        <v>501</v>
      </c>
      <c r="B84">
        <v>1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1</v>
      </c>
      <c r="J84">
        <v>0</v>
      </c>
      <c r="K84">
        <v>0</v>
      </c>
      <c r="L84" s="228">
        <v>32473</v>
      </c>
      <c r="M84" t="s">
        <v>762</v>
      </c>
    </row>
    <row r="85" spans="1:13" x14ac:dyDescent="0.25">
      <c r="A85" t="s">
        <v>20</v>
      </c>
      <c r="B85">
        <v>0</v>
      </c>
      <c r="C85">
        <v>0</v>
      </c>
      <c r="D85">
        <v>0</v>
      </c>
      <c r="E85">
        <v>0</v>
      </c>
      <c r="F85">
        <v>0</v>
      </c>
      <c r="G85">
        <v>1</v>
      </c>
      <c r="H85">
        <v>0</v>
      </c>
      <c r="I85">
        <v>0</v>
      </c>
      <c r="J85">
        <v>0</v>
      </c>
      <c r="K85">
        <v>1</v>
      </c>
      <c r="L85" s="228">
        <v>465</v>
      </c>
      <c r="M85" t="s">
        <v>764</v>
      </c>
    </row>
    <row r="86" spans="1:13" x14ac:dyDescent="0.25">
      <c r="A86" t="s">
        <v>544</v>
      </c>
      <c r="B86">
        <v>0</v>
      </c>
      <c r="C86">
        <v>0</v>
      </c>
      <c r="D86">
        <v>0</v>
      </c>
      <c r="E86">
        <v>0</v>
      </c>
      <c r="F86">
        <v>1</v>
      </c>
      <c r="G86">
        <v>0</v>
      </c>
      <c r="H86">
        <v>0</v>
      </c>
      <c r="I86">
        <v>0</v>
      </c>
      <c r="J86">
        <v>0</v>
      </c>
      <c r="K86">
        <v>1</v>
      </c>
      <c r="L86" t="s">
        <v>829</v>
      </c>
      <c r="M86" t="s">
        <v>830</v>
      </c>
    </row>
    <row r="87" spans="1:13" x14ac:dyDescent="0.25">
      <c r="A87" t="s">
        <v>586</v>
      </c>
      <c r="B87">
        <v>0</v>
      </c>
      <c r="C87">
        <v>0</v>
      </c>
      <c r="D87">
        <v>0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 s="228">
        <v>1913</v>
      </c>
      <c r="M87" t="s">
        <v>767</v>
      </c>
    </row>
    <row r="88" spans="1:13" x14ac:dyDescent="0.25">
      <c r="A88" t="s">
        <v>21</v>
      </c>
      <c r="B88">
        <v>0</v>
      </c>
      <c r="C88">
        <v>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1</v>
      </c>
      <c r="L88" t="s">
        <v>829</v>
      </c>
      <c r="M88" t="s">
        <v>830</v>
      </c>
    </row>
    <row r="89" spans="1:13" x14ac:dyDescent="0.25">
      <c r="A89" t="s">
        <v>627</v>
      </c>
      <c r="B89">
        <v>0</v>
      </c>
      <c r="C89">
        <v>0</v>
      </c>
      <c r="D89">
        <v>0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1</v>
      </c>
      <c r="L89" s="228">
        <v>706</v>
      </c>
      <c r="M89" t="s">
        <v>770</v>
      </c>
    </row>
    <row r="90" spans="1:13" x14ac:dyDescent="0.25">
      <c r="A90" t="s">
        <v>614</v>
      </c>
      <c r="B90">
        <v>0</v>
      </c>
      <c r="C90">
        <v>0</v>
      </c>
      <c r="D90">
        <v>0</v>
      </c>
      <c r="E90">
        <v>1</v>
      </c>
      <c r="F90">
        <v>0</v>
      </c>
      <c r="G90">
        <v>0</v>
      </c>
      <c r="H90">
        <v>0</v>
      </c>
      <c r="I90">
        <v>0</v>
      </c>
      <c r="J90">
        <v>0</v>
      </c>
      <c r="K90">
        <v>1</v>
      </c>
      <c r="L90" s="228">
        <v>1037</v>
      </c>
      <c r="M90" t="s">
        <v>683</v>
      </c>
    </row>
    <row r="91" spans="1:13" x14ac:dyDescent="0.25">
      <c r="A91" t="s">
        <v>605</v>
      </c>
      <c r="B91">
        <v>0</v>
      </c>
      <c r="C91">
        <v>1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1</v>
      </c>
      <c r="L91" s="228">
        <v>730</v>
      </c>
      <c r="M91" t="s">
        <v>773</v>
      </c>
    </row>
    <row r="92" spans="1:13" x14ac:dyDescent="0.25">
      <c r="A92" t="s">
        <v>23</v>
      </c>
      <c r="B92">
        <v>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1</v>
      </c>
      <c r="J92">
        <v>0</v>
      </c>
      <c r="K92">
        <v>0</v>
      </c>
      <c r="L92" s="228">
        <v>3124</v>
      </c>
      <c r="M92" t="s">
        <v>775</v>
      </c>
    </row>
    <row r="93" spans="1:13" x14ac:dyDescent="0.25">
      <c r="A93" t="s">
        <v>558</v>
      </c>
      <c r="B93">
        <v>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1</v>
      </c>
      <c r="J93">
        <v>0</v>
      </c>
      <c r="K93">
        <v>0</v>
      </c>
      <c r="L93" s="228">
        <v>8357</v>
      </c>
      <c r="M93" t="s">
        <v>777</v>
      </c>
    </row>
    <row r="94" spans="1:13" x14ac:dyDescent="0.25">
      <c r="A94" t="s">
        <v>593</v>
      </c>
      <c r="B94">
        <v>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1</v>
      </c>
      <c r="J94">
        <v>0</v>
      </c>
      <c r="K94">
        <v>0</v>
      </c>
      <c r="L94" s="228">
        <v>8907</v>
      </c>
      <c r="M94" t="s">
        <v>779</v>
      </c>
    </row>
    <row r="95" spans="1:13" x14ac:dyDescent="0.25">
      <c r="A95" t="s">
        <v>547</v>
      </c>
      <c r="B95">
        <v>0</v>
      </c>
      <c r="C95">
        <v>0</v>
      </c>
      <c r="D95">
        <v>1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 s="228">
        <v>1689</v>
      </c>
      <c r="M95" t="s">
        <v>781</v>
      </c>
    </row>
    <row r="96" spans="1:13" x14ac:dyDescent="0.25">
      <c r="A96" t="s">
        <v>583</v>
      </c>
      <c r="B96">
        <v>0</v>
      </c>
      <c r="C96">
        <v>0</v>
      </c>
      <c r="D96">
        <v>1</v>
      </c>
      <c r="E96">
        <v>0</v>
      </c>
      <c r="F96">
        <v>0</v>
      </c>
      <c r="G96">
        <v>0</v>
      </c>
      <c r="H96">
        <v>0</v>
      </c>
      <c r="I96">
        <v>1</v>
      </c>
      <c r="J96">
        <v>0</v>
      </c>
      <c r="K96">
        <v>0</v>
      </c>
      <c r="L96" t="s">
        <v>829</v>
      </c>
      <c r="M96" t="s">
        <v>830</v>
      </c>
    </row>
    <row r="97" spans="1:13" x14ac:dyDescent="0.25">
      <c r="A97" t="s">
        <v>610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1</v>
      </c>
      <c r="I97">
        <v>0</v>
      </c>
      <c r="J97">
        <v>1</v>
      </c>
      <c r="K97">
        <v>0</v>
      </c>
      <c r="L97" t="s">
        <v>829</v>
      </c>
      <c r="M97" t="s">
        <v>830</v>
      </c>
    </row>
    <row r="98" spans="1:13" x14ac:dyDescent="0.25">
      <c r="A98" t="s">
        <v>569</v>
      </c>
      <c r="B98">
        <v>0</v>
      </c>
      <c r="C98">
        <v>0</v>
      </c>
      <c r="D98">
        <v>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1</v>
      </c>
      <c r="L98" s="228">
        <v>3517</v>
      </c>
      <c r="M98" t="s">
        <v>785</v>
      </c>
    </row>
    <row r="99" spans="1:13" x14ac:dyDescent="0.25">
      <c r="A99" t="s">
        <v>611</v>
      </c>
      <c r="B99">
        <v>0</v>
      </c>
      <c r="C99">
        <v>1</v>
      </c>
      <c r="D99">
        <v>0</v>
      </c>
      <c r="E99">
        <v>0</v>
      </c>
      <c r="F99">
        <v>0</v>
      </c>
      <c r="G99">
        <v>0</v>
      </c>
      <c r="H99">
        <v>0</v>
      </c>
      <c r="I99">
        <v>1</v>
      </c>
      <c r="J99">
        <v>0</v>
      </c>
      <c r="K99">
        <v>0</v>
      </c>
      <c r="L99" s="228">
        <v>22413</v>
      </c>
      <c r="M99" t="s">
        <v>787</v>
      </c>
    </row>
    <row r="100" spans="1:13" x14ac:dyDescent="0.25">
      <c r="A100" t="s">
        <v>580</v>
      </c>
      <c r="B100">
        <v>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1</v>
      </c>
      <c r="J100">
        <v>0</v>
      </c>
      <c r="K100">
        <v>0</v>
      </c>
      <c r="L100" s="228">
        <v>5649</v>
      </c>
      <c r="M100" t="s">
        <v>789</v>
      </c>
    </row>
    <row r="101" spans="1:13" x14ac:dyDescent="0.25">
      <c r="A101" t="s">
        <v>24</v>
      </c>
      <c r="B101">
        <v>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0</v>
      </c>
      <c r="K101">
        <v>0</v>
      </c>
      <c r="L101" s="228">
        <v>8394</v>
      </c>
      <c r="M101" t="s">
        <v>791</v>
      </c>
    </row>
    <row r="102" spans="1:13" x14ac:dyDescent="0.25">
      <c r="A102" t="s">
        <v>25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1</v>
      </c>
      <c r="I102">
        <v>0</v>
      </c>
      <c r="J102">
        <v>0</v>
      </c>
      <c r="K102">
        <v>1</v>
      </c>
      <c r="L102" s="228">
        <v>5615</v>
      </c>
      <c r="M102" t="s">
        <v>793</v>
      </c>
    </row>
    <row r="103" spans="1:13" x14ac:dyDescent="0.25">
      <c r="A103" t="s">
        <v>26</v>
      </c>
      <c r="B103">
        <v>1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1</v>
      </c>
      <c r="J103">
        <v>0</v>
      </c>
      <c r="K103">
        <v>0</v>
      </c>
      <c r="L103" s="228">
        <v>16799</v>
      </c>
      <c r="M103" t="s">
        <v>795</v>
      </c>
    </row>
    <row r="104" spans="1:13" x14ac:dyDescent="0.25">
      <c r="A104" t="s">
        <v>27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1</v>
      </c>
      <c r="L104" s="228">
        <v>361</v>
      </c>
      <c r="M104" t="s">
        <v>797</v>
      </c>
    </row>
    <row r="105" spans="1:13" x14ac:dyDescent="0.25">
      <c r="A105" t="s">
        <v>545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1</v>
      </c>
      <c r="I105">
        <v>0</v>
      </c>
      <c r="J105">
        <v>0</v>
      </c>
      <c r="K105">
        <v>1</v>
      </c>
      <c r="L105" t="s">
        <v>829</v>
      </c>
      <c r="M105" t="s">
        <v>830</v>
      </c>
    </row>
    <row r="106" spans="1:13" x14ac:dyDescent="0.25">
      <c r="A106" t="s">
        <v>551</v>
      </c>
      <c r="B106">
        <v>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1</v>
      </c>
      <c r="J106">
        <v>0</v>
      </c>
      <c r="K106">
        <v>0</v>
      </c>
      <c r="L106" s="228">
        <v>25596</v>
      </c>
      <c r="M106" t="s">
        <v>800</v>
      </c>
    </row>
    <row r="107" spans="1:13" x14ac:dyDescent="0.25">
      <c r="A107" t="s">
        <v>612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1</v>
      </c>
      <c r="J107">
        <v>0</v>
      </c>
      <c r="K107">
        <v>0</v>
      </c>
      <c r="L107" s="228">
        <v>38340</v>
      </c>
      <c r="M107" t="s">
        <v>802</v>
      </c>
    </row>
    <row r="108" spans="1:13" x14ac:dyDescent="0.25">
      <c r="A108" t="s">
        <v>565</v>
      </c>
      <c r="B108">
        <v>0</v>
      </c>
      <c r="C108">
        <v>1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1</v>
      </c>
      <c r="J108">
        <v>0</v>
      </c>
      <c r="K108">
        <v>0</v>
      </c>
      <c r="L108" s="228">
        <v>9199</v>
      </c>
      <c r="M108" t="s">
        <v>804</v>
      </c>
    </row>
    <row r="109" spans="1:13" x14ac:dyDescent="0.25">
      <c r="A109" t="s">
        <v>549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1</v>
      </c>
      <c r="L109" t="s">
        <v>829</v>
      </c>
      <c r="M109" t="s">
        <v>830</v>
      </c>
    </row>
    <row r="110" spans="1:13" x14ac:dyDescent="0.25">
      <c r="A110" t="s">
        <v>510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1</v>
      </c>
      <c r="I110">
        <v>0</v>
      </c>
      <c r="J110">
        <v>1</v>
      </c>
      <c r="K110">
        <v>0</v>
      </c>
      <c r="L110" t="s">
        <v>829</v>
      </c>
      <c r="M110" t="s">
        <v>830</v>
      </c>
    </row>
    <row r="111" spans="1:13" x14ac:dyDescent="0.25">
      <c r="A111" t="s">
        <v>28</v>
      </c>
      <c r="B111">
        <v>0</v>
      </c>
      <c r="C111">
        <v>1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 s="228">
        <v>1343</v>
      </c>
      <c r="M111" t="s">
        <v>808</v>
      </c>
    </row>
    <row r="112" spans="1:13" x14ac:dyDescent="0.25">
      <c r="A112" t="s">
        <v>622</v>
      </c>
      <c r="B112">
        <v>0</v>
      </c>
      <c r="C112">
        <v>1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 t="s">
        <v>829</v>
      </c>
      <c r="M112" t="s">
        <v>830</v>
      </c>
    </row>
    <row r="113" spans="1:13" x14ac:dyDescent="0.25">
      <c r="A113" t="s">
        <v>613</v>
      </c>
      <c r="B113">
        <v>0</v>
      </c>
      <c r="C113">
        <v>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1</v>
      </c>
      <c r="L113" s="228">
        <v>1268</v>
      </c>
      <c r="M113" t="s">
        <v>811</v>
      </c>
    </row>
    <row r="114" spans="1:13" x14ac:dyDescent="0.25">
      <c r="A114" t="s">
        <v>29</v>
      </c>
      <c r="B114">
        <v>0</v>
      </c>
      <c r="C114">
        <v>0</v>
      </c>
      <c r="D114">
        <v>1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1</v>
      </c>
      <c r="L114" s="228">
        <v>3292</v>
      </c>
      <c r="M114" t="s">
        <v>813</v>
      </c>
    </row>
    <row r="115" spans="1:13" x14ac:dyDescent="0.25">
      <c r="A115" t="s">
        <v>575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1</v>
      </c>
      <c r="I115">
        <v>0</v>
      </c>
      <c r="J115">
        <v>1</v>
      </c>
      <c r="K115">
        <v>0</v>
      </c>
      <c r="L115" t="s">
        <v>829</v>
      </c>
      <c r="M115" t="s">
        <v>830</v>
      </c>
    </row>
    <row r="116" spans="1:13" x14ac:dyDescent="0.25">
      <c r="A116" t="s">
        <v>592</v>
      </c>
      <c r="B116">
        <v>0</v>
      </c>
      <c r="C116">
        <v>0</v>
      </c>
      <c r="D116">
        <v>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1</v>
      </c>
      <c r="L116" t="s">
        <v>829</v>
      </c>
      <c r="M116" t="s">
        <v>830</v>
      </c>
    </row>
    <row r="117" spans="1:13" x14ac:dyDescent="0.25">
      <c r="A117" t="s">
        <v>631</v>
      </c>
      <c r="B117">
        <v>0</v>
      </c>
      <c r="C117">
        <v>0</v>
      </c>
      <c r="D117">
        <v>0</v>
      </c>
      <c r="E117">
        <v>0</v>
      </c>
      <c r="F117">
        <v>1</v>
      </c>
      <c r="G117">
        <v>0</v>
      </c>
      <c r="H117">
        <v>0</v>
      </c>
      <c r="I117">
        <v>1</v>
      </c>
      <c r="J117">
        <v>0</v>
      </c>
      <c r="K117">
        <v>0</v>
      </c>
      <c r="L117" s="228">
        <v>42283</v>
      </c>
      <c r="M117" t="s">
        <v>817</v>
      </c>
    </row>
    <row r="118" spans="1:13" x14ac:dyDescent="0.25">
      <c r="A118" t="s">
        <v>340</v>
      </c>
      <c r="B118">
        <v>1</v>
      </c>
      <c r="C118">
        <v>0</v>
      </c>
      <c r="D118">
        <v>1</v>
      </c>
      <c r="E118">
        <v>0</v>
      </c>
      <c r="F118">
        <v>0</v>
      </c>
      <c r="G118">
        <v>0</v>
      </c>
      <c r="H118">
        <v>0</v>
      </c>
      <c r="I118">
        <v>1</v>
      </c>
      <c r="J118">
        <v>0</v>
      </c>
      <c r="K118">
        <v>0</v>
      </c>
      <c r="L118" s="228">
        <v>22168</v>
      </c>
      <c r="M118" t="s">
        <v>819</v>
      </c>
    </row>
    <row r="119" spans="1:13" x14ac:dyDescent="0.25">
      <c r="A119" t="s">
        <v>244</v>
      </c>
      <c r="B119">
        <v>1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0</v>
      </c>
      <c r="K119">
        <v>0</v>
      </c>
      <c r="L119" s="228">
        <v>44366</v>
      </c>
      <c r="M119" t="s">
        <v>821</v>
      </c>
    </row>
    <row r="120" spans="1:13" x14ac:dyDescent="0.25">
      <c r="A120" t="s">
        <v>606</v>
      </c>
      <c r="B120">
        <v>0</v>
      </c>
      <c r="C120">
        <v>0</v>
      </c>
      <c r="D120">
        <v>0</v>
      </c>
      <c r="E120">
        <v>1</v>
      </c>
      <c r="F120">
        <v>0</v>
      </c>
      <c r="G120">
        <v>0</v>
      </c>
      <c r="H120">
        <v>0</v>
      </c>
      <c r="I120">
        <v>1</v>
      </c>
      <c r="J120">
        <v>0</v>
      </c>
      <c r="K120">
        <v>0</v>
      </c>
      <c r="L120" s="228">
        <v>5025</v>
      </c>
      <c r="M120" t="s">
        <v>823</v>
      </c>
    </row>
    <row r="121" spans="1:13" x14ac:dyDescent="0.25">
      <c r="A121" t="s">
        <v>591</v>
      </c>
      <c r="B121">
        <v>0</v>
      </c>
      <c r="C121">
        <v>0</v>
      </c>
      <c r="D121">
        <v>0</v>
      </c>
      <c r="E121">
        <v>1</v>
      </c>
      <c r="F121">
        <v>0</v>
      </c>
      <c r="G121">
        <v>0</v>
      </c>
      <c r="H121">
        <v>0</v>
      </c>
      <c r="I121">
        <v>1</v>
      </c>
      <c r="J121">
        <v>0</v>
      </c>
      <c r="K121">
        <v>0</v>
      </c>
      <c r="L121" t="s">
        <v>829</v>
      </c>
      <c r="M121" t="s">
        <v>830</v>
      </c>
    </row>
    <row r="122" spans="1:13" x14ac:dyDescent="0.25">
      <c r="A122" t="s">
        <v>578</v>
      </c>
      <c r="B122">
        <v>0</v>
      </c>
      <c r="C122">
        <v>1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1</v>
      </c>
      <c r="L122" s="228">
        <v>343</v>
      </c>
      <c r="M122" t="s">
        <v>826</v>
      </c>
    </row>
    <row r="123" spans="1:13" x14ac:dyDescent="0.25">
      <c r="A123" t="s">
        <v>30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1</v>
      </c>
      <c r="I123">
        <v>0</v>
      </c>
      <c r="J123">
        <v>0</v>
      </c>
      <c r="K123">
        <v>1</v>
      </c>
      <c r="L123" t="s">
        <v>829</v>
      </c>
      <c r="M123" t="s">
        <v>830</v>
      </c>
    </row>
    <row r="124" spans="1:13" x14ac:dyDescent="0.25">
      <c r="A124" t="s">
        <v>566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0</v>
      </c>
      <c r="J124">
        <v>1</v>
      </c>
      <c r="K124">
        <v>0</v>
      </c>
      <c r="L124" t="s">
        <v>829</v>
      </c>
      <c r="M124" t="s">
        <v>830</v>
      </c>
    </row>
  </sheetData>
  <sortState xmlns:xlrd2="http://schemas.microsoft.com/office/spreadsheetml/2017/richdata2" ref="A2:K1787">
    <sortCondition ref="A2:A178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DDE3C-F9CD-4F10-BB2A-A8D269813044}">
  <dimension ref="B1:B123"/>
  <sheetViews>
    <sheetView topLeftCell="A111" workbookViewId="0">
      <selection activeCell="D123" sqref="C1:D123"/>
    </sheetView>
  </sheetViews>
  <sheetFormatPr defaultRowHeight="15" x14ac:dyDescent="0.25"/>
  <sheetData>
    <row r="1" spans="2:2" x14ac:dyDescent="0.25">
      <c r="B1" t="s">
        <v>636</v>
      </c>
    </row>
    <row r="2" spans="2:2" x14ac:dyDescent="0.25">
      <c r="B2" t="s">
        <v>637</v>
      </c>
    </row>
    <row r="3" spans="2:2" x14ac:dyDescent="0.25">
      <c r="B3" t="s">
        <v>638</v>
      </c>
    </row>
    <row r="4" spans="2:2" x14ac:dyDescent="0.25">
      <c r="B4" t="s">
        <v>640</v>
      </c>
    </row>
    <row r="5" spans="2:2" x14ac:dyDescent="0.25">
      <c r="B5" t="s">
        <v>642</v>
      </c>
    </row>
    <row r="6" spans="2:2" x14ac:dyDescent="0.25">
      <c r="B6" t="s">
        <v>644</v>
      </c>
    </row>
    <row r="7" spans="2:2" x14ac:dyDescent="0.25">
      <c r="B7" t="s">
        <v>645</v>
      </c>
    </row>
    <row r="8" spans="2:2" x14ac:dyDescent="0.25">
      <c r="B8" t="s">
        <v>646</v>
      </c>
    </row>
    <row r="9" spans="2:2" x14ac:dyDescent="0.25">
      <c r="B9" t="s">
        <v>647</v>
      </c>
    </row>
    <row r="10" spans="2:2" x14ac:dyDescent="0.25">
      <c r="B10" t="s">
        <v>649</v>
      </c>
    </row>
    <row r="11" spans="2:2" x14ac:dyDescent="0.25">
      <c r="B11" t="s">
        <v>650</v>
      </c>
    </row>
    <row r="12" spans="2:2" x14ac:dyDescent="0.25">
      <c r="B12" t="s">
        <v>652</v>
      </c>
    </row>
    <row r="13" spans="2:2" x14ac:dyDescent="0.25">
      <c r="B13" t="s">
        <v>653</v>
      </c>
    </row>
    <row r="14" spans="2:2" x14ac:dyDescent="0.25">
      <c r="B14" t="s">
        <v>654</v>
      </c>
    </row>
    <row r="15" spans="2:2" x14ac:dyDescent="0.25">
      <c r="B15" t="s">
        <v>656</v>
      </c>
    </row>
    <row r="16" spans="2:2" x14ac:dyDescent="0.25">
      <c r="B16" t="s">
        <v>657</v>
      </c>
    </row>
    <row r="17" spans="2:2" x14ac:dyDescent="0.25">
      <c r="B17" t="s">
        <v>658</v>
      </c>
    </row>
    <row r="18" spans="2:2" x14ac:dyDescent="0.25">
      <c r="B18" t="s">
        <v>659</v>
      </c>
    </row>
    <row r="19" spans="2:2" x14ac:dyDescent="0.25">
      <c r="B19" t="s">
        <v>660</v>
      </c>
    </row>
    <row r="20" spans="2:2" x14ac:dyDescent="0.25">
      <c r="B20" t="s">
        <v>662</v>
      </c>
    </row>
    <row r="21" spans="2:2" x14ac:dyDescent="0.25">
      <c r="B21" t="s">
        <v>664</v>
      </c>
    </row>
    <row r="22" spans="2:2" x14ac:dyDescent="0.25">
      <c r="B22" t="s">
        <v>666</v>
      </c>
    </row>
    <row r="23" spans="2:2" x14ac:dyDescent="0.25">
      <c r="B23" t="s">
        <v>668</v>
      </c>
    </row>
    <row r="24" spans="2:2" x14ac:dyDescent="0.25">
      <c r="B24" t="s">
        <v>670</v>
      </c>
    </row>
    <row r="25" spans="2:2" x14ac:dyDescent="0.25">
      <c r="B25" t="s">
        <v>671</v>
      </c>
    </row>
    <row r="26" spans="2:2" x14ac:dyDescent="0.25">
      <c r="B26" t="s">
        <v>673</v>
      </c>
    </row>
    <row r="27" spans="2:2" x14ac:dyDescent="0.25">
      <c r="B27" t="s">
        <v>675</v>
      </c>
    </row>
    <row r="28" spans="2:2" x14ac:dyDescent="0.25">
      <c r="B28" t="s">
        <v>677</v>
      </c>
    </row>
    <row r="29" spans="2:2" x14ac:dyDescent="0.25">
      <c r="B29" t="s">
        <v>679</v>
      </c>
    </row>
    <row r="30" spans="2:2" x14ac:dyDescent="0.25">
      <c r="B30" t="s">
        <v>680</v>
      </c>
    </row>
    <row r="31" spans="2:2" x14ac:dyDescent="0.25">
      <c r="B31" t="s">
        <v>682</v>
      </c>
    </row>
    <row r="32" spans="2:2" x14ac:dyDescent="0.25">
      <c r="B32" t="s">
        <v>684</v>
      </c>
    </row>
    <row r="33" spans="2:2" x14ac:dyDescent="0.25">
      <c r="B33" t="s">
        <v>685</v>
      </c>
    </row>
    <row r="34" spans="2:2" x14ac:dyDescent="0.25">
      <c r="B34" t="s">
        <v>687</v>
      </c>
    </row>
    <row r="35" spans="2:2" x14ac:dyDescent="0.25">
      <c r="B35" t="s">
        <v>688</v>
      </c>
    </row>
    <row r="36" spans="2:2" x14ac:dyDescent="0.25">
      <c r="B36" t="s">
        <v>690</v>
      </c>
    </row>
    <row r="37" spans="2:2" x14ac:dyDescent="0.25">
      <c r="B37" t="s">
        <v>691</v>
      </c>
    </row>
    <row r="38" spans="2:2" x14ac:dyDescent="0.25">
      <c r="B38" t="s">
        <v>693</v>
      </c>
    </row>
    <row r="39" spans="2:2" x14ac:dyDescent="0.25">
      <c r="B39" t="s">
        <v>695</v>
      </c>
    </row>
    <row r="40" spans="2:2" x14ac:dyDescent="0.25">
      <c r="B40" t="s">
        <v>696</v>
      </c>
    </row>
    <row r="41" spans="2:2" x14ac:dyDescent="0.25">
      <c r="B41" t="s">
        <v>697</v>
      </c>
    </row>
    <row r="42" spans="2:2" x14ac:dyDescent="0.25">
      <c r="B42" t="s">
        <v>699</v>
      </c>
    </row>
    <row r="43" spans="2:2" x14ac:dyDescent="0.25">
      <c r="B43" t="s">
        <v>700</v>
      </c>
    </row>
    <row r="44" spans="2:2" x14ac:dyDescent="0.25">
      <c r="B44" t="s">
        <v>702</v>
      </c>
    </row>
    <row r="45" spans="2:2" x14ac:dyDescent="0.25">
      <c r="B45" t="s">
        <v>704</v>
      </c>
    </row>
    <row r="46" spans="2:2" x14ac:dyDescent="0.25">
      <c r="B46" t="s">
        <v>706</v>
      </c>
    </row>
    <row r="47" spans="2:2" x14ac:dyDescent="0.25">
      <c r="B47" t="s">
        <v>708</v>
      </c>
    </row>
    <row r="48" spans="2:2" x14ac:dyDescent="0.25">
      <c r="B48" t="s">
        <v>710</v>
      </c>
    </row>
    <row r="49" spans="2:2" x14ac:dyDescent="0.25">
      <c r="B49" t="s">
        <v>711</v>
      </c>
    </row>
    <row r="50" spans="2:2" x14ac:dyDescent="0.25">
      <c r="B50" t="s">
        <v>713</v>
      </c>
    </row>
    <row r="51" spans="2:2" x14ac:dyDescent="0.25">
      <c r="B51" t="s">
        <v>715</v>
      </c>
    </row>
    <row r="52" spans="2:2" x14ac:dyDescent="0.25">
      <c r="B52" t="s">
        <v>716</v>
      </c>
    </row>
    <row r="53" spans="2:2" x14ac:dyDescent="0.25">
      <c r="B53" t="s">
        <v>717</v>
      </c>
    </row>
    <row r="54" spans="2:2" x14ac:dyDescent="0.25">
      <c r="B54" t="s">
        <v>719</v>
      </c>
    </row>
    <row r="55" spans="2:2" x14ac:dyDescent="0.25">
      <c r="B55" t="s">
        <v>721</v>
      </c>
    </row>
    <row r="56" spans="2:2" x14ac:dyDescent="0.25">
      <c r="B56" t="s">
        <v>723</v>
      </c>
    </row>
    <row r="57" spans="2:2" x14ac:dyDescent="0.25">
      <c r="B57" t="s">
        <v>725</v>
      </c>
    </row>
    <row r="58" spans="2:2" x14ac:dyDescent="0.25">
      <c r="B58" t="s">
        <v>727</v>
      </c>
    </row>
    <row r="59" spans="2:2" x14ac:dyDescent="0.25">
      <c r="B59" t="s">
        <v>728</v>
      </c>
    </row>
    <row r="60" spans="2:2" x14ac:dyDescent="0.25">
      <c r="B60" t="s">
        <v>729</v>
      </c>
    </row>
    <row r="61" spans="2:2" x14ac:dyDescent="0.25">
      <c r="B61" t="s">
        <v>730</v>
      </c>
    </row>
    <row r="62" spans="2:2" x14ac:dyDescent="0.25">
      <c r="B62" t="s">
        <v>732</v>
      </c>
    </row>
    <row r="63" spans="2:2" x14ac:dyDescent="0.25">
      <c r="B63" t="s">
        <v>733</v>
      </c>
    </row>
    <row r="64" spans="2:2" x14ac:dyDescent="0.25">
      <c r="B64" t="s">
        <v>734</v>
      </c>
    </row>
    <row r="65" spans="2:2" x14ac:dyDescent="0.25">
      <c r="B65" t="s">
        <v>736</v>
      </c>
    </row>
    <row r="66" spans="2:2" x14ac:dyDescent="0.25">
      <c r="B66" t="s">
        <v>737</v>
      </c>
    </row>
    <row r="67" spans="2:2" x14ac:dyDescent="0.25">
      <c r="B67" t="s">
        <v>738</v>
      </c>
    </row>
    <row r="68" spans="2:2" x14ac:dyDescent="0.25">
      <c r="B68" t="s">
        <v>739</v>
      </c>
    </row>
    <row r="69" spans="2:2" x14ac:dyDescent="0.25">
      <c r="B69" t="s">
        <v>741</v>
      </c>
    </row>
    <row r="70" spans="2:2" x14ac:dyDescent="0.25">
      <c r="B70" t="s">
        <v>742</v>
      </c>
    </row>
    <row r="71" spans="2:2" x14ac:dyDescent="0.25">
      <c r="B71" t="s">
        <v>744</v>
      </c>
    </row>
    <row r="72" spans="2:2" x14ac:dyDescent="0.25">
      <c r="B72" t="s">
        <v>746</v>
      </c>
    </row>
    <row r="73" spans="2:2" x14ac:dyDescent="0.25">
      <c r="B73" t="s">
        <v>747</v>
      </c>
    </row>
    <row r="74" spans="2:2" x14ac:dyDescent="0.25">
      <c r="B74" t="s">
        <v>748</v>
      </c>
    </row>
    <row r="75" spans="2:2" x14ac:dyDescent="0.25">
      <c r="B75" t="s">
        <v>750</v>
      </c>
    </row>
    <row r="76" spans="2:2" x14ac:dyDescent="0.25">
      <c r="B76" t="s">
        <v>751</v>
      </c>
    </row>
    <row r="77" spans="2:2" x14ac:dyDescent="0.25">
      <c r="B77" t="s">
        <v>752</v>
      </c>
    </row>
    <row r="78" spans="2:2" x14ac:dyDescent="0.25">
      <c r="B78" t="s">
        <v>754</v>
      </c>
    </row>
    <row r="79" spans="2:2" x14ac:dyDescent="0.25">
      <c r="B79" t="s">
        <v>756</v>
      </c>
    </row>
    <row r="80" spans="2:2" x14ac:dyDescent="0.25">
      <c r="B80" t="s">
        <v>757</v>
      </c>
    </row>
    <row r="81" spans="2:2" x14ac:dyDescent="0.25">
      <c r="B81" t="s">
        <v>758</v>
      </c>
    </row>
    <row r="82" spans="2:2" x14ac:dyDescent="0.25">
      <c r="B82" t="s">
        <v>759</v>
      </c>
    </row>
    <row r="83" spans="2:2" x14ac:dyDescent="0.25">
      <c r="B83" t="s">
        <v>761</v>
      </c>
    </row>
    <row r="84" spans="2:2" x14ac:dyDescent="0.25">
      <c r="B84" t="s">
        <v>763</v>
      </c>
    </row>
    <row r="85" spans="2:2" x14ac:dyDescent="0.25">
      <c r="B85" t="s">
        <v>765</v>
      </c>
    </row>
    <row r="86" spans="2:2" x14ac:dyDescent="0.25">
      <c r="B86" t="s">
        <v>766</v>
      </c>
    </row>
    <row r="87" spans="2:2" x14ac:dyDescent="0.25">
      <c r="B87" t="s">
        <v>768</v>
      </c>
    </row>
    <row r="88" spans="2:2" x14ac:dyDescent="0.25">
      <c r="B88" t="s">
        <v>769</v>
      </c>
    </row>
    <row r="89" spans="2:2" x14ac:dyDescent="0.25">
      <c r="B89" t="s">
        <v>771</v>
      </c>
    </row>
    <row r="90" spans="2:2" x14ac:dyDescent="0.25">
      <c r="B90" t="s">
        <v>772</v>
      </c>
    </row>
    <row r="91" spans="2:2" x14ac:dyDescent="0.25">
      <c r="B91" t="s">
        <v>774</v>
      </c>
    </row>
    <row r="92" spans="2:2" x14ac:dyDescent="0.25">
      <c r="B92" t="s">
        <v>776</v>
      </c>
    </row>
    <row r="93" spans="2:2" x14ac:dyDescent="0.25">
      <c r="B93" t="s">
        <v>778</v>
      </c>
    </row>
    <row r="94" spans="2:2" x14ac:dyDescent="0.25">
      <c r="B94" t="s">
        <v>780</v>
      </c>
    </row>
    <row r="95" spans="2:2" x14ac:dyDescent="0.25">
      <c r="B95" t="s">
        <v>782</v>
      </c>
    </row>
    <row r="96" spans="2:2" x14ac:dyDescent="0.25">
      <c r="B96" t="s">
        <v>783</v>
      </c>
    </row>
    <row r="97" spans="2:2" x14ac:dyDescent="0.25">
      <c r="B97" t="s">
        <v>784</v>
      </c>
    </row>
    <row r="98" spans="2:2" x14ac:dyDescent="0.25">
      <c r="B98" t="s">
        <v>786</v>
      </c>
    </row>
    <row r="99" spans="2:2" x14ac:dyDescent="0.25">
      <c r="B99" t="s">
        <v>788</v>
      </c>
    </row>
    <row r="100" spans="2:2" x14ac:dyDescent="0.25">
      <c r="B100" t="s">
        <v>790</v>
      </c>
    </row>
    <row r="101" spans="2:2" x14ac:dyDescent="0.25">
      <c r="B101" t="s">
        <v>792</v>
      </c>
    </row>
    <row r="102" spans="2:2" x14ac:dyDescent="0.25">
      <c r="B102" t="s">
        <v>794</v>
      </c>
    </row>
    <row r="103" spans="2:2" x14ac:dyDescent="0.25">
      <c r="B103" t="s">
        <v>796</v>
      </c>
    </row>
    <row r="104" spans="2:2" x14ac:dyDescent="0.25">
      <c r="B104" t="s">
        <v>798</v>
      </c>
    </row>
    <row r="105" spans="2:2" x14ac:dyDescent="0.25">
      <c r="B105" t="s">
        <v>799</v>
      </c>
    </row>
    <row r="106" spans="2:2" x14ac:dyDescent="0.25">
      <c r="B106" t="s">
        <v>801</v>
      </c>
    </row>
    <row r="107" spans="2:2" x14ac:dyDescent="0.25">
      <c r="B107" t="s">
        <v>803</v>
      </c>
    </row>
    <row r="108" spans="2:2" x14ac:dyDescent="0.25">
      <c r="B108" t="s">
        <v>805</v>
      </c>
    </row>
    <row r="109" spans="2:2" x14ac:dyDescent="0.25">
      <c r="B109" t="s">
        <v>806</v>
      </c>
    </row>
    <row r="110" spans="2:2" x14ac:dyDescent="0.25">
      <c r="B110" t="s">
        <v>807</v>
      </c>
    </row>
    <row r="111" spans="2:2" x14ac:dyDescent="0.25">
      <c r="B111" t="s">
        <v>809</v>
      </c>
    </row>
    <row r="112" spans="2:2" x14ac:dyDescent="0.25">
      <c r="B112" t="s">
        <v>810</v>
      </c>
    </row>
    <row r="113" spans="2:2" x14ac:dyDescent="0.25">
      <c r="B113" t="s">
        <v>812</v>
      </c>
    </row>
    <row r="114" spans="2:2" x14ac:dyDescent="0.25">
      <c r="B114" t="s">
        <v>814</v>
      </c>
    </row>
    <row r="115" spans="2:2" x14ac:dyDescent="0.25">
      <c r="B115" t="s">
        <v>815</v>
      </c>
    </row>
    <row r="116" spans="2:2" x14ac:dyDescent="0.25">
      <c r="B116" t="s">
        <v>816</v>
      </c>
    </row>
    <row r="117" spans="2:2" x14ac:dyDescent="0.25">
      <c r="B117" t="s">
        <v>818</v>
      </c>
    </row>
    <row r="118" spans="2:2" x14ac:dyDescent="0.25">
      <c r="B118" t="s">
        <v>820</v>
      </c>
    </row>
    <row r="119" spans="2:2" x14ac:dyDescent="0.25">
      <c r="B119" t="s">
        <v>822</v>
      </c>
    </row>
    <row r="120" spans="2:2" x14ac:dyDescent="0.25">
      <c r="B120" t="s">
        <v>824</v>
      </c>
    </row>
    <row r="121" spans="2:2" x14ac:dyDescent="0.25">
      <c r="B121" t="s">
        <v>825</v>
      </c>
    </row>
    <row r="122" spans="2:2" x14ac:dyDescent="0.25">
      <c r="B122" t="s">
        <v>827</v>
      </c>
    </row>
    <row r="123" spans="2:2" x14ac:dyDescent="0.25">
      <c r="B123" t="s">
        <v>828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375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368</v>
      </c>
    </row>
    <row r="8" spans="1:8" x14ac:dyDescent="0.25">
      <c r="A8" s="45"/>
      <c r="B8" t="s">
        <v>124</v>
      </c>
      <c r="C8" s="34" t="s">
        <v>120</v>
      </c>
      <c r="H8" t="s">
        <v>374</v>
      </c>
    </row>
    <row r="21" spans="8:8" x14ac:dyDescent="0.25">
      <c r="H21" s="76" t="s">
        <v>369</v>
      </c>
    </row>
    <row r="22" spans="8:8" x14ac:dyDescent="0.25">
      <c r="H22" t="s">
        <v>372</v>
      </c>
    </row>
    <row r="23" spans="8:8" x14ac:dyDescent="0.25">
      <c r="H23" t="s">
        <v>373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CS848"/>
  <sheetViews>
    <sheetView topLeftCell="A524" workbookViewId="0">
      <selection activeCell="Z837" sqref="Z837"/>
    </sheetView>
  </sheetViews>
  <sheetFormatPr defaultRowHeight="15" x14ac:dyDescent="0.25"/>
  <cols>
    <col min="1" max="1" width="17.28515625" bestFit="1" customWidth="1"/>
    <col min="2" max="6" width="10.85546875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173</v>
      </c>
      <c r="D5" t="s">
        <v>176</v>
      </c>
      <c r="K5" t="s">
        <v>174</v>
      </c>
      <c r="P5" t="s">
        <v>175</v>
      </c>
    </row>
    <row r="7" spans="1:18" x14ac:dyDescent="0.25">
      <c r="C7" t="s">
        <v>156</v>
      </c>
      <c r="D7" t="s">
        <v>154</v>
      </c>
      <c r="E7" t="s">
        <v>169</v>
      </c>
      <c r="F7" t="s">
        <v>170</v>
      </c>
      <c r="G7" t="s">
        <v>153</v>
      </c>
      <c r="H7" s="72" t="s">
        <v>158</v>
      </c>
      <c r="K7" t="s">
        <v>159</v>
      </c>
      <c r="L7" t="s">
        <v>160</v>
      </c>
      <c r="M7" t="s">
        <v>161</v>
      </c>
      <c r="N7" t="s">
        <v>158</v>
      </c>
      <c r="P7" t="s">
        <v>159</v>
      </c>
      <c r="Q7" t="s">
        <v>158</v>
      </c>
      <c r="R7" t="s">
        <v>160</v>
      </c>
    </row>
    <row r="8" spans="1:18" x14ac:dyDescent="0.25">
      <c r="B8" t="s">
        <v>164</v>
      </c>
      <c r="C8">
        <v>3</v>
      </c>
      <c r="D8" t="s">
        <v>155</v>
      </c>
      <c r="E8">
        <v>2004</v>
      </c>
      <c r="F8" t="s">
        <v>171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165</v>
      </c>
      <c r="C9">
        <v>5</v>
      </c>
      <c r="D9" t="s">
        <v>155</v>
      </c>
      <c r="E9">
        <v>2004</v>
      </c>
      <c r="F9" t="s">
        <v>171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166</v>
      </c>
      <c r="C10" s="71" t="s">
        <v>168</v>
      </c>
      <c r="D10" t="s">
        <v>155</v>
      </c>
      <c r="E10">
        <v>2004</v>
      </c>
      <c r="F10" t="s">
        <v>171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167</v>
      </c>
      <c r="C11" s="71" t="s">
        <v>168</v>
      </c>
      <c r="D11" t="s">
        <v>155</v>
      </c>
      <c r="E11">
        <v>2004</v>
      </c>
      <c r="F11" t="s">
        <v>171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164</v>
      </c>
      <c r="C12">
        <v>3</v>
      </c>
      <c r="D12" t="s">
        <v>155</v>
      </c>
      <c r="E12">
        <v>2006</v>
      </c>
      <c r="F12" t="s">
        <v>171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165</v>
      </c>
      <c r="C13">
        <v>5</v>
      </c>
      <c r="D13" t="s">
        <v>155</v>
      </c>
      <c r="E13">
        <v>2006</v>
      </c>
      <c r="F13" t="s">
        <v>171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166</v>
      </c>
      <c r="C14" s="71" t="s">
        <v>168</v>
      </c>
      <c r="D14" t="s">
        <v>155</v>
      </c>
      <c r="E14">
        <v>2006</v>
      </c>
      <c r="F14" t="s">
        <v>171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167</v>
      </c>
      <c r="C15" s="71" t="s">
        <v>168</v>
      </c>
      <c r="D15" t="s">
        <v>155</v>
      </c>
      <c r="E15">
        <v>2006</v>
      </c>
      <c r="F15" t="s">
        <v>171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164</v>
      </c>
      <c r="C16">
        <v>3</v>
      </c>
      <c r="D16" t="s">
        <v>155</v>
      </c>
      <c r="E16">
        <v>2008</v>
      </c>
      <c r="F16" t="s">
        <v>171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165</v>
      </c>
      <c r="C17">
        <v>5</v>
      </c>
      <c r="D17" t="s">
        <v>155</v>
      </c>
      <c r="E17">
        <v>2008</v>
      </c>
      <c r="F17" t="s">
        <v>171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166</v>
      </c>
      <c r="C18" s="71" t="s">
        <v>168</v>
      </c>
      <c r="D18" t="s">
        <v>155</v>
      </c>
      <c r="E18">
        <v>2008</v>
      </c>
      <c r="F18" t="s">
        <v>171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167</v>
      </c>
      <c r="C19" s="71" t="s">
        <v>168</v>
      </c>
      <c r="D19" t="s">
        <v>155</v>
      </c>
      <c r="E19">
        <v>2008</v>
      </c>
      <c r="F19" t="s">
        <v>171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164</v>
      </c>
      <c r="C20">
        <v>3</v>
      </c>
      <c r="D20" t="s">
        <v>157</v>
      </c>
      <c r="E20">
        <v>2004</v>
      </c>
      <c r="F20" t="s">
        <v>171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165</v>
      </c>
      <c r="C21">
        <v>5</v>
      </c>
      <c r="D21" t="s">
        <v>157</v>
      </c>
      <c r="E21">
        <v>2004</v>
      </c>
      <c r="F21" t="s">
        <v>171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166</v>
      </c>
      <c r="C22" s="71" t="s">
        <v>168</v>
      </c>
      <c r="D22" t="s">
        <v>157</v>
      </c>
      <c r="E22">
        <v>2004</v>
      </c>
      <c r="F22" t="s">
        <v>171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167</v>
      </c>
      <c r="C23" s="71" t="s">
        <v>168</v>
      </c>
      <c r="D23" t="s">
        <v>157</v>
      </c>
      <c r="E23">
        <v>2004</v>
      </c>
      <c r="F23" t="s">
        <v>171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164</v>
      </c>
      <c r="C24">
        <v>3</v>
      </c>
      <c r="D24" t="s">
        <v>157</v>
      </c>
      <c r="E24">
        <v>2006</v>
      </c>
      <c r="F24" t="s">
        <v>171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165</v>
      </c>
      <c r="C25">
        <v>5</v>
      </c>
      <c r="D25" t="s">
        <v>157</v>
      </c>
      <c r="E25">
        <v>2006</v>
      </c>
      <c r="F25" t="s">
        <v>171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166</v>
      </c>
      <c r="C26" s="71" t="s">
        <v>168</v>
      </c>
      <c r="D26" t="s">
        <v>157</v>
      </c>
      <c r="E26">
        <v>2006</v>
      </c>
      <c r="F26" t="s">
        <v>171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167</v>
      </c>
      <c r="C27" s="71" t="s">
        <v>168</v>
      </c>
      <c r="D27" t="s">
        <v>157</v>
      </c>
      <c r="E27">
        <v>2006</v>
      </c>
      <c r="F27" t="s">
        <v>171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164</v>
      </c>
      <c r="C28">
        <v>3</v>
      </c>
      <c r="D28" t="s">
        <v>157</v>
      </c>
      <c r="E28">
        <v>2008</v>
      </c>
      <c r="F28" t="s">
        <v>171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165</v>
      </c>
      <c r="C29">
        <v>5</v>
      </c>
      <c r="D29" t="s">
        <v>157</v>
      </c>
      <c r="E29">
        <v>2008</v>
      </c>
      <c r="F29" t="s">
        <v>171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166</v>
      </c>
      <c r="C30" s="71" t="s">
        <v>168</v>
      </c>
      <c r="D30" t="s">
        <v>157</v>
      </c>
      <c r="E30">
        <v>2008</v>
      </c>
      <c r="F30" t="s">
        <v>171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167</v>
      </c>
      <c r="C31" s="71" t="s">
        <v>168</v>
      </c>
      <c r="D31" t="s">
        <v>157</v>
      </c>
      <c r="E31">
        <v>2008</v>
      </c>
      <c r="F31" t="s">
        <v>171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164</v>
      </c>
      <c r="C32">
        <v>3</v>
      </c>
      <c r="D32" t="s">
        <v>155</v>
      </c>
      <c r="E32">
        <v>2004</v>
      </c>
      <c r="F32" t="s">
        <v>172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165</v>
      </c>
      <c r="C33">
        <v>5</v>
      </c>
      <c r="D33" t="s">
        <v>155</v>
      </c>
      <c r="E33">
        <v>2004</v>
      </c>
      <c r="F33" t="s">
        <v>172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166</v>
      </c>
      <c r="C34" s="71" t="s">
        <v>168</v>
      </c>
      <c r="D34" t="s">
        <v>155</v>
      </c>
      <c r="E34">
        <v>2004</v>
      </c>
      <c r="F34" t="s">
        <v>172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167</v>
      </c>
      <c r="C35" s="71" t="s">
        <v>168</v>
      </c>
      <c r="D35" t="s">
        <v>155</v>
      </c>
      <c r="E35">
        <v>2004</v>
      </c>
      <c r="F35" t="s">
        <v>172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164</v>
      </c>
      <c r="C36">
        <v>3</v>
      </c>
      <c r="D36" t="s">
        <v>155</v>
      </c>
      <c r="E36">
        <v>2006</v>
      </c>
      <c r="F36" t="s">
        <v>172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165</v>
      </c>
      <c r="C37">
        <v>5</v>
      </c>
      <c r="D37" t="s">
        <v>155</v>
      </c>
      <c r="E37">
        <v>2006</v>
      </c>
      <c r="F37" t="s">
        <v>172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166</v>
      </c>
      <c r="C38" s="71" t="s">
        <v>168</v>
      </c>
      <c r="D38" t="s">
        <v>155</v>
      </c>
      <c r="E38">
        <v>2006</v>
      </c>
      <c r="F38" t="s">
        <v>172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167</v>
      </c>
      <c r="C39" s="71" t="s">
        <v>168</v>
      </c>
      <c r="D39" t="s">
        <v>155</v>
      </c>
      <c r="E39">
        <v>2006</v>
      </c>
      <c r="F39" t="s">
        <v>172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164</v>
      </c>
      <c r="C40">
        <v>3</v>
      </c>
      <c r="D40" t="s">
        <v>155</v>
      </c>
      <c r="E40">
        <v>2008</v>
      </c>
      <c r="F40" t="s">
        <v>172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165</v>
      </c>
      <c r="C41">
        <v>5</v>
      </c>
      <c r="D41" t="s">
        <v>155</v>
      </c>
      <c r="E41">
        <v>2008</v>
      </c>
      <c r="F41" t="s">
        <v>172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166</v>
      </c>
      <c r="C42" s="71" t="s">
        <v>168</v>
      </c>
      <c r="D42" t="s">
        <v>155</v>
      </c>
      <c r="E42">
        <v>2008</v>
      </c>
      <c r="F42" t="s">
        <v>172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167</v>
      </c>
      <c r="C43" s="71" t="s">
        <v>168</v>
      </c>
      <c r="D43" t="s">
        <v>155</v>
      </c>
      <c r="E43">
        <v>2008</v>
      </c>
      <c r="F43" t="s">
        <v>172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164</v>
      </c>
      <c r="C44">
        <v>3</v>
      </c>
      <c r="D44" t="s">
        <v>157</v>
      </c>
      <c r="E44">
        <v>2004</v>
      </c>
      <c r="F44" t="s">
        <v>172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165</v>
      </c>
      <c r="C45">
        <v>5</v>
      </c>
      <c r="D45" t="s">
        <v>157</v>
      </c>
      <c r="E45">
        <v>2004</v>
      </c>
      <c r="F45" t="s">
        <v>172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166</v>
      </c>
      <c r="C46" s="71" t="s">
        <v>168</v>
      </c>
      <c r="D46" t="s">
        <v>157</v>
      </c>
      <c r="E46">
        <v>2004</v>
      </c>
      <c r="F46" t="s">
        <v>172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167</v>
      </c>
      <c r="C47" s="71" t="s">
        <v>168</v>
      </c>
      <c r="D47" t="s">
        <v>157</v>
      </c>
      <c r="E47">
        <v>2004</v>
      </c>
      <c r="F47" t="s">
        <v>172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164</v>
      </c>
      <c r="C48">
        <v>3</v>
      </c>
      <c r="D48" t="s">
        <v>157</v>
      </c>
      <c r="E48">
        <v>2006</v>
      </c>
      <c r="F48" t="s">
        <v>172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165</v>
      </c>
      <c r="C49">
        <v>5</v>
      </c>
      <c r="D49" t="s">
        <v>157</v>
      </c>
      <c r="E49">
        <v>2006</v>
      </c>
      <c r="F49" t="s">
        <v>172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166</v>
      </c>
      <c r="C50" s="71" t="s">
        <v>168</v>
      </c>
      <c r="D50" t="s">
        <v>157</v>
      </c>
      <c r="E50">
        <v>2006</v>
      </c>
      <c r="F50" t="s">
        <v>172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167</v>
      </c>
      <c r="C51" s="71" t="s">
        <v>168</v>
      </c>
      <c r="D51" t="s">
        <v>157</v>
      </c>
      <c r="E51">
        <v>2006</v>
      </c>
      <c r="F51" t="s">
        <v>172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164</v>
      </c>
      <c r="C52">
        <v>3</v>
      </c>
      <c r="D52" t="s">
        <v>157</v>
      </c>
      <c r="E52">
        <v>2008</v>
      </c>
      <c r="F52" t="s">
        <v>172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165</v>
      </c>
      <c r="C53">
        <v>5</v>
      </c>
      <c r="D53" t="s">
        <v>157</v>
      </c>
      <c r="E53">
        <v>2008</v>
      </c>
      <c r="F53" t="s">
        <v>172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166</v>
      </c>
      <c r="C54" s="71" t="s">
        <v>168</v>
      </c>
      <c r="D54" t="s">
        <v>157</v>
      </c>
      <c r="E54">
        <v>2008</v>
      </c>
      <c r="F54" t="s">
        <v>172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167</v>
      </c>
      <c r="C55" s="71" t="s">
        <v>168</v>
      </c>
      <c r="D55" t="s">
        <v>157</v>
      </c>
      <c r="E55">
        <v>2008</v>
      </c>
      <c r="F55" t="s">
        <v>172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177</v>
      </c>
    </row>
    <row r="62" spans="1:18" x14ac:dyDescent="0.25">
      <c r="B62" t="s">
        <v>173</v>
      </c>
      <c r="D62" t="s">
        <v>186</v>
      </c>
      <c r="H62" t="s">
        <v>174</v>
      </c>
      <c r="N62" t="s">
        <v>175</v>
      </c>
    </row>
    <row r="64" spans="1:18" x14ac:dyDescent="0.25">
      <c r="C64" t="s">
        <v>156</v>
      </c>
      <c r="D64" t="s">
        <v>183</v>
      </c>
      <c r="E64" t="s">
        <v>153</v>
      </c>
      <c r="F64" s="72" t="s">
        <v>158</v>
      </c>
      <c r="H64" t="s">
        <v>159</v>
      </c>
      <c r="I64" t="s">
        <v>87</v>
      </c>
      <c r="J64" t="s">
        <v>161</v>
      </c>
      <c r="K64" t="s">
        <v>187</v>
      </c>
      <c r="N64" t="s">
        <v>159</v>
      </c>
      <c r="O64" t="s">
        <v>158</v>
      </c>
      <c r="P64" t="s">
        <v>160</v>
      </c>
    </row>
    <row r="65" spans="2:16" x14ac:dyDescent="0.25">
      <c r="B65" t="s">
        <v>182</v>
      </c>
      <c r="C65">
        <v>3</v>
      </c>
      <c r="D65" t="s">
        <v>184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178</v>
      </c>
      <c r="C66">
        <v>3</v>
      </c>
      <c r="D66" t="s">
        <v>184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179</v>
      </c>
      <c r="C67" s="71" t="s">
        <v>168</v>
      </c>
      <c r="D67" t="s">
        <v>184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180</v>
      </c>
      <c r="C68" s="71" t="s">
        <v>168</v>
      </c>
      <c r="D68" t="s">
        <v>184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181</v>
      </c>
      <c r="C69">
        <v>3</v>
      </c>
      <c r="D69" t="s">
        <v>184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182</v>
      </c>
      <c r="C70">
        <v>3</v>
      </c>
      <c r="D70" t="s">
        <v>188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178</v>
      </c>
      <c r="C71">
        <v>3</v>
      </c>
      <c r="D71" t="s">
        <v>188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179</v>
      </c>
      <c r="C72" s="71" t="s">
        <v>168</v>
      </c>
      <c r="D72" t="s">
        <v>188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180</v>
      </c>
      <c r="C73" s="71" t="s">
        <v>168</v>
      </c>
      <c r="D73" t="s">
        <v>188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181</v>
      </c>
      <c r="C74">
        <v>3</v>
      </c>
      <c r="D74" t="s">
        <v>188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182</v>
      </c>
      <c r="C75">
        <v>3</v>
      </c>
      <c r="D75" t="s">
        <v>189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178</v>
      </c>
      <c r="C76">
        <v>3</v>
      </c>
      <c r="D76" t="s">
        <v>189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179</v>
      </c>
      <c r="C77" s="71" t="s">
        <v>168</v>
      </c>
      <c r="D77" t="s">
        <v>189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180</v>
      </c>
      <c r="C78" s="71" t="s">
        <v>168</v>
      </c>
      <c r="D78" t="s">
        <v>189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181</v>
      </c>
      <c r="C79">
        <v>3</v>
      </c>
      <c r="D79" t="s">
        <v>189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190</v>
      </c>
    </row>
    <row r="84" spans="1:9" x14ac:dyDescent="0.25">
      <c r="B84" s="76" t="s">
        <v>196</v>
      </c>
      <c r="C84" s="76" t="s">
        <v>156</v>
      </c>
      <c r="D84" s="76" t="s">
        <v>191</v>
      </c>
      <c r="E84" s="76" t="s">
        <v>199</v>
      </c>
      <c r="F84" s="76" t="s">
        <v>194</v>
      </c>
    </row>
    <row r="85" spans="1:9" x14ac:dyDescent="0.25">
      <c r="B85" t="s">
        <v>195</v>
      </c>
      <c r="C85">
        <v>0</v>
      </c>
      <c r="D85" t="s">
        <v>192</v>
      </c>
      <c r="E85" s="33">
        <v>0.39100000000000001</v>
      </c>
      <c r="F85" s="9">
        <v>46965</v>
      </c>
      <c r="H85" t="s">
        <v>200</v>
      </c>
      <c r="I85" s="9"/>
    </row>
    <row r="86" spans="1:9" x14ac:dyDescent="0.25">
      <c r="B86" t="s">
        <v>182</v>
      </c>
      <c r="C86">
        <v>5</v>
      </c>
      <c r="D86" t="s">
        <v>192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179</v>
      </c>
      <c r="C87">
        <v>10</v>
      </c>
      <c r="D87" t="s">
        <v>192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197</v>
      </c>
      <c r="C88" s="71" t="s">
        <v>202</v>
      </c>
      <c r="D88" t="s">
        <v>192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195</v>
      </c>
      <c r="C89">
        <v>0</v>
      </c>
      <c r="D89" t="s">
        <v>193</v>
      </c>
      <c r="E89">
        <v>0.32600000000000001</v>
      </c>
      <c r="F89" s="9">
        <v>99900</v>
      </c>
      <c r="G89" s="33"/>
      <c r="H89" s="33" t="s">
        <v>201</v>
      </c>
      <c r="I89" s="9"/>
    </row>
    <row r="90" spans="1:9" x14ac:dyDescent="0.25">
      <c r="B90" t="s">
        <v>182</v>
      </c>
      <c r="C90">
        <v>5</v>
      </c>
      <c r="D90" t="s">
        <v>193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179</v>
      </c>
      <c r="C91">
        <v>10</v>
      </c>
      <c r="D91" t="s">
        <v>193</v>
      </c>
      <c r="E91">
        <v>0.36099999999999999</v>
      </c>
      <c r="F91" s="9">
        <v>99900</v>
      </c>
      <c r="I91" s="9"/>
    </row>
    <row r="92" spans="1:9" x14ac:dyDescent="0.25">
      <c r="B92" t="s">
        <v>197</v>
      </c>
      <c r="C92" s="71" t="s">
        <v>202</v>
      </c>
      <c r="D92" t="s">
        <v>193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203</v>
      </c>
    </row>
    <row r="98" spans="2:17" x14ac:dyDescent="0.25">
      <c r="B98" t="s">
        <v>173</v>
      </c>
      <c r="D98" s="76" t="s">
        <v>206</v>
      </c>
      <c r="I98" t="s">
        <v>174</v>
      </c>
      <c r="O98" t="s">
        <v>175</v>
      </c>
    </row>
    <row r="100" spans="2:17" x14ac:dyDescent="0.25">
      <c r="C100" t="s">
        <v>156</v>
      </c>
      <c r="D100" t="s">
        <v>169</v>
      </c>
      <c r="E100" t="s">
        <v>154</v>
      </c>
      <c r="F100" t="s">
        <v>153</v>
      </c>
      <c r="G100" s="72" t="s">
        <v>207</v>
      </c>
      <c r="I100" t="s">
        <v>159</v>
      </c>
      <c r="J100" t="s">
        <v>161</v>
      </c>
      <c r="K100" t="s">
        <v>158</v>
      </c>
      <c r="O100" t="s">
        <v>159</v>
      </c>
      <c r="P100" t="s">
        <v>158</v>
      </c>
      <c r="Q100" t="s">
        <v>160</v>
      </c>
    </row>
    <row r="101" spans="2:17" x14ac:dyDescent="0.25">
      <c r="B101" t="s">
        <v>182</v>
      </c>
      <c r="C101">
        <v>6</v>
      </c>
      <c r="D101">
        <v>1992</v>
      </c>
      <c r="E101" t="s">
        <v>157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178</v>
      </c>
      <c r="C102">
        <v>4</v>
      </c>
      <c r="D102">
        <v>1992</v>
      </c>
      <c r="E102" t="s">
        <v>157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179</v>
      </c>
      <c r="C103" s="71" t="s">
        <v>198</v>
      </c>
      <c r="D103">
        <v>1992</v>
      </c>
      <c r="E103" t="s">
        <v>157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197</v>
      </c>
      <c r="C104" s="71" t="s">
        <v>185</v>
      </c>
      <c r="D104">
        <v>1992</v>
      </c>
      <c r="E104" t="s">
        <v>157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182</v>
      </c>
      <c r="C105">
        <v>6</v>
      </c>
      <c r="D105">
        <v>1992</v>
      </c>
      <c r="E105" t="s">
        <v>155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178</v>
      </c>
      <c r="C106">
        <v>4</v>
      </c>
      <c r="D106">
        <v>1992</v>
      </c>
      <c r="E106" t="s">
        <v>155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179</v>
      </c>
      <c r="C107" s="71" t="s">
        <v>198</v>
      </c>
      <c r="D107">
        <v>1992</v>
      </c>
      <c r="E107" t="s">
        <v>155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197</v>
      </c>
      <c r="C108" s="71" t="s">
        <v>185</v>
      </c>
      <c r="D108">
        <v>1992</v>
      </c>
      <c r="E108" t="s">
        <v>155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182</v>
      </c>
      <c r="C109">
        <v>6</v>
      </c>
      <c r="D109">
        <v>1999</v>
      </c>
      <c r="E109" t="s">
        <v>157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178</v>
      </c>
      <c r="C110">
        <v>4</v>
      </c>
      <c r="D110">
        <v>1999</v>
      </c>
      <c r="E110" t="s">
        <v>157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179</v>
      </c>
      <c r="C111" s="71" t="s">
        <v>198</v>
      </c>
      <c r="D111">
        <v>1999</v>
      </c>
      <c r="E111" t="s">
        <v>157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197</v>
      </c>
      <c r="C112" s="71" t="s">
        <v>185</v>
      </c>
      <c r="D112">
        <v>1999</v>
      </c>
      <c r="E112" t="s">
        <v>157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182</v>
      </c>
      <c r="C113">
        <v>6</v>
      </c>
      <c r="D113">
        <v>1999</v>
      </c>
      <c r="E113" t="s">
        <v>155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178</v>
      </c>
      <c r="C114">
        <v>4</v>
      </c>
      <c r="D114">
        <v>1999</v>
      </c>
      <c r="E114" t="s">
        <v>155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179</v>
      </c>
      <c r="C115" s="71" t="s">
        <v>198</v>
      </c>
      <c r="D115">
        <v>1999</v>
      </c>
      <c r="E115" t="s">
        <v>155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197</v>
      </c>
      <c r="C116" s="71" t="s">
        <v>185</v>
      </c>
      <c r="D116">
        <v>1999</v>
      </c>
      <c r="E116" t="s">
        <v>155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208</v>
      </c>
      <c r="F118" t="s">
        <v>209</v>
      </c>
    </row>
    <row r="120" spans="2:18" x14ac:dyDescent="0.25">
      <c r="C120" t="s">
        <v>156</v>
      </c>
      <c r="D120" t="s">
        <v>169</v>
      </c>
      <c r="E120" t="s">
        <v>154</v>
      </c>
      <c r="F120" t="s">
        <v>210</v>
      </c>
      <c r="G120" t="s">
        <v>153</v>
      </c>
      <c r="H120" s="72" t="s">
        <v>207</v>
      </c>
      <c r="J120" t="s">
        <v>159</v>
      </c>
      <c r="K120" t="s">
        <v>161</v>
      </c>
      <c r="L120" t="s">
        <v>158</v>
      </c>
      <c r="P120" t="s">
        <v>159</v>
      </c>
      <c r="Q120" t="s">
        <v>158</v>
      </c>
      <c r="R120" t="s">
        <v>160</v>
      </c>
    </row>
    <row r="121" spans="2:18" x14ac:dyDescent="0.25">
      <c r="B121" t="s">
        <v>182</v>
      </c>
      <c r="C121">
        <v>6</v>
      </c>
      <c r="D121">
        <v>1992</v>
      </c>
      <c r="E121" t="s">
        <v>157</v>
      </c>
      <c r="F121" t="s">
        <v>211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178</v>
      </c>
      <c r="C122">
        <v>4</v>
      </c>
      <c r="D122">
        <v>1992</v>
      </c>
      <c r="E122" t="s">
        <v>157</v>
      </c>
      <c r="F122" t="s">
        <v>211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179</v>
      </c>
      <c r="C123" s="71" t="s">
        <v>198</v>
      </c>
      <c r="D123">
        <v>1992</v>
      </c>
      <c r="E123" t="s">
        <v>157</v>
      </c>
      <c r="F123" t="s">
        <v>211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197</v>
      </c>
      <c r="C124" s="71" t="s">
        <v>185</v>
      </c>
      <c r="D124">
        <v>1992</v>
      </c>
      <c r="E124" t="s">
        <v>157</v>
      </c>
      <c r="F124" t="s">
        <v>211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182</v>
      </c>
      <c r="C125">
        <v>6</v>
      </c>
      <c r="D125">
        <v>1992</v>
      </c>
      <c r="E125" t="s">
        <v>155</v>
      </c>
      <c r="F125" t="s">
        <v>212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178</v>
      </c>
      <c r="C126">
        <v>4</v>
      </c>
      <c r="D126">
        <v>1992</v>
      </c>
      <c r="E126" t="s">
        <v>155</v>
      </c>
      <c r="F126" t="s">
        <v>212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179</v>
      </c>
      <c r="C127" s="71" t="s">
        <v>198</v>
      </c>
      <c r="D127">
        <v>1992</v>
      </c>
      <c r="E127" t="s">
        <v>155</v>
      </c>
      <c r="F127" t="s">
        <v>212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197</v>
      </c>
      <c r="C128" s="71" t="s">
        <v>185</v>
      </c>
      <c r="D128">
        <v>1992</v>
      </c>
      <c r="E128" t="s">
        <v>155</v>
      </c>
      <c r="F128" t="s">
        <v>212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182</v>
      </c>
      <c r="C129">
        <v>6</v>
      </c>
      <c r="D129">
        <v>1999</v>
      </c>
      <c r="E129" t="s">
        <v>157</v>
      </c>
      <c r="F129" t="s">
        <v>211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178</v>
      </c>
      <c r="C130">
        <v>4</v>
      </c>
      <c r="D130">
        <v>1999</v>
      </c>
      <c r="E130" t="s">
        <v>157</v>
      </c>
      <c r="F130" t="s">
        <v>211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179</v>
      </c>
      <c r="C131" s="71" t="s">
        <v>198</v>
      </c>
      <c r="D131">
        <v>1999</v>
      </c>
      <c r="E131" t="s">
        <v>157</v>
      </c>
      <c r="F131" t="s">
        <v>211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197</v>
      </c>
      <c r="C132" s="71" t="s">
        <v>185</v>
      </c>
      <c r="D132">
        <v>1999</v>
      </c>
      <c r="E132" t="s">
        <v>157</v>
      </c>
      <c r="F132" t="s">
        <v>211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182</v>
      </c>
      <c r="C133">
        <v>6</v>
      </c>
      <c r="D133">
        <v>1999</v>
      </c>
      <c r="E133" t="s">
        <v>155</v>
      </c>
      <c r="F133" t="s">
        <v>212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178</v>
      </c>
      <c r="C134">
        <v>4</v>
      </c>
      <c r="D134">
        <v>1999</v>
      </c>
      <c r="E134" t="s">
        <v>155</v>
      </c>
      <c r="F134" t="s">
        <v>212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179</v>
      </c>
      <c r="C135" s="71" t="s">
        <v>198</v>
      </c>
      <c r="D135">
        <v>1999</v>
      </c>
      <c r="E135" t="s">
        <v>155</v>
      </c>
      <c r="F135" t="s">
        <v>212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197</v>
      </c>
      <c r="C136" s="71" t="s">
        <v>185</v>
      </c>
      <c r="D136">
        <v>1999</v>
      </c>
      <c r="E136" t="s">
        <v>155</v>
      </c>
      <c r="F136" t="s">
        <v>212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182</v>
      </c>
      <c r="C137">
        <v>6</v>
      </c>
      <c r="D137">
        <v>1992</v>
      </c>
      <c r="E137" t="s">
        <v>157</v>
      </c>
      <c r="F137" t="s">
        <v>211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178</v>
      </c>
      <c r="C138">
        <v>4</v>
      </c>
      <c r="D138">
        <v>1992</v>
      </c>
      <c r="E138" t="s">
        <v>157</v>
      </c>
      <c r="F138" t="s">
        <v>211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179</v>
      </c>
      <c r="C139" s="71" t="s">
        <v>198</v>
      </c>
      <c r="D139">
        <v>1992</v>
      </c>
      <c r="E139" t="s">
        <v>157</v>
      </c>
      <c r="F139" t="s">
        <v>211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197</v>
      </c>
      <c r="C140" s="71" t="s">
        <v>185</v>
      </c>
      <c r="D140">
        <v>1992</v>
      </c>
      <c r="E140" t="s">
        <v>157</v>
      </c>
      <c r="F140" t="s">
        <v>211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182</v>
      </c>
      <c r="C141">
        <v>6</v>
      </c>
      <c r="D141">
        <v>1992</v>
      </c>
      <c r="E141" t="s">
        <v>155</v>
      </c>
      <c r="F141" t="s">
        <v>212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178</v>
      </c>
      <c r="C142">
        <v>4</v>
      </c>
      <c r="D142">
        <v>1992</v>
      </c>
      <c r="E142" t="s">
        <v>155</v>
      </c>
      <c r="F142" t="s">
        <v>212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179</v>
      </c>
      <c r="C143" s="71" t="s">
        <v>198</v>
      </c>
      <c r="D143">
        <v>1992</v>
      </c>
      <c r="E143" t="s">
        <v>155</v>
      </c>
      <c r="F143" t="s">
        <v>212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197</v>
      </c>
      <c r="C144" s="71" t="s">
        <v>185</v>
      </c>
      <c r="D144">
        <v>1992</v>
      </c>
      <c r="E144" t="s">
        <v>155</v>
      </c>
      <c r="F144" t="s">
        <v>212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182</v>
      </c>
      <c r="C145">
        <v>6</v>
      </c>
      <c r="D145">
        <v>1999</v>
      </c>
      <c r="E145" t="s">
        <v>157</v>
      </c>
      <c r="F145" t="s">
        <v>211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178</v>
      </c>
      <c r="C146">
        <v>4</v>
      </c>
      <c r="D146">
        <v>1999</v>
      </c>
      <c r="E146" t="s">
        <v>157</v>
      </c>
      <c r="F146" t="s">
        <v>211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179</v>
      </c>
      <c r="C147" s="71" t="s">
        <v>198</v>
      </c>
      <c r="D147">
        <v>1999</v>
      </c>
      <c r="E147" t="s">
        <v>157</v>
      </c>
      <c r="F147" t="s">
        <v>211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197</v>
      </c>
      <c r="C148" s="71" t="s">
        <v>185</v>
      </c>
      <c r="D148">
        <v>1999</v>
      </c>
      <c r="E148" t="s">
        <v>157</v>
      </c>
      <c r="F148" t="s">
        <v>211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182</v>
      </c>
      <c r="C149">
        <v>6</v>
      </c>
      <c r="D149">
        <v>1999</v>
      </c>
      <c r="E149" t="s">
        <v>155</v>
      </c>
      <c r="F149" t="s">
        <v>212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178</v>
      </c>
      <c r="C150">
        <v>4</v>
      </c>
      <c r="D150">
        <v>1999</v>
      </c>
      <c r="E150" t="s">
        <v>155</v>
      </c>
      <c r="F150" t="s">
        <v>212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179</v>
      </c>
      <c r="C151" s="71" t="s">
        <v>198</v>
      </c>
      <c r="D151">
        <v>1999</v>
      </c>
      <c r="E151" t="s">
        <v>155</v>
      </c>
      <c r="F151" t="s">
        <v>212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197</v>
      </c>
      <c r="C152" s="71" t="s">
        <v>185</v>
      </c>
      <c r="D152">
        <v>1999</v>
      </c>
      <c r="E152" t="s">
        <v>155</v>
      </c>
      <c r="F152" t="s">
        <v>212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213</v>
      </c>
    </row>
    <row r="157" spans="2:18" x14ac:dyDescent="0.25">
      <c r="C157" t="s">
        <v>214</v>
      </c>
      <c r="D157" t="s">
        <v>217</v>
      </c>
      <c r="E157" t="s">
        <v>215</v>
      </c>
      <c r="H157" s="76" t="s">
        <v>222</v>
      </c>
    </row>
    <row r="158" spans="2:18" x14ac:dyDescent="0.25">
      <c r="B158" t="s">
        <v>195</v>
      </c>
      <c r="C158">
        <v>0</v>
      </c>
      <c r="D158" t="s">
        <v>218</v>
      </c>
      <c r="E158">
        <v>0.26250000000000001</v>
      </c>
      <c r="H158" t="s">
        <v>218</v>
      </c>
    </row>
    <row r="159" spans="2:18" x14ac:dyDescent="0.25">
      <c r="B159" t="s">
        <v>182</v>
      </c>
      <c r="C159">
        <v>6</v>
      </c>
      <c r="D159" t="s">
        <v>218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178</v>
      </c>
      <c r="C160">
        <v>10</v>
      </c>
      <c r="D160" t="s">
        <v>218</v>
      </c>
      <c r="E160">
        <v>0.1125</v>
      </c>
    </row>
    <row r="161" spans="2:10" x14ac:dyDescent="0.25">
      <c r="B161" t="s">
        <v>179</v>
      </c>
      <c r="C161" s="71" t="s">
        <v>202</v>
      </c>
      <c r="D161" t="s">
        <v>218</v>
      </c>
      <c r="E161">
        <v>0.1125</v>
      </c>
    </row>
    <row r="162" spans="2:10" x14ac:dyDescent="0.25">
      <c r="B162" t="s">
        <v>197</v>
      </c>
      <c r="C162" s="71" t="s">
        <v>216</v>
      </c>
      <c r="D162" t="s">
        <v>218</v>
      </c>
      <c r="E162">
        <v>0.26250000000000001</v>
      </c>
    </row>
    <row r="163" spans="2:10" x14ac:dyDescent="0.25">
      <c r="B163" t="s">
        <v>195</v>
      </c>
      <c r="C163">
        <v>0</v>
      </c>
      <c r="D163" t="s">
        <v>219</v>
      </c>
      <c r="E163">
        <v>0.17</v>
      </c>
      <c r="H163" t="s">
        <v>219</v>
      </c>
    </row>
    <row r="164" spans="2:10" x14ac:dyDescent="0.25">
      <c r="B164" t="s">
        <v>182</v>
      </c>
      <c r="C164">
        <v>6</v>
      </c>
      <c r="D164" t="s">
        <v>219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178</v>
      </c>
      <c r="C165">
        <v>10</v>
      </c>
      <c r="D165" t="s">
        <v>219</v>
      </c>
      <c r="E165">
        <v>0.23</v>
      </c>
    </row>
    <row r="166" spans="2:10" x14ac:dyDescent="0.25">
      <c r="B166" t="s">
        <v>179</v>
      </c>
      <c r="C166" s="71" t="s">
        <v>202</v>
      </c>
      <c r="D166" t="s">
        <v>219</v>
      </c>
      <c r="E166">
        <v>0.23</v>
      </c>
    </row>
    <row r="167" spans="2:10" x14ac:dyDescent="0.25">
      <c r="B167" t="s">
        <v>197</v>
      </c>
      <c r="C167" s="71" t="s">
        <v>216</v>
      </c>
      <c r="D167" t="s">
        <v>219</v>
      </c>
      <c r="E167">
        <v>0.17</v>
      </c>
    </row>
    <row r="168" spans="2:10" x14ac:dyDescent="0.25">
      <c r="B168" t="s">
        <v>195</v>
      </c>
      <c r="C168">
        <v>0</v>
      </c>
      <c r="D168" t="s">
        <v>220</v>
      </c>
      <c r="E168">
        <v>0.1925</v>
      </c>
      <c r="H168" t="s">
        <v>220</v>
      </c>
    </row>
    <row r="169" spans="2:10" x14ac:dyDescent="0.25">
      <c r="B169" t="s">
        <v>182</v>
      </c>
      <c r="C169">
        <v>6</v>
      </c>
      <c r="D169" t="s">
        <v>220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178</v>
      </c>
      <c r="C170">
        <v>10</v>
      </c>
      <c r="D170" t="s">
        <v>220</v>
      </c>
      <c r="E170">
        <v>0.16250000000000001</v>
      </c>
    </row>
    <row r="171" spans="2:10" x14ac:dyDescent="0.25">
      <c r="B171" t="s">
        <v>179</v>
      </c>
      <c r="C171" s="71" t="s">
        <v>202</v>
      </c>
      <c r="D171" t="s">
        <v>220</v>
      </c>
      <c r="E171">
        <v>0.16250000000000001</v>
      </c>
    </row>
    <row r="172" spans="2:10" x14ac:dyDescent="0.25">
      <c r="B172" t="s">
        <v>197</v>
      </c>
      <c r="C172" s="71" t="s">
        <v>216</v>
      </c>
      <c r="D172" t="s">
        <v>220</v>
      </c>
      <c r="E172">
        <v>0.1925</v>
      </c>
    </row>
    <row r="173" spans="2:10" x14ac:dyDescent="0.25">
      <c r="B173" t="s">
        <v>195</v>
      </c>
      <c r="C173">
        <v>0</v>
      </c>
      <c r="D173" t="s">
        <v>221</v>
      </c>
      <c r="E173">
        <v>0.12</v>
      </c>
      <c r="H173" t="s">
        <v>221</v>
      </c>
      <c r="J173" s="77"/>
    </row>
    <row r="174" spans="2:10" x14ac:dyDescent="0.25">
      <c r="B174" t="s">
        <v>182</v>
      </c>
      <c r="C174">
        <v>6</v>
      </c>
      <c r="D174" t="s">
        <v>221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178</v>
      </c>
      <c r="C175">
        <v>10</v>
      </c>
      <c r="D175" t="s">
        <v>221</v>
      </c>
      <c r="E175">
        <v>0.26500000000000001</v>
      </c>
    </row>
    <row r="176" spans="2:10" x14ac:dyDescent="0.25">
      <c r="B176" t="s">
        <v>179</v>
      </c>
      <c r="C176" s="71" t="s">
        <v>202</v>
      </c>
      <c r="D176" t="s">
        <v>221</v>
      </c>
      <c r="E176">
        <v>0.26500000000000001</v>
      </c>
    </row>
    <row r="177" spans="1:15" x14ac:dyDescent="0.25">
      <c r="B177" t="s">
        <v>197</v>
      </c>
      <c r="C177" s="71" t="s">
        <v>216</v>
      </c>
      <c r="D177" t="s">
        <v>221</v>
      </c>
      <c r="E177">
        <v>0.12</v>
      </c>
    </row>
    <row r="181" spans="1:15" x14ac:dyDescent="0.25">
      <c r="A181" s="75" t="s">
        <v>224</v>
      </c>
      <c r="C181" t="s">
        <v>228</v>
      </c>
    </row>
    <row r="183" spans="1:15" x14ac:dyDescent="0.25">
      <c r="C183" t="s">
        <v>214</v>
      </c>
      <c r="D183" t="s">
        <v>153</v>
      </c>
      <c r="E183" s="72" t="s">
        <v>158</v>
      </c>
      <c r="G183" t="s">
        <v>159</v>
      </c>
      <c r="H183" t="s">
        <v>161</v>
      </c>
      <c r="I183" t="s">
        <v>227</v>
      </c>
      <c r="M183" t="s">
        <v>159</v>
      </c>
      <c r="N183" t="s">
        <v>158</v>
      </c>
      <c r="O183" t="s">
        <v>160</v>
      </c>
    </row>
    <row r="184" spans="1:15" x14ac:dyDescent="0.25">
      <c r="B184" t="s">
        <v>226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225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178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226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225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178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226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225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178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226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225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178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229</v>
      </c>
    </row>
    <row r="200" spans="2:15" x14ac:dyDescent="0.25">
      <c r="C200" t="s">
        <v>214</v>
      </c>
      <c r="D200" t="s">
        <v>153</v>
      </c>
      <c r="E200" s="72" t="s">
        <v>158</v>
      </c>
      <c r="G200" t="s">
        <v>159</v>
      </c>
      <c r="H200" t="s">
        <v>161</v>
      </c>
      <c r="I200" t="s">
        <v>227</v>
      </c>
      <c r="M200" t="s">
        <v>159</v>
      </c>
      <c r="N200" t="s">
        <v>158</v>
      </c>
      <c r="O200" t="s">
        <v>160</v>
      </c>
    </row>
    <row r="201" spans="2:15" x14ac:dyDescent="0.25">
      <c r="B201" t="s">
        <v>226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225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178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226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225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178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226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225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178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226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225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178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230</v>
      </c>
    </row>
    <row r="217" spans="1:22" x14ac:dyDescent="0.25">
      <c r="C217" t="s">
        <v>206</v>
      </c>
    </row>
    <row r="219" spans="1:22" x14ac:dyDescent="0.25">
      <c r="C219" t="s">
        <v>156</v>
      </c>
      <c r="D219" t="s">
        <v>236</v>
      </c>
      <c r="E219" t="s">
        <v>238</v>
      </c>
      <c r="F219" t="s">
        <v>153</v>
      </c>
      <c r="G219" s="72" t="s">
        <v>158</v>
      </c>
      <c r="I219" t="s">
        <v>159</v>
      </c>
      <c r="J219" t="s">
        <v>161</v>
      </c>
      <c r="K219" t="s">
        <v>240</v>
      </c>
      <c r="O219" t="s">
        <v>159</v>
      </c>
      <c r="P219" t="s">
        <v>158</v>
      </c>
      <c r="Q219" t="s">
        <v>160</v>
      </c>
    </row>
    <row r="220" spans="1:22" x14ac:dyDescent="0.25">
      <c r="B220" t="s">
        <v>231</v>
      </c>
      <c r="C220">
        <v>0</v>
      </c>
      <c r="D220" t="s">
        <v>237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241</v>
      </c>
    </row>
    <row r="221" spans="1:22" x14ac:dyDescent="0.25">
      <c r="B221" t="s">
        <v>37</v>
      </c>
      <c r="C221">
        <v>6</v>
      </c>
      <c r="D221" t="s">
        <v>237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237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232</v>
      </c>
      <c r="C223">
        <v>4</v>
      </c>
      <c r="D223" t="s">
        <v>237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233</v>
      </c>
      <c r="C224">
        <v>5</v>
      </c>
      <c r="D224" t="s">
        <v>237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231</v>
      </c>
      <c r="C225">
        <v>0</v>
      </c>
      <c r="D225" t="s">
        <v>237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237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237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232</v>
      </c>
      <c r="C228">
        <v>4</v>
      </c>
      <c r="D228" t="s">
        <v>237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233</v>
      </c>
      <c r="C229">
        <v>5</v>
      </c>
      <c r="D229" t="s">
        <v>237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231</v>
      </c>
      <c r="C230">
        <v>0</v>
      </c>
      <c r="D230" t="s">
        <v>239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239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239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232</v>
      </c>
      <c r="C233">
        <v>4</v>
      </c>
      <c r="D233" t="s">
        <v>239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233</v>
      </c>
      <c r="C234">
        <v>5</v>
      </c>
      <c r="D234" t="s">
        <v>239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231</v>
      </c>
      <c r="C235">
        <v>0</v>
      </c>
      <c r="D235" t="s">
        <v>239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239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239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232</v>
      </c>
      <c r="C238">
        <v>4</v>
      </c>
      <c r="D238" t="s">
        <v>239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233</v>
      </c>
      <c r="C239">
        <v>5</v>
      </c>
      <c r="D239" t="s">
        <v>239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247</v>
      </c>
    </row>
    <row r="243" spans="1:11" x14ac:dyDescent="0.25">
      <c r="C243" t="s">
        <v>248</v>
      </c>
    </row>
    <row r="245" spans="1:11" x14ac:dyDescent="0.25">
      <c r="D245" t="s">
        <v>250</v>
      </c>
      <c r="E245" t="s">
        <v>251</v>
      </c>
      <c r="F245" t="s">
        <v>252</v>
      </c>
      <c r="G245" t="s">
        <v>253</v>
      </c>
      <c r="H245" t="s">
        <v>254</v>
      </c>
      <c r="J245" t="s">
        <v>255</v>
      </c>
      <c r="K245" t="s">
        <v>256</v>
      </c>
    </row>
    <row r="246" spans="1:11" x14ac:dyDescent="0.25">
      <c r="C246" t="s">
        <v>249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257</v>
      </c>
      <c r="K250">
        <f>SUM(K246:K249)</f>
        <v>7.0203000000000007</v>
      </c>
    </row>
    <row r="253" spans="1:11" x14ac:dyDescent="0.25">
      <c r="A253" s="75" t="s">
        <v>258</v>
      </c>
    </row>
    <row r="255" spans="1:11" x14ac:dyDescent="0.25">
      <c r="C255" t="s">
        <v>259</v>
      </c>
    </row>
    <row r="257" spans="2:19" x14ac:dyDescent="0.25">
      <c r="C257" t="s">
        <v>266</v>
      </c>
      <c r="D257" t="s">
        <v>269</v>
      </c>
      <c r="E257" t="s">
        <v>214</v>
      </c>
      <c r="F257" t="s">
        <v>267</v>
      </c>
      <c r="G257" t="s">
        <v>153</v>
      </c>
      <c r="H257" s="72" t="s">
        <v>158</v>
      </c>
      <c r="J257" t="s">
        <v>159</v>
      </c>
      <c r="K257" t="s">
        <v>161</v>
      </c>
      <c r="L257" t="s">
        <v>268</v>
      </c>
      <c r="M257" t="s">
        <v>227</v>
      </c>
      <c r="Q257" t="s">
        <v>159</v>
      </c>
      <c r="R257" t="s">
        <v>158</v>
      </c>
      <c r="S257" t="s">
        <v>160</v>
      </c>
    </row>
    <row r="258" spans="2:19" x14ac:dyDescent="0.25">
      <c r="B258" t="s">
        <v>260</v>
      </c>
      <c r="C258">
        <v>0</v>
      </c>
      <c r="D258">
        <v>0.7</v>
      </c>
      <c r="E258">
        <f>D258</f>
        <v>0.7</v>
      </c>
      <c r="F258" t="s">
        <v>155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155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261</v>
      </c>
      <c r="C260">
        <v>8</v>
      </c>
      <c r="D260">
        <v>7.9</v>
      </c>
      <c r="E260">
        <f t="shared" ref="E260:E264" si="96">D260-D259</f>
        <v>2.9000000000000004</v>
      </c>
      <c r="F260" t="s">
        <v>155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262</v>
      </c>
      <c r="C261">
        <v>10</v>
      </c>
      <c r="D261">
        <v>9.8000000000000007</v>
      </c>
      <c r="E261">
        <f t="shared" si="96"/>
        <v>1.9000000000000004</v>
      </c>
      <c r="F261" t="s">
        <v>155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263</v>
      </c>
      <c r="C262">
        <v>12</v>
      </c>
      <c r="D262">
        <v>11.7</v>
      </c>
      <c r="E262">
        <f t="shared" si="96"/>
        <v>1.8999999999999986</v>
      </c>
      <c r="F262" t="s">
        <v>155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264</v>
      </c>
      <c r="C263">
        <v>14</v>
      </c>
      <c r="D263">
        <v>13.55</v>
      </c>
      <c r="E263">
        <f t="shared" si="96"/>
        <v>1.8500000000000014</v>
      </c>
      <c r="F263" t="s">
        <v>155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265</v>
      </c>
      <c r="C264">
        <v>16</v>
      </c>
      <c r="D264">
        <v>15.42</v>
      </c>
      <c r="E264">
        <f t="shared" si="96"/>
        <v>1.8699999999999992</v>
      </c>
      <c r="F264" t="s">
        <v>155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260</v>
      </c>
      <c r="C265">
        <v>0</v>
      </c>
      <c r="D265">
        <v>0.7</v>
      </c>
      <c r="E265">
        <f>D265</f>
        <v>0.7</v>
      </c>
      <c r="F265" t="s">
        <v>157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157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261</v>
      </c>
      <c r="C267">
        <v>8</v>
      </c>
      <c r="D267">
        <v>7.9</v>
      </c>
      <c r="E267">
        <f t="shared" ref="E267:E271" si="104">D267-D266</f>
        <v>2.9000000000000004</v>
      </c>
      <c r="F267" t="s">
        <v>157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262</v>
      </c>
      <c r="C268">
        <v>10</v>
      </c>
      <c r="D268">
        <v>9.8000000000000007</v>
      </c>
      <c r="E268">
        <f t="shared" si="104"/>
        <v>1.9000000000000004</v>
      </c>
      <c r="F268" t="s">
        <v>157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263</v>
      </c>
      <c r="C269">
        <v>12</v>
      </c>
      <c r="D269">
        <v>11.7</v>
      </c>
      <c r="E269">
        <f t="shared" si="104"/>
        <v>1.8999999999999986</v>
      </c>
      <c r="F269" t="s">
        <v>157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264</v>
      </c>
      <c r="C270">
        <v>14</v>
      </c>
      <c r="D270">
        <v>13.55</v>
      </c>
      <c r="E270">
        <f t="shared" si="104"/>
        <v>1.8500000000000014</v>
      </c>
      <c r="F270" t="s">
        <v>157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265</v>
      </c>
      <c r="C271">
        <v>16</v>
      </c>
      <c r="D271">
        <v>15.42</v>
      </c>
      <c r="E271">
        <f t="shared" si="104"/>
        <v>1.8699999999999992</v>
      </c>
      <c r="F271" t="s">
        <v>157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270</v>
      </c>
    </row>
    <row r="275" spans="2:19" x14ac:dyDescent="0.25">
      <c r="C275" t="s">
        <v>266</v>
      </c>
      <c r="D275" t="s">
        <v>269</v>
      </c>
      <c r="E275" t="s">
        <v>214</v>
      </c>
      <c r="F275" t="s">
        <v>267</v>
      </c>
      <c r="G275" t="s">
        <v>153</v>
      </c>
      <c r="H275" s="72" t="s">
        <v>158</v>
      </c>
      <c r="J275" t="s">
        <v>159</v>
      </c>
      <c r="K275" t="s">
        <v>161</v>
      </c>
      <c r="L275" t="s">
        <v>268</v>
      </c>
      <c r="M275" t="s">
        <v>227</v>
      </c>
      <c r="Q275" t="s">
        <v>159</v>
      </c>
      <c r="R275" t="s">
        <v>158</v>
      </c>
      <c r="S275" t="s">
        <v>160</v>
      </c>
    </row>
    <row r="276" spans="2:19" x14ac:dyDescent="0.25">
      <c r="B276" t="s">
        <v>260</v>
      </c>
      <c r="C276">
        <v>0</v>
      </c>
      <c r="D276">
        <v>0.7</v>
      </c>
      <c r="E276">
        <f>D276</f>
        <v>0.7</v>
      </c>
      <c r="F276" t="s">
        <v>155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155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261</v>
      </c>
      <c r="C278">
        <v>8</v>
      </c>
      <c r="D278">
        <v>7.9</v>
      </c>
      <c r="E278">
        <f t="shared" ref="E278:E282" si="111">D278-D277</f>
        <v>2.9000000000000004</v>
      </c>
      <c r="F278" t="s">
        <v>155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262</v>
      </c>
      <c r="C279">
        <v>10</v>
      </c>
      <c r="D279">
        <v>9.8000000000000007</v>
      </c>
      <c r="E279">
        <f t="shared" si="111"/>
        <v>1.9000000000000004</v>
      </c>
      <c r="F279" t="s">
        <v>155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263</v>
      </c>
      <c r="C280">
        <v>12</v>
      </c>
      <c r="D280">
        <v>11.7</v>
      </c>
      <c r="E280">
        <f t="shared" si="111"/>
        <v>1.8999999999999986</v>
      </c>
      <c r="F280" t="s">
        <v>155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264</v>
      </c>
      <c r="C281">
        <v>14</v>
      </c>
      <c r="D281">
        <v>13.55</v>
      </c>
      <c r="E281">
        <f t="shared" si="111"/>
        <v>1.8500000000000014</v>
      </c>
      <c r="F281" t="s">
        <v>155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265</v>
      </c>
      <c r="C282">
        <v>16</v>
      </c>
      <c r="D282">
        <v>15.42</v>
      </c>
      <c r="E282">
        <f t="shared" si="111"/>
        <v>1.8699999999999992</v>
      </c>
      <c r="F282" t="s">
        <v>155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260</v>
      </c>
      <c r="C283">
        <v>0</v>
      </c>
      <c r="D283">
        <v>0.7</v>
      </c>
      <c r="E283">
        <f>D283</f>
        <v>0.7</v>
      </c>
      <c r="F283" t="s">
        <v>157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157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261</v>
      </c>
      <c r="C285">
        <v>8</v>
      </c>
      <c r="D285">
        <v>7.9</v>
      </c>
      <c r="E285">
        <f t="shared" ref="E285:E289" si="118">D285-D284</f>
        <v>2.9000000000000004</v>
      </c>
      <c r="F285" t="s">
        <v>157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262</v>
      </c>
      <c r="C286">
        <v>10</v>
      </c>
      <c r="D286">
        <v>9.8000000000000007</v>
      </c>
      <c r="E286">
        <f t="shared" si="118"/>
        <v>1.9000000000000004</v>
      </c>
      <c r="F286" t="s">
        <v>157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263</v>
      </c>
      <c r="C287">
        <v>12</v>
      </c>
      <c r="D287">
        <v>11.7</v>
      </c>
      <c r="E287">
        <f t="shared" si="118"/>
        <v>1.8999999999999986</v>
      </c>
      <c r="F287" t="s">
        <v>157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264</v>
      </c>
      <c r="C288">
        <v>14</v>
      </c>
      <c r="D288">
        <v>13.55</v>
      </c>
      <c r="E288">
        <f t="shared" si="118"/>
        <v>1.8500000000000014</v>
      </c>
      <c r="F288" t="s">
        <v>157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265</v>
      </c>
      <c r="C289">
        <v>16</v>
      </c>
      <c r="D289">
        <v>15.42</v>
      </c>
      <c r="E289">
        <f t="shared" si="118"/>
        <v>1.8699999999999992</v>
      </c>
      <c r="F289" t="s">
        <v>157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274</v>
      </c>
    </row>
    <row r="293" spans="1:19" x14ac:dyDescent="0.25">
      <c r="G293" t="s">
        <v>281</v>
      </c>
    </row>
    <row r="294" spans="1:19" x14ac:dyDescent="0.25">
      <c r="C294" t="s">
        <v>275</v>
      </c>
      <c r="D294" t="s">
        <v>276</v>
      </c>
      <c r="H294" t="s">
        <v>277</v>
      </c>
      <c r="I294" t="s">
        <v>278</v>
      </c>
      <c r="J294" t="s">
        <v>285</v>
      </c>
      <c r="K294" t="s">
        <v>284</v>
      </c>
    </row>
    <row r="295" spans="1:19" x14ac:dyDescent="0.25">
      <c r="C295" t="s">
        <v>279</v>
      </c>
      <c r="D295" t="s">
        <v>277</v>
      </c>
      <c r="E295">
        <v>9065</v>
      </c>
      <c r="G295" t="s">
        <v>195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280</v>
      </c>
      <c r="D296" t="s">
        <v>277</v>
      </c>
      <c r="E296">
        <v>55135</v>
      </c>
      <c r="G296" t="s">
        <v>282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279</v>
      </c>
      <c r="D297" t="s">
        <v>278</v>
      </c>
      <c r="E297">
        <v>3135</v>
      </c>
      <c r="G297" t="s">
        <v>283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280</v>
      </c>
      <c r="D298" t="s">
        <v>278</v>
      </c>
      <c r="E298">
        <v>24826</v>
      </c>
      <c r="G298" t="s">
        <v>197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286</v>
      </c>
    </row>
    <row r="304" spans="1:19" x14ac:dyDescent="0.25">
      <c r="C304" s="76" t="s">
        <v>288</v>
      </c>
    </row>
    <row r="306" spans="3:20" x14ac:dyDescent="0.25">
      <c r="D306" t="s">
        <v>214</v>
      </c>
      <c r="E306" t="s">
        <v>36</v>
      </c>
      <c r="F306" t="s">
        <v>169</v>
      </c>
      <c r="G306" t="s">
        <v>153</v>
      </c>
      <c r="H306" s="72" t="s">
        <v>158</v>
      </c>
      <c r="K306" t="s">
        <v>159</v>
      </c>
      <c r="L306" t="s">
        <v>161</v>
      </c>
      <c r="M306" t="s">
        <v>227</v>
      </c>
      <c r="R306" t="s">
        <v>159</v>
      </c>
      <c r="S306" t="s">
        <v>158</v>
      </c>
      <c r="T306" t="s">
        <v>160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232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232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232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232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232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232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301</v>
      </c>
    </row>
    <row r="329" spans="2:20" x14ac:dyDescent="0.25">
      <c r="B329" s="25"/>
      <c r="C329" s="87" t="s">
        <v>302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306</v>
      </c>
    </row>
    <row r="330" spans="2:20" x14ac:dyDescent="0.25">
      <c r="B330" s="86"/>
      <c r="C330" s="88" t="s">
        <v>303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309</v>
      </c>
      <c r="O330" t="s">
        <v>37</v>
      </c>
      <c r="P330" t="s">
        <v>38</v>
      </c>
      <c r="Q330" t="s">
        <v>39</v>
      </c>
      <c r="S330" t="s">
        <v>307</v>
      </c>
    </row>
    <row r="331" spans="2:20" x14ac:dyDescent="0.25">
      <c r="B331" s="25" t="s">
        <v>173</v>
      </c>
      <c r="C331" s="87" t="s">
        <v>289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298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182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297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296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299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300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295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304</v>
      </c>
      <c r="C339" s="87" t="s">
        <v>305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182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283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197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257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173</v>
      </c>
      <c r="C344" s="87" t="s">
        <v>308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307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316</v>
      </c>
    </row>
    <row r="350" spans="2:20" x14ac:dyDescent="0.25">
      <c r="B350" t="s">
        <v>315</v>
      </c>
      <c r="D350">
        <v>1988</v>
      </c>
      <c r="I350">
        <v>1998</v>
      </c>
      <c r="N350">
        <v>2006</v>
      </c>
    </row>
    <row r="351" spans="2:20" x14ac:dyDescent="0.25">
      <c r="D351" t="s">
        <v>310</v>
      </c>
      <c r="E351" t="s">
        <v>311</v>
      </c>
      <c r="F351" t="s">
        <v>312</v>
      </c>
      <c r="G351" t="s">
        <v>313</v>
      </c>
      <c r="H351" t="s">
        <v>314</v>
      </c>
      <c r="I351" t="s">
        <v>310</v>
      </c>
      <c r="J351" t="s">
        <v>311</v>
      </c>
      <c r="K351" t="s">
        <v>312</v>
      </c>
      <c r="L351" t="s">
        <v>313</v>
      </c>
      <c r="M351" t="s">
        <v>314</v>
      </c>
      <c r="N351" t="s">
        <v>310</v>
      </c>
      <c r="O351" t="s">
        <v>311</v>
      </c>
      <c r="P351" t="s">
        <v>312</v>
      </c>
      <c r="Q351" t="s">
        <v>313</v>
      </c>
      <c r="R351" t="s">
        <v>314</v>
      </c>
    </row>
    <row r="352" spans="2:20" x14ac:dyDescent="0.25">
      <c r="C352" t="s">
        <v>289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319</v>
      </c>
    </row>
    <row r="353" spans="2:21" x14ac:dyDescent="0.25">
      <c r="C353" t="s">
        <v>290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321</v>
      </c>
      <c r="U353" t="s">
        <v>320</v>
      </c>
    </row>
    <row r="354" spans="2:21" x14ac:dyDescent="0.25">
      <c r="C354" t="s">
        <v>182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291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292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293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294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295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317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310</v>
      </c>
      <c r="E363" t="s">
        <v>311</v>
      </c>
      <c r="F363" t="s">
        <v>312</v>
      </c>
      <c r="G363" t="s">
        <v>313</v>
      </c>
      <c r="H363" t="s">
        <v>314</v>
      </c>
      <c r="I363" t="s">
        <v>310</v>
      </c>
      <c r="J363" t="s">
        <v>311</v>
      </c>
      <c r="K363" t="s">
        <v>312</v>
      </c>
      <c r="L363" t="s">
        <v>313</v>
      </c>
      <c r="M363" t="s">
        <v>314</v>
      </c>
      <c r="N363" t="s">
        <v>310</v>
      </c>
      <c r="O363" t="s">
        <v>311</v>
      </c>
      <c r="P363" t="s">
        <v>312</v>
      </c>
      <c r="Q363" t="s">
        <v>313</v>
      </c>
      <c r="R363" t="s">
        <v>314</v>
      </c>
    </row>
    <row r="364" spans="2:21" x14ac:dyDescent="0.25">
      <c r="C364" t="s">
        <v>289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290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182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291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292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293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294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295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318</v>
      </c>
      <c r="D374">
        <v>1988</v>
      </c>
      <c r="I374">
        <v>1994</v>
      </c>
      <c r="N374">
        <v>2002</v>
      </c>
    </row>
    <row r="375" spans="2:18" x14ac:dyDescent="0.25">
      <c r="D375" t="s">
        <v>310</v>
      </c>
      <c r="E375" t="s">
        <v>311</v>
      </c>
      <c r="F375" t="s">
        <v>312</v>
      </c>
      <c r="G375" t="s">
        <v>313</v>
      </c>
      <c r="H375" t="s">
        <v>314</v>
      </c>
      <c r="I375" t="s">
        <v>310</v>
      </c>
      <c r="J375" t="s">
        <v>311</v>
      </c>
      <c r="K375" t="s">
        <v>312</v>
      </c>
      <c r="L375" t="s">
        <v>313</v>
      </c>
      <c r="M375" t="s">
        <v>314</v>
      </c>
      <c r="N375" t="s">
        <v>310</v>
      </c>
      <c r="O375" t="s">
        <v>311</v>
      </c>
      <c r="P375" t="s">
        <v>312</v>
      </c>
      <c r="Q375" t="s">
        <v>313</v>
      </c>
      <c r="R375" t="s">
        <v>314</v>
      </c>
    </row>
    <row r="376" spans="2:18" x14ac:dyDescent="0.25">
      <c r="C376" t="s">
        <v>289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290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182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291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292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293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295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331</v>
      </c>
    </row>
    <row r="387" spans="1:17" x14ac:dyDescent="0.25">
      <c r="D387" t="s">
        <v>214</v>
      </c>
      <c r="E387" t="s">
        <v>326</v>
      </c>
      <c r="F387" t="s">
        <v>153</v>
      </c>
      <c r="G387" s="72" t="s">
        <v>158</v>
      </c>
      <c r="I387" t="s">
        <v>159</v>
      </c>
      <c r="J387" t="s">
        <v>161</v>
      </c>
      <c r="K387" t="s">
        <v>227</v>
      </c>
      <c r="O387" t="s">
        <v>159</v>
      </c>
      <c r="P387" t="s">
        <v>158</v>
      </c>
      <c r="Q387" t="s">
        <v>160</v>
      </c>
    </row>
    <row r="388" spans="1:17" x14ac:dyDescent="0.25">
      <c r="C388" t="s">
        <v>264</v>
      </c>
      <c r="D388">
        <v>4</v>
      </c>
      <c r="E388" t="s">
        <v>327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325</v>
      </c>
      <c r="D389">
        <v>2</v>
      </c>
      <c r="E389" t="s">
        <v>327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264</v>
      </c>
      <c r="D390" s="92">
        <v>4</v>
      </c>
      <c r="E390" s="92" t="s">
        <v>327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325</v>
      </c>
      <c r="D391" s="92">
        <v>2</v>
      </c>
      <c r="E391" s="92" t="s">
        <v>327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264</v>
      </c>
      <c r="D392">
        <v>4</v>
      </c>
      <c r="E392" t="s">
        <v>327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325</v>
      </c>
      <c r="D393">
        <v>2</v>
      </c>
      <c r="E393" t="s">
        <v>327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264</v>
      </c>
      <c r="D394" s="92">
        <v>4</v>
      </c>
      <c r="E394" s="92" t="s">
        <v>327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325</v>
      </c>
      <c r="D395" s="92">
        <v>2</v>
      </c>
      <c r="E395" s="92" t="s">
        <v>327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264</v>
      </c>
      <c r="D396">
        <v>4</v>
      </c>
      <c r="E396" s="92" t="s">
        <v>328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325</v>
      </c>
      <c r="D397">
        <v>2</v>
      </c>
      <c r="E397" s="92" t="s">
        <v>328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264</v>
      </c>
      <c r="D398" s="92">
        <v>4</v>
      </c>
      <c r="E398" s="92" t="s">
        <v>328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325</v>
      </c>
      <c r="D399" s="92">
        <v>2</v>
      </c>
      <c r="E399" s="92" t="s">
        <v>328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264</v>
      </c>
      <c r="D400">
        <v>4</v>
      </c>
      <c r="E400" s="92" t="s">
        <v>329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325</v>
      </c>
      <c r="D401">
        <v>2</v>
      </c>
      <c r="E401" s="92" t="s">
        <v>329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264</v>
      </c>
      <c r="D402" s="92">
        <v>4</v>
      </c>
      <c r="E402" s="92" t="s">
        <v>330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325</v>
      </c>
      <c r="D403" s="92">
        <v>2</v>
      </c>
      <c r="E403" s="92" t="s">
        <v>330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345</v>
      </c>
    </row>
    <row r="407" spans="1:20" x14ac:dyDescent="0.25">
      <c r="A407" s="76"/>
      <c r="C407" s="76" t="s">
        <v>346</v>
      </c>
    </row>
    <row r="408" spans="1:20" x14ac:dyDescent="0.25">
      <c r="D408" t="s">
        <v>214</v>
      </c>
      <c r="E408" t="s">
        <v>347</v>
      </c>
    </row>
    <row r="409" spans="1:20" x14ac:dyDescent="0.25">
      <c r="C409" t="s">
        <v>348</v>
      </c>
      <c r="D409">
        <v>0</v>
      </c>
      <c r="E409">
        <v>0</v>
      </c>
    </row>
    <row r="410" spans="1:20" x14ac:dyDescent="0.25">
      <c r="C410" s="92" t="s">
        <v>182</v>
      </c>
      <c r="D410">
        <v>6</v>
      </c>
      <c r="E410">
        <v>6</v>
      </c>
    </row>
    <row r="411" spans="1:20" x14ac:dyDescent="0.25">
      <c r="C411" t="s">
        <v>349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350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351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352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353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354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214</v>
      </c>
      <c r="E418" t="s">
        <v>347</v>
      </c>
      <c r="F418" t="s">
        <v>358</v>
      </c>
      <c r="G418" t="s">
        <v>153</v>
      </c>
      <c r="H418" t="s">
        <v>158</v>
      </c>
      <c r="J418" t="s">
        <v>159</v>
      </c>
      <c r="K418" t="s">
        <v>161</v>
      </c>
      <c r="L418" t="s">
        <v>227</v>
      </c>
      <c r="P418" t="s">
        <v>159</v>
      </c>
      <c r="Q418" t="s">
        <v>158</v>
      </c>
      <c r="R418" t="s">
        <v>160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192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355</v>
      </c>
      <c r="D420">
        <v>3</v>
      </c>
      <c r="E420">
        <v>9</v>
      </c>
      <c r="F420" s="70" t="s">
        <v>192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356</v>
      </c>
      <c r="D421">
        <v>3</v>
      </c>
      <c r="E421">
        <v>12</v>
      </c>
      <c r="F421" s="70" t="s">
        <v>192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357</v>
      </c>
      <c r="D422">
        <v>3</v>
      </c>
      <c r="E422">
        <v>12</v>
      </c>
      <c r="F422" s="70" t="s">
        <v>192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192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359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355</v>
      </c>
      <c r="D425">
        <v>3</v>
      </c>
      <c r="E425">
        <v>9</v>
      </c>
      <c r="F425" s="70" t="s">
        <v>359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356</v>
      </c>
      <c r="D426">
        <v>3</v>
      </c>
      <c r="E426">
        <v>12</v>
      </c>
      <c r="F426" s="70" t="s">
        <v>359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357</v>
      </c>
      <c r="D427">
        <v>3</v>
      </c>
      <c r="E427">
        <v>12</v>
      </c>
      <c r="F427" s="70" t="s">
        <v>359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359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478</v>
      </c>
    </row>
    <row r="432" spans="1:20" x14ac:dyDescent="0.25">
      <c r="C432" s="70" t="s">
        <v>228</v>
      </c>
    </row>
    <row r="433" spans="3:18" x14ac:dyDescent="0.25">
      <c r="C433" s="70"/>
      <c r="F433" t="s">
        <v>276</v>
      </c>
      <c r="G433" t="s">
        <v>153</v>
      </c>
      <c r="H433" t="s">
        <v>158</v>
      </c>
      <c r="J433" t="s">
        <v>159</v>
      </c>
      <c r="K433" t="s">
        <v>161</v>
      </c>
      <c r="L433" t="s">
        <v>227</v>
      </c>
      <c r="P433" t="s">
        <v>159</v>
      </c>
      <c r="Q433" t="s">
        <v>158</v>
      </c>
      <c r="R433" t="s">
        <v>160</v>
      </c>
    </row>
    <row r="434" spans="3:18" x14ac:dyDescent="0.25">
      <c r="C434" s="70" t="s">
        <v>479</v>
      </c>
      <c r="D434">
        <v>3</v>
      </c>
      <c r="E434">
        <v>3</v>
      </c>
      <c r="F434" t="s">
        <v>277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479</v>
      </c>
      <c r="D435">
        <v>3</v>
      </c>
      <c r="E435">
        <v>3</v>
      </c>
      <c r="F435" t="s">
        <v>278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479</v>
      </c>
      <c r="D436">
        <v>3</v>
      </c>
      <c r="E436">
        <v>3</v>
      </c>
      <c r="F436" t="s">
        <v>277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479</v>
      </c>
      <c r="D437">
        <v>3</v>
      </c>
      <c r="E437">
        <v>3</v>
      </c>
      <c r="F437" t="s">
        <v>278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479</v>
      </c>
      <c r="D438">
        <v>3</v>
      </c>
      <c r="E438">
        <v>3</v>
      </c>
      <c r="F438" t="s">
        <v>277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479</v>
      </c>
      <c r="D439">
        <v>3</v>
      </c>
      <c r="E439">
        <v>3</v>
      </c>
      <c r="F439" t="s">
        <v>278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479</v>
      </c>
      <c r="D440">
        <v>3</v>
      </c>
      <c r="E440">
        <v>3</v>
      </c>
      <c r="F440" t="s">
        <v>277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479</v>
      </c>
      <c r="D441">
        <v>3</v>
      </c>
      <c r="E441">
        <v>3</v>
      </c>
      <c r="F441" t="s">
        <v>278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479</v>
      </c>
      <c r="D442">
        <v>3</v>
      </c>
      <c r="E442">
        <v>3</v>
      </c>
      <c r="F442" t="s">
        <v>277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479</v>
      </c>
      <c r="D443">
        <v>3</v>
      </c>
      <c r="E443">
        <v>3</v>
      </c>
      <c r="F443" t="s">
        <v>278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479</v>
      </c>
      <c r="D444">
        <v>3</v>
      </c>
      <c r="E444">
        <v>3</v>
      </c>
      <c r="F444" t="s">
        <v>277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479</v>
      </c>
      <c r="D445">
        <v>3</v>
      </c>
      <c r="E445">
        <v>3</v>
      </c>
      <c r="F445" t="s">
        <v>278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479</v>
      </c>
      <c r="D446">
        <v>3</v>
      </c>
      <c r="E446">
        <v>3</v>
      </c>
      <c r="F446" t="s">
        <v>277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479</v>
      </c>
      <c r="D447">
        <v>3</v>
      </c>
      <c r="E447">
        <v>3</v>
      </c>
      <c r="F447" t="s">
        <v>278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479</v>
      </c>
      <c r="D448">
        <v>3</v>
      </c>
      <c r="E448">
        <v>3</v>
      </c>
      <c r="F448" t="s">
        <v>277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479</v>
      </c>
      <c r="D449">
        <v>3</v>
      </c>
      <c r="E449">
        <v>3</v>
      </c>
      <c r="F449" t="s">
        <v>278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479</v>
      </c>
      <c r="D450">
        <v>3</v>
      </c>
      <c r="E450">
        <v>3</v>
      </c>
      <c r="F450" t="s">
        <v>277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479</v>
      </c>
      <c r="D451">
        <v>3</v>
      </c>
      <c r="E451">
        <v>3</v>
      </c>
      <c r="F451" t="s">
        <v>278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479</v>
      </c>
      <c r="D452">
        <v>3</v>
      </c>
      <c r="E452">
        <v>3</v>
      </c>
      <c r="F452" t="s">
        <v>277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479</v>
      </c>
      <c r="D453">
        <v>3</v>
      </c>
      <c r="E453">
        <v>3</v>
      </c>
      <c r="F453" t="s">
        <v>278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479</v>
      </c>
      <c r="D454">
        <v>3</v>
      </c>
      <c r="E454">
        <v>3</v>
      </c>
      <c r="F454" t="s">
        <v>277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479</v>
      </c>
      <c r="D455">
        <v>3</v>
      </c>
      <c r="E455">
        <v>3</v>
      </c>
      <c r="F455" t="s">
        <v>278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479</v>
      </c>
      <c r="D456">
        <v>3</v>
      </c>
      <c r="E456">
        <v>3</v>
      </c>
      <c r="F456" t="s">
        <v>277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479</v>
      </c>
      <c r="D457">
        <v>3</v>
      </c>
      <c r="E457">
        <v>3</v>
      </c>
      <c r="F457" t="s">
        <v>278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490</v>
      </c>
      <c r="C460" s="70"/>
    </row>
    <row r="461" spans="1:19" x14ac:dyDescent="0.25">
      <c r="C461" s="70"/>
      <c r="D461" t="s">
        <v>214</v>
      </c>
      <c r="E461" t="s">
        <v>495</v>
      </c>
      <c r="F461" t="s">
        <v>496</v>
      </c>
      <c r="G461" t="s">
        <v>276</v>
      </c>
      <c r="H461" t="s">
        <v>153</v>
      </c>
      <c r="I461" t="s">
        <v>227</v>
      </c>
      <c r="K461" t="s">
        <v>159</v>
      </c>
      <c r="L461" t="s">
        <v>161</v>
      </c>
      <c r="M461" t="s">
        <v>158</v>
      </c>
      <c r="Q461" t="s">
        <v>159</v>
      </c>
      <c r="R461" t="s">
        <v>158</v>
      </c>
      <c r="S461" t="s">
        <v>227</v>
      </c>
    </row>
    <row r="462" spans="1:19" x14ac:dyDescent="0.25">
      <c r="C462" s="70" t="s">
        <v>492</v>
      </c>
      <c r="D462">
        <v>7</v>
      </c>
      <c r="E462">
        <v>7</v>
      </c>
      <c r="F462" t="s">
        <v>497</v>
      </c>
      <c r="G462" t="s">
        <v>277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493</v>
      </c>
      <c r="D463">
        <v>4</v>
      </c>
      <c r="E463">
        <v>11</v>
      </c>
      <c r="F463" t="s">
        <v>497</v>
      </c>
      <c r="G463" t="s">
        <v>277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494</v>
      </c>
      <c r="D464">
        <v>3</v>
      </c>
      <c r="E464">
        <v>14</v>
      </c>
      <c r="F464" t="s">
        <v>497</v>
      </c>
      <c r="G464" t="s">
        <v>277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492</v>
      </c>
      <c r="D465">
        <v>7</v>
      </c>
      <c r="E465">
        <v>7</v>
      </c>
      <c r="F465" t="s">
        <v>498</v>
      </c>
      <c r="G465" t="s">
        <v>277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493</v>
      </c>
      <c r="D466">
        <v>4</v>
      </c>
      <c r="E466">
        <v>11</v>
      </c>
      <c r="F466" t="s">
        <v>498</v>
      </c>
      <c r="G466" t="s">
        <v>277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494</v>
      </c>
      <c r="D467">
        <v>3</v>
      </c>
      <c r="E467">
        <v>14</v>
      </c>
      <c r="F467" t="s">
        <v>498</v>
      </c>
      <c r="G467" t="s">
        <v>277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492</v>
      </c>
      <c r="D468">
        <v>7</v>
      </c>
      <c r="E468">
        <v>7</v>
      </c>
      <c r="F468" t="s">
        <v>499</v>
      </c>
      <c r="G468" t="s">
        <v>277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493</v>
      </c>
      <c r="D469">
        <v>4</v>
      </c>
      <c r="E469">
        <v>11</v>
      </c>
      <c r="F469" t="s">
        <v>499</v>
      </c>
      <c r="G469" t="s">
        <v>277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494</v>
      </c>
      <c r="D470">
        <v>3</v>
      </c>
      <c r="E470">
        <v>14</v>
      </c>
      <c r="F470" t="s">
        <v>499</v>
      </c>
      <c r="G470" t="s">
        <v>277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492</v>
      </c>
      <c r="D471">
        <v>7</v>
      </c>
      <c r="E471">
        <v>7</v>
      </c>
      <c r="F471" t="s">
        <v>497</v>
      </c>
      <c r="G471" t="s">
        <v>278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493</v>
      </c>
      <c r="D472">
        <v>4</v>
      </c>
      <c r="E472">
        <v>11</v>
      </c>
      <c r="F472" t="s">
        <v>497</v>
      </c>
      <c r="G472" t="s">
        <v>278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494</v>
      </c>
      <c r="D473">
        <v>3</v>
      </c>
      <c r="E473">
        <v>14</v>
      </c>
      <c r="F473" t="s">
        <v>497</v>
      </c>
      <c r="G473" t="s">
        <v>278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492</v>
      </c>
      <c r="D474">
        <v>7</v>
      </c>
      <c r="E474">
        <v>7</v>
      </c>
      <c r="F474" t="s">
        <v>498</v>
      </c>
      <c r="G474" t="s">
        <v>278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493</v>
      </c>
      <c r="D475">
        <v>4</v>
      </c>
      <c r="E475">
        <v>11</v>
      </c>
      <c r="F475" t="s">
        <v>498</v>
      </c>
      <c r="G475" t="s">
        <v>278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494</v>
      </c>
      <c r="D476">
        <v>3</v>
      </c>
      <c r="E476">
        <v>14</v>
      </c>
      <c r="F476" t="s">
        <v>498</v>
      </c>
      <c r="G476" t="s">
        <v>278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492</v>
      </c>
      <c r="D477">
        <v>7</v>
      </c>
      <c r="E477">
        <v>7</v>
      </c>
      <c r="F477" t="s">
        <v>499</v>
      </c>
      <c r="G477" t="s">
        <v>278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493</v>
      </c>
      <c r="D478">
        <v>4</v>
      </c>
      <c r="E478">
        <v>11</v>
      </c>
      <c r="F478" t="s">
        <v>499</v>
      </c>
      <c r="G478" t="s">
        <v>278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494</v>
      </c>
      <c r="D479">
        <v>3</v>
      </c>
      <c r="E479">
        <v>14</v>
      </c>
      <c r="F479" t="s">
        <v>499</v>
      </c>
      <c r="G479" t="s">
        <v>278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6" x14ac:dyDescent="0.25">
      <c r="A482" s="75" t="s">
        <v>500</v>
      </c>
      <c r="C482" t="s">
        <v>502</v>
      </c>
      <c r="D482" t="s">
        <v>503</v>
      </c>
      <c r="E482" t="s">
        <v>504</v>
      </c>
      <c r="F482" t="s">
        <v>505</v>
      </c>
      <c r="G482" t="s">
        <v>227</v>
      </c>
      <c r="H482" t="s">
        <v>153</v>
      </c>
      <c r="I482" t="s">
        <v>158</v>
      </c>
      <c r="K482" t="s">
        <v>159</v>
      </c>
      <c r="L482" t="s">
        <v>158</v>
      </c>
      <c r="M482" t="s">
        <v>227</v>
      </c>
    </row>
    <row r="483" spans="1:16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6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6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6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6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6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  <row r="492" spans="1:16" x14ac:dyDescent="0.25">
      <c r="A492" s="75" t="s">
        <v>519</v>
      </c>
    </row>
    <row r="494" spans="1:16" x14ac:dyDescent="0.25">
      <c r="C494" t="s">
        <v>214</v>
      </c>
      <c r="D494" t="s">
        <v>358</v>
      </c>
      <c r="E494" t="s">
        <v>153</v>
      </c>
      <c r="F494" t="s">
        <v>158</v>
      </c>
      <c r="H494" t="s">
        <v>159</v>
      </c>
      <c r="I494" t="s">
        <v>161</v>
      </c>
      <c r="J494" t="s">
        <v>227</v>
      </c>
      <c r="N494" t="s">
        <v>159</v>
      </c>
      <c r="O494" t="s">
        <v>158</v>
      </c>
      <c r="P494" t="s">
        <v>160</v>
      </c>
    </row>
    <row r="495" spans="1:16" x14ac:dyDescent="0.25">
      <c r="B495" s="83" t="s">
        <v>521</v>
      </c>
      <c r="C495">
        <v>12</v>
      </c>
      <c r="D495" s="70" t="s">
        <v>192</v>
      </c>
      <c r="E495" s="70">
        <v>0.20699999999999999</v>
      </c>
      <c r="F495" s="70">
        <v>1.7999999999999999E-2</v>
      </c>
      <c r="G495" s="70"/>
      <c r="H495" s="83">
        <f>(EXP(E495)-1)/C495</f>
        <v>1.9165214315062722E-2</v>
      </c>
      <c r="I495">
        <f t="shared" ref="I495:I497" si="224">H495*100</f>
        <v>1.9165214315062722</v>
      </c>
      <c r="J495">
        <f>E495/F495</f>
        <v>11.5</v>
      </c>
      <c r="N495" s="73">
        <f>I495</f>
        <v>1.9165214315062722</v>
      </c>
      <c r="O495" s="73">
        <f t="shared" ref="O495:O497" si="225">N495/P495</f>
        <v>0.16665403752228453</v>
      </c>
      <c r="P495" s="73">
        <f t="shared" ref="P495:P497" si="226">J495</f>
        <v>11.5</v>
      </c>
    </row>
    <row r="496" spans="1:16" x14ac:dyDescent="0.25">
      <c r="B496" s="83" t="s">
        <v>520</v>
      </c>
      <c r="C496">
        <v>14</v>
      </c>
      <c r="D496" s="70" t="s">
        <v>192</v>
      </c>
      <c r="E496">
        <v>9.4E-2</v>
      </c>
      <c r="F496">
        <v>1.6E-2</v>
      </c>
      <c r="H496" s="83">
        <f t="shared" ref="H496:H498" si="227">(EXP(E496)-1)/C496</f>
        <v>7.0399818512266888E-3</v>
      </c>
      <c r="I496">
        <f t="shared" si="224"/>
        <v>0.70399818512266887</v>
      </c>
      <c r="J496">
        <f>E496/F496</f>
        <v>5.875</v>
      </c>
      <c r="N496" s="73">
        <f>I496</f>
        <v>0.70399818512266887</v>
      </c>
      <c r="O496" s="73">
        <f t="shared" si="225"/>
        <v>0.11982947831875215</v>
      </c>
      <c r="P496" s="73">
        <f t="shared" si="226"/>
        <v>5.875</v>
      </c>
    </row>
    <row r="497" spans="1:16" x14ac:dyDescent="0.25">
      <c r="B497" s="83" t="s">
        <v>39</v>
      </c>
      <c r="C497">
        <v>16</v>
      </c>
      <c r="D497" s="70" t="s">
        <v>192</v>
      </c>
      <c r="E497">
        <v>0.29799999999999999</v>
      </c>
      <c r="F497">
        <v>1.6E-2</v>
      </c>
      <c r="H497" s="83">
        <f t="shared" si="227"/>
        <v>2.1697611742472131E-2</v>
      </c>
      <c r="I497">
        <f t="shared" si="224"/>
        <v>2.1697611742472129</v>
      </c>
      <c r="J497">
        <f t="shared" ref="J497:J499" si="228">E497/F497</f>
        <v>18.625</v>
      </c>
      <c r="N497" s="73">
        <f t="shared" ref="N497:N499" si="229">I497</f>
        <v>2.1697611742472129</v>
      </c>
      <c r="O497" s="73">
        <f t="shared" si="225"/>
        <v>0.11649724425488392</v>
      </c>
      <c r="P497" s="73">
        <f t="shared" si="226"/>
        <v>18.625</v>
      </c>
    </row>
    <row r="498" spans="1:16" x14ac:dyDescent="0.25">
      <c r="B498" s="83" t="s">
        <v>521</v>
      </c>
      <c r="C498">
        <v>12</v>
      </c>
      <c r="D498" s="70" t="s">
        <v>522</v>
      </c>
      <c r="E498">
        <v>0.16600000000000001</v>
      </c>
      <c r="F498">
        <v>1.7999999999999999E-2</v>
      </c>
      <c r="H498" s="83">
        <f t="shared" si="227"/>
        <v>1.5047758476939677E-2</v>
      </c>
      <c r="I498">
        <f t="shared" ref="I498:I509" si="230">H498*100</f>
        <v>1.5047758476939677</v>
      </c>
      <c r="J498">
        <f t="shared" si="228"/>
        <v>9.2222222222222232</v>
      </c>
      <c r="N498" s="73">
        <f t="shared" si="229"/>
        <v>1.5047758476939677</v>
      </c>
      <c r="O498" s="73">
        <f t="shared" ref="O498:O509" si="231">N498/P498</f>
        <v>0.16316846541259888</v>
      </c>
      <c r="P498" s="73">
        <f t="shared" ref="P498:P509" si="232">J498</f>
        <v>9.2222222222222232</v>
      </c>
    </row>
    <row r="499" spans="1:16" x14ac:dyDescent="0.25">
      <c r="B499" s="83" t="s">
        <v>520</v>
      </c>
      <c r="C499">
        <v>14</v>
      </c>
      <c r="D499" s="70" t="s">
        <v>522</v>
      </c>
      <c r="E499">
        <v>7.6999999999999999E-2</v>
      </c>
      <c r="F499">
        <v>1.6E-2</v>
      </c>
      <c r="H499" s="83">
        <f t="shared" ref="H499:H509" si="233">(EXP(E499)-1)/C499</f>
        <v>5.7172911709000296E-3</v>
      </c>
      <c r="I499">
        <f t="shared" si="230"/>
        <v>0.57172911709000296</v>
      </c>
      <c r="J499">
        <f t="shared" si="228"/>
        <v>4.8125</v>
      </c>
      <c r="N499" s="73">
        <f t="shared" si="229"/>
        <v>0.57172911709000296</v>
      </c>
      <c r="O499" s="73">
        <f t="shared" si="231"/>
        <v>0.1188008554992214</v>
      </c>
      <c r="P499" s="73">
        <f t="shared" si="232"/>
        <v>4.8125</v>
      </c>
    </row>
    <row r="500" spans="1:16" x14ac:dyDescent="0.25">
      <c r="B500" s="83" t="s">
        <v>39</v>
      </c>
      <c r="C500">
        <v>16</v>
      </c>
      <c r="D500" s="70" t="s">
        <v>522</v>
      </c>
      <c r="E500">
        <v>0.249</v>
      </c>
      <c r="F500">
        <v>1.6E-2</v>
      </c>
      <c r="H500" s="83">
        <f t="shared" si="233"/>
        <v>1.7671377066863211E-2</v>
      </c>
      <c r="I500">
        <f t="shared" si="230"/>
        <v>1.7671377066863212</v>
      </c>
      <c r="J500">
        <f t="shared" ref="J500:J509" si="234">E500/F500</f>
        <v>15.5625</v>
      </c>
      <c r="N500" s="73">
        <f t="shared" ref="N500:N509" si="235">I500</f>
        <v>1.7671377066863212</v>
      </c>
      <c r="O500" s="73">
        <f t="shared" si="231"/>
        <v>0.113551017297113</v>
      </c>
      <c r="P500" s="73">
        <f t="shared" si="232"/>
        <v>15.5625</v>
      </c>
    </row>
    <row r="501" spans="1:16" x14ac:dyDescent="0.25">
      <c r="B501" s="83" t="s">
        <v>521</v>
      </c>
      <c r="C501">
        <v>12</v>
      </c>
      <c r="D501" s="70" t="s">
        <v>523</v>
      </c>
      <c r="E501">
        <v>0.315</v>
      </c>
      <c r="F501">
        <v>5.2999999999999999E-2</v>
      </c>
      <c r="H501" s="83">
        <f t="shared" si="233"/>
        <v>3.0854942579749727E-2</v>
      </c>
      <c r="I501">
        <f t="shared" si="230"/>
        <v>3.0854942579749727</v>
      </c>
      <c r="J501">
        <f t="shared" si="234"/>
        <v>5.9433962264150946</v>
      </c>
      <c r="N501" s="73">
        <f t="shared" si="235"/>
        <v>3.0854942579749727</v>
      </c>
      <c r="O501" s="73">
        <f t="shared" si="231"/>
        <v>0.51914665292912232</v>
      </c>
      <c r="P501" s="73">
        <f t="shared" si="232"/>
        <v>5.9433962264150946</v>
      </c>
    </row>
    <row r="502" spans="1:16" x14ac:dyDescent="0.25">
      <c r="B502" s="83" t="s">
        <v>520</v>
      </c>
      <c r="C502">
        <v>14</v>
      </c>
      <c r="D502" s="70" t="s">
        <v>523</v>
      </c>
      <c r="E502">
        <v>0.17</v>
      </c>
      <c r="F502">
        <v>3.5000000000000003E-2</v>
      </c>
      <c r="H502" s="83">
        <f t="shared" si="233"/>
        <v>1.3236060808597532E-2</v>
      </c>
      <c r="I502">
        <f t="shared" si="230"/>
        <v>1.3236060808597532</v>
      </c>
      <c r="J502">
        <f t="shared" si="234"/>
        <v>4.8571428571428568</v>
      </c>
      <c r="N502" s="73">
        <f t="shared" si="235"/>
        <v>1.3236060808597532</v>
      </c>
      <c r="O502" s="73">
        <f t="shared" si="231"/>
        <v>0.27250713429465506</v>
      </c>
      <c r="P502" s="73">
        <f t="shared" si="232"/>
        <v>4.8571428571428568</v>
      </c>
    </row>
    <row r="503" spans="1:16" x14ac:dyDescent="0.25">
      <c r="B503" s="83" t="s">
        <v>39</v>
      </c>
      <c r="C503">
        <v>16</v>
      </c>
      <c r="D503" s="70" t="s">
        <v>523</v>
      </c>
      <c r="E503">
        <v>0.39300000000000002</v>
      </c>
      <c r="F503">
        <v>2.9000000000000001E-2</v>
      </c>
      <c r="H503" s="83">
        <f t="shared" si="233"/>
        <v>3.0088649333079018E-2</v>
      </c>
      <c r="I503">
        <f t="shared" si="230"/>
        <v>3.0088649333079016</v>
      </c>
      <c r="J503">
        <f t="shared" si="234"/>
        <v>13.551724137931034</v>
      </c>
      <c r="N503" s="73">
        <f t="shared" si="235"/>
        <v>3.0088649333079016</v>
      </c>
      <c r="O503" s="73">
        <f t="shared" si="231"/>
        <v>0.22202820118557035</v>
      </c>
      <c r="P503" s="73">
        <f t="shared" si="232"/>
        <v>13.551724137931034</v>
      </c>
    </row>
    <row r="504" spans="1:16" x14ac:dyDescent="0.25">
      <c r="B504" s="83" t="s">
        <v>521</v>
      </c>
      <c r="C504">
        <v>12</v>
      </c>
      <c r="D504" s="70" t="s">
        <v>524</v>
      </c>
      <c r="E504">
        <v>0.28899999999999998</v>
      </c>
      <c r="F504">
        <v>0.01</v>
      </c>
      <c r="H504" s="83">
        <f t="shared" si="233"/>
        <v>2.7924310710709038E-2</v>
      </c>
      <c r="I504">
        <f t="shared" si="230"/>
        <v>2.7924310710709039</v>
      </c>
      <c r="J504">
        <f t="shared" si="234"/>
        <v>28.9</v>
      </c>
      <c r="N504" s="73">
        <f t="shared" si="235"/>
        <v>2.7924310710709039</v>
      </c>
      <c r="O504" s="73">
        <f t="shared" si="231"/>
        <v>9.6623912493802908E-2</v>
      </c>
      <c r="P504" s="73">
        <f t="shared" si="232"/>
        <v>28.9</v>
      </c>
    </row>
    <row r="505" spans="1:16" x14ac:dyDescent="0.25">
      <c r="B505" s="83" t="s">
        <v>520</v>
      </c>
      <c r="C505">
        <v>14</v>
      </c>
      <c r="D505" s="70" t="s">
        <v>524</v>
      </c>
      <c r="E505">
        <v>0.16600000000000001</v>
      </c>
      <c r="F505">
        <v>6.8000000000000005E-2</v>
      </c>
      <c r="H505" s="83">
        <f t="shared" si="233"/>
        <v>1.2898078694519723E-2</v>
      </c>
      <c r="I505">
        <f t="shared" si="230"/>
        <v>1.2898078694519723</v>
      </c>
      <c r="J505">
        <f t="shared" si="234"/>
        <v>2.4411764705882351</v>
      </c>
      <c r="N505" s="73">
        <f t="shared" si="235"/>
        <v>1.2898078694519723</v>
      </c>
      <c r="O505" s="73">
        <f t="shared" si="231"/>
        <v>0.52835503085984414</v>
      </c>
      <c r="P505" s="73">
        <f t="shared" si="232"/>
        <v>2.4411764705882351</v>
      </c>
    </row>
    <row r="506" spans="1:16" x14ac:dyDescent="0.25">
      <c r="B506" s="83" t="s">
        <v>39</v>
      </c>
      <c r="C506">
        <v>16</v>
      </c>
      <c r="D506" s="70" t="s">
        <v>524</v>
      </c>
      <c r="E506">
        <v>0.373</v>
      </c>
      <c r="F506">
        <v>6.3E-2</v>
      </c>
      <c r="H506" s="83">
        <f t="shared" si="233"/>
        <v>2.8255271239548449E-2</v>
      </c>
      <c r="I506">
        <f t="shared" si="230"/>
        <v>2.8255271239548447</v>
      </c>
      <c r="J506">
        <f t="shared" si="234"/>
        <v>5.9206349206349209</v>
      </c>
      <c r="N506" s="73">
        <f t="shared" si="235"/>
        <v>2.8255271239548447</v>
      </c>
      <c r="O506" s="73">
        <f t="shared" si="231"/>
        <v>0.47723380377789598</v>
      </c>
      <c r="P506" s="73">
        <f t="shared" si="232"/>
        <v>5.9206349206349209</v>
      </c>
    </row>
    <row r="507" spans="1:16" x14ac:dyDescent="0.25">
      <c r="B507" s="83" t="s">
        <v>521</v>
      </c>
      <c r="C507">
        <v>12</v>
      </c>
      <c r="D507" s="70" t="s">
        <v>525</v>
      </c>
      <c r="E507">
        <v>0.221</v>
      </c>
      <c r="F507">
        <v>0.01</v>
      </c>
      <c r="H507" s="83">
        <f t="shared" si="233"/>
        <v>2.0610285880338735E-2</v>
      </c>
      <c r="I507">
        <f t="shared" si="230"/>
        <v>2.0610285880338735</v>
      </c>
      <c r="J507">
        <f t="shared" si="234"/>
        <v>22.1</v>
      </c>
      <c r="N507" s="73">
        <f t="shared" si="235"/>
        <v>2.0610285880338735</v>
      </c>
      <c r="O507" s="73">
        <f t="shared" si="231"/>
        <v>9.325921212822956E-2</v>
      </c>
      <c r="P507" s="73">
        <f t="shared" si="232"/>
        <v>22.1</v>
      </c>
    </row>
    <row r="508" spans="1:16" x14ac:dyDescent="0.25">
      <c r="B508" s="83" t="s">
        <v>520</v>
      </c>
      <c r="C508">
        <v>14</v>
      </c>
      <c r="D508" s="70" t="s">
        <v>525</v>
      </c>
      <c r="E508">
        <v>0.155</v>
      </c>
      <c r="F508">
        <v>0.13700000000000001</v>
      </c>
      <c r="H508" s="83">
        <f t="shared" si="233"/>
        <v>1.1975568650366071E-2</v>
      </c>
      <c r="I508">
        <f t="shared" si="230"/>
        <v>1.1975568650366071</v>
      </c>
      <c r="J508">
        <f t="shared" si="234"/>
        <v>1.1313868613138685</v>
      </c>
      <c r="N508" s="73">
        <f t="shared" si="235"/>
        <v>1.1975568650366071</v>
      </c>
      <c r="O508" s="73">
        <f t="shared" si="231"/>
        <v>1.0584857452259044</v>
      </c>
      <c r="P508" s="73">
        <f t="shared" si="232"/>
        <v>1.1313868613138685</v>
      </c>
    </row>
    <row r="509" spans="1:16" x14ac:dyDescent="0.25">
      <c r="B509" s="83" t="s">
        <v>39</v>
      </c>
      <c r="C509">
        <v>16</v>
      </c>
      <c r="D509" s="70" t="s">
        <v>525</v>
      </c>
      <c r="E509">
        <v>0.33100000000000002</v>
      </c>
      <c r="F509">
        <v>0.153</v>
      </c>
      <c r="H509" s="83">
        <f t="shared" si="233"/>
        <v>2.4522487019262143E-2</v>
      </c>
      <c r="I509">
        <f t="shared" si="230"/>
        <v>2.4522487019262145</v>
      </c>
      <c r="J509">
        <f t="shared" si="234"/>
        <v>2.1633986928104578</v>
      </c>
      <c r="N509" s="73">
        <f t="shared" si="235"/>
        <v>2.4522487019262145</v>
      </c>
      <c r="O509" s="73">
        <f t="shared" si="231"/>
        <v>1.1335167715852288</v>
      </c>
      <c r="P509" s="73">
        <f t="shared" si="232"/>
        <v>2.1633986928104578</v>
      </c>
    </row>
    <row r="512" spans="1:16" x14ac:dyDescent="0.25">
      <c r="A512" s="75" t="s">
        <v>527</v>
      </c>
      <c r="C512" t="s">
        <v>528</v>
      </c>
    </row>
    <row r="514" spans="1:17" x14ac:dyDescent="0.25">
      <c r="A514" t="s">
        <v>530</v>
      </c>
      <c r="B514" t="s">
        <v>214</v>
      </c>
      <c r="C514" t="s">
        <v>347</v>
      </c>
    </row>
    <row r="515" spans="1:17" x14ac:dyDescent="0.25">
      <c r="A515" t="s">
        <v>529</v>
      </c>
      <c r="B515">
        <v>4</v>
      </c>
      <c r="C515">
        <v>4</v>
      </c>
    </row>
    <row r="516" spans="1:17" x14ac:dyDescent="0.25">
      <c r="A516" t="s">
        <v>531</v>
      </c>
      <c r="B516">
        <v>6</v>
      </c>
      <c r="C516">
        <v>10</v>
      </c>
    </row>
    <row r="517" spans="1:17" x14ac:dyDescent="0.25">
      <c r="A517" t="s">
        <v>532</v>
      </c>
      <c r="B517">
        <v>2</v>
      </c>
      <c r="C517">
        <v>12</v>
      </c>
    </row>
    <row r="518" spans="1:17" x14ac:dyDescent="0.25">
      <c r="A518" t="s">
        <v>533</v>
      </c>
      <c r="B518">
        <v>2</v>
      </c>
      <c r="C518">
        <v>14</v>
      </c>
    </row>
    <row r="519" spans="1:17" x14ac:dyDescent="0.25">
      <c r="A519" t="s">
        <v>264</v>
      </c>
      <c r="B519">
        <v>4</v>
      </c>
      <c r="C519">
        <v>16</v>
      </c>
    </row>
    <row r="520" spans="1:17" x14ac:dyDescent="0.25">
      <c r="A520" t="s">
        <v>534</v>
      </c>
      <c r="B520">
        <v>2</v>
      </c>
      <c r="C520">
        <v>18</v>
      </c>
    </row>
    <row r="521" spans="1:17" x14ac:dyDescent="0.25">
      <c r="A521" t="s">
        <v>535</v>
      </c>
      <c r="B521">
        <v>2</v>
      </c>
      <c r="C521">
        <v>18</v>
      </c>
    </row>
    <row r="522" spans="1:17" x14ac:dyDescent="0.25">
      <c r="A522" t="s">
        <v>536</v>
      </c>
      <c r="B522">
        <v>4</v>
      </c>
      <c r="C522">
        <v>22</v>
      </c>
    </row>
    <row r="525" spans="1:17" x14ac:dyDescent="0.25">
      <c r="D525" t="s">
        <v>543</v>
      </c>
    </row>
    <row r="527" spans="1:17" x14ac:dyDescent="0.25">
      <c r="B527" t="s">
        <v>542</v>
      </c>
      <c r="C527" t="s">
        <v>214</v>
      </c>
      <c r="D527" t="s">
        <v>347</v>
      </c>
      <c r="E527" t="s">
        <v>358</v>
      </c>
      <c r="F527" t="s">
        <v>153</v>
      </c>
      <c r="G527" t="s">
        <v>158</v>
      </c>
      <c r="I527" t="s">
        <v>159</v>
      </c>
      <c r="J527" t="s">
        <v>161</v>
      </c>
      <c r="K527" t="s">
        <v>227</v>
      </c>
      <c r="O527" t="s">
        <v>159</v>
      </c>
      <c r="P527" t="s">
        <v>158</v>
      </c>
      <c r="Q527" t="s">
        <v>160</v>
      </c>
    </row>
    <row r="528" spans="1:17" x14ac:dyDescent="0.25">
      <c r="B528" t="s">
        <v>179</v>
      </c>
      <c r="C528">
        <v>2</v>
      </c>
      <c r="D528">
        <v>2</v>
      </c>
      <c r="E528" t="s">
        <v>192</v>
      </c>
      <c r="F528">
        <v>6.7699999999999996E-2</v>
      </c>
      <c r="G528">
        <v>1.2E-2</v>
      </c>
      <c r="I528" s="83">
        <f>(EXP(F528)-1)/D528</f>
        <v>3.502212352392664E-2</v>
      </c>
      <c r="J528">
        <f t="shared" ref="J528:J530" si="236">I528*100</f>
        <v>3.502212352392664</v>
      </c>
      <c r="K528">
        <f>F528/G528</f>
        <v>5.6416666666666666</v>
      </c>
      <c r="O528" s="73">
        <f>J528</f>
        <v>3.502212352392664</v>
      </c>
      <c r="P528" s="73">
        <f t="shared" ref="P528:P530" si="237">O528/Q528</f>
        <v>0.62077619244773952</v>
      </c>
      <c r="Q528" s="73">
        <f t="shared" ref="Q528:Q530" si="238">K528</f>
        <v>5.6416666666666666</v>
      </c>
    </row>
    <row r="529" spans="2:17" x14ac:dyDescent="0.25">
      <c r="B529" t="s">
        <v>537</v>
      </c>
      <c r="C529">
        <v>2</v>
      </c>
      <c r="D529">
        <v>4</v>
      </c>
      <c r="E529" t="s">
        <v>192</v>
      </c>
      <c r="F529">
        <v>5.9400000000000001E-2</v>
      </c>
      <c r="G529">
        <v>1.7000000000000001E-2</v>
      </c>
      <c r="I529" s="83">
        <f t="shared" ref="I529:I530" si="239">(EXP(F529)-1)/D529</f>
        <v>1.5299908927447592E-2</v>
      </c>
      <c r="J529">
        <f t="shared" si="236"/>
        <v>1.5299908927447592</v>
      </c>
      <c r="K529">
        <f>F529/G529</f>
        <v>3.4941176470588236</v>
      </c>
      <c r="O529" s="73">
        <f>J529</f>
        <v>1.5299908927447592</v>
      </c>
      <c r="P529" s="73">
        <f t="shared" si="237"/>
        <v>0.4378761814252678</v>
      </c>
      <c r="Q529" s="73">
        <f t="shared" si="238"/>
        <v>3.4941176470588236</v>
      </c>
    </row>
    <row r="530" spans="2:17" x14ac:dyDescent="0.25">
      <c r="B530" t="s">
        <v>538</v>
      </c>
      <c r="C530">
        <v>2</v>
      </c>
      <c r="D530">
        <v>6</v>
      </c>
      <c r="E530" t="s">
        <v>192</v>
      </c>
      <c r="F530">
        <v>0.22059999999999999</v>
      </c>
      <c r="G530">
        <v>1.4999999999999999E-2</v>
      </c>
      <c r="I530" s="83">
        <f t="shared" si="239"/>
        <v>4.1137433494068364E-2</v>
      </c>
      <c r="J530">
        <f t="shared" si="236"/>
        <v>4.1137433494068363</v>
      </c>
      <c r="K530">
        <f t="shared" ref="K530" si="240">F530/G530</f>
        <v>14.706666666666667</v>
      </c>
      <c r="O530" s="73">
        <f t="shared" ref="O530" si="241">J530</f>
        <v>4.1137433494068363</v>
      </c>
      <c r="P530" s="73">
        <f t="shared" si="237"/>
        <v>0.27971962937943129</v>
      </c>
      <c r="Q530" s="73">
        <f t="shared" si="238"/>
        <v>14.706666666666667</v>
      </c>
    </row>
    <row r="531" spans="2:17" x14ac:dyDescent="0.25">
      <c r="B531" t="s">
        <v>539</v>
      </c>
      <c r="C531">
        <v>4</v>
      </c>
      <c r="D531">
        <v>8</v>
      </c>
      <c r="E531" t="s">
        <v>192</v>
      </c>
      <c r="F531">
        <v>0.35560000000000003</v>
      </c>
      <c r="G531">
        <v>8.7999999999999995E-2</v>
      </c>
      <c r="I531" s="83">
        <f>(EXP(F531)-1)/D531</f>
        <v>5.3379577429739616E-2</v>
      </c>
      <c r="J531">
        <f t="shared" ref="J531:J533" si="242">I531*100</f>
        <v>5.3379577429739618</v>
      </c>
      <c r="K531">
        <f>F531/G531</f>
        <v>4.0409090909090919</v>
      </c>
      <c r="O531" s="73">
        <f>J531</f>
        <v>5.3379577429739618</v>
      </c>
      <c r="P531" s="73">
        <f t="shared" ref="P531:P533" si="243">O531/Q531</f>
        <v>1.3209794189586854</v>
      </c>
      <c r="Q531" s="73">
        <f t="shared" ref="Q531:Q533" si="244">K531</f>
        <v>4.0409090909090919</v>
      </c>
    </row>
    <row r="532" spans="2:17" x14ac:dyDescent="0.25">
      <c r="B532" t="s">
        <v>540</v>
      </c>
      <c r="C532">
        <v>2</v>
      </c>
      <c r="D532">
        <v>8</v>
      </c>
      <c r="E532" t="s">
        <v>192</v>
      </c>
      <c r="F532">
        <v>0.52170000000000005</v>
      </c>
      <c r="G532">
        <v>3.7999999999999999E-2</v>
      </c>
      <c r="I532" s="83">
        <f t="shared" ref="I532:I533" si="245">(EXP(F532)-1)/D532</f>
        <v>8.5611191076401777E-2</v>
      </c>
      <c r="J532">
        <f t="shared" si="242"/>
        <v>8.5611191076401774</v>
      </c>
      <c r="K532">
        <f>F532/G532</f>
        <v>13.728947368421055</v>
      </c>
      <c r="O532" s="73">
        <f>J532</f>
        <v>8.5611191076401774</v>
      </c>
      <c r="P532" s="73">
        <f t="shared" si="243"/>
        <v>0.62358161029389814</v>
      </c>
      <c r="Q532" s="73">
        <f t="shared" si="244"/>
        <v>13.728947368421055</v>
      </c>
    </row>
    <row r="533" spans="2:17" x14ac:dyDescent="0.25">
      <c r="B533" t="s">
        <v>541</v>
      </c>
      <c r="C533">
        <v>2</v>
      </c>
      <c r="D533">
        <v>12</v>
      </c>
      <c r="E533" t="s">
        <v>192</v>
      </c>
      <c r="F533">
        <v>1.0491999999999999</v>
      </c>
      <c r="G533">
        <v>7.8E-2</v>
      </c>
      <c r="I533" s="83">
        <f t="shared" si="245"/>
        <v>0.1546138259477722</v>
      </c>
      <c r="J533">
        <f t="shared" si="242"/>
        <v>15.46138259477722</v>
      </c>
      <c r="K533">
        <f t="shared" ref="K533" si="246">F533/G533</f>
        <v>13.45128205128205</v>
      </c>
      <c r="O533" s="73">
        <f t="shared" ref="O533" si="247">J533</f>
        <v>15.46138259477722</v>
      </c>
      <c r="P533" s="73">
        <f t="shared" si="243"/>
        <v>1.1494356103627748</v>
      </c>
      <c r="Q533" s="73">
        <f t="shared" si="244"/>
        <v>13.45128205128205</v>
      </c>
    </row>
    <row r="534" spans="2:17" x14ac:dyDescent="0.25">
      <c r="B534" t="s">
        <v>179</v>
      </c>
      <c r="C534">
        <v>2</v>
      </c>
      <c r="D534">
        <v>2</v>
      </c>
      <c r="E534" t="s">
        <v>192</v>
      </c>
      <c r="F534">
        <v>3.3399999999999999E-2</v>
      </c>
      <c r="G534">
        <v>5.8000000000000003E-2</v>
      </c>
      <c r="I534" s="83">
        <f t="shared" ref="I534:I539" si="248">(EXP(F534)-1)/D534</f>
        <v>1.6982021076035414E-2</v>
      </c>
      <c r="J534">
        <f t="shared" ref="J534:J539" si="249">I534*100</f>
        <v>1.6982021076035414</v>
      </c>
      <c r="K534">
        <f>F534/G534</f>
        <v>0.57586206896551717</v>
      </c>
      <c r="O534" s="73">
        <f t="shared" ref="O534:O539" si="250">J534</f>
        <v>1.6982021076035414</v>
      </c>
      <c r="P534" s="73">
        <f t="shared" ref="P534:P539" si="251">O534/Q534</f>
        <v>2.9489737197905814</v>
      </c>
      <c r="Q534" s="73">
        <f t="shared" ref="Q534:Q539" si="252">K534</f>
        <v>0.57586206896551717</v>
      </c>
    </row>
    <row r="535" spans="2:17" x14ac:dyDescent="0.25">
      <c r="B535" t="s">
        <v>537</v>
      </c>
      <c r="C535">
        <v>2</v>
      </c>
      <c r="D535">
        <v>4</v>
      </c>
      <c r="E535" t="s">
        <v>192</v>
      </c>
      <c r="F535">
        <v>0.38540000000000002</v>
      </c>
      <c r="G535">
        <v>6.0999999999999999E-2</v>
      </c>
      <c r="I535" s="83">
        <f t="shared" si="248"/>
        <v>0.11755057118863599</v>
      </c>
      <c r="J535">
        <f t="shared" si="249"/>
        <v>11.755057118863599</v>
      </c>
      <c r="K535">
        <f>F535/G535</f>
        <v>6.3180327868852464</v>
      </c>
      <c r="O535" s="73">
        <f t="shared" si="250"/>
        <v>11.755057118863599</v>
      </c>
      <c r="P535" s="73">
        <f t="shared" si="251"/>
        <v>1.8605565237433301</v>
      </c>
      <c r="Q535" s="73">
        <f t="shared" si="252"/>
        <v>6.3180327868852464</v>
      </c>
    </row>
    <row r="536" spans="2:17" x14ac:dyDescent="0.25">
      <c r="B536" t="s">
        <v>538</v>
      </c>
      <c r="C536">
        <v>2</v>
      </c>
      <c r="D536">
        <v>6</v>
      </c>
      <c r="E536" t="s">
        <v>192</v>
      </c>
      <c r="F536">
        <v>0.50729999999999997</v>
      </c>
      <c r="G536">
        <v>5.7000000000000002E-2</v>
      </c>
      <c r="I536" s="83">
        <f t="shared" si="248"/>
        <v>0.11013349554110596</v>
      </c>
      <c r="J536">
        <f t="shared" si="249"/>
        <v>11.013349554110597</v>
      </c>
      <c r="K536">
        <f>F536/G536</f>
        <v>8.8999999999999986</v>
      </c>
      <c r="O536" s="73">
        <f t="shared" si="250"/>
        <v>11.013349554110597</v>
      </c>
      <c r="P536" s="73">
        <f t="shared" si="251"/>
        <v>1.2374550060798426</v>
      </c>
      <c r="Q536" s="73">
        <f t="shared" si="252"/>
        <v>8.8999999999999986</v>
      </c>
    </row>
    <row r="537" spans="2:17" x14ac:dyDescent="0.25">
      <c r="B537" t="s">
        <v>539</v>
      </c>
      <c r="C537">
        <v>4</v>
      </c>
      <c r="D537">
        <v>8</v>
      </c>
      <c r="E537" t="s">
        <v>192</v>
      </c>
      <c r="F537">
        <v>0.74619999999999997</v>
      </c>
      <c r="G537">
        <v>0.109</v>
      </c>
      <c r="I537" s="83">
        <f t="shared" si="248"/>
        <v>0.13862133524342179</v>
      </c>
      <c r="J537">
        <f t="shared" si="249"/>
        <v>13.86213352434218</v>
      </c>
      <c r="K537">
        <f>F537/G537</f>
        <v>6.8458715596330277</v>
      </c>
      <c r="O537" s="73">
        <f t="shared" si="250"/>
        <v>13.86213352434218</v>
      </c>
      <c r="P537" s="73">
        <f t="shared" si="251"/>
        <v>2.0248895124005597</v>
      </c>
      <c r="Q537" s="73">
        <f t="shared" si="252"/>
        <v>6.8458715596330277</v>
      </c>
    </row>
    <row r="538" spans="2:17" x14ac:dyDescent="0.25">
      <c r="B538" t="s">
        <v>540</v>
      </c>
      <c r="C538">
        <v>2</v>
      </c>
      <c r="D538">
        <v>8</v>
      </c>
      <c r="E538" t="s">
        <v>192</v>
      </c>
      <c r="F538">
        <v>0.8579</v>
      </c>
      <c r="G538">
        <v>6.8400000000000002E-2</v>
      </c>
      <c r="I538" s="83">
        <f t="shared" si="248"/>
        <v>0.16977540792158974</v>
      </c>
      <c r="J538">
        <f t="shared" si="249"/>
        <v>16.977540792158972</v>
      </c>
      <c r="K538">
        <f>F538/F539</f>
        <v>0.79010867563087117</v>
      </c>
      <c r="O538" s="73">
        <f t="shared" si="250"/>
        <v>16.977540792158972</v>
      </c>
      <c r="P538" s="73">
        <f t="shared" si="251"/>
        <v>21.48760204234318</v>
      </c>
      <c r="Q538" s="73">
        <f t="shared" si="252"/>
        <v>0.79010867563087117</v>
      </c>
    </row>
    <row r="539" spans="2:17" x14ac:dyDescent="0.25">
      <c r="B539" t="s">
        <v>541</v>
      </c>
      <c r="C539">
        <v>2</v>
      </c>
      <c r="D539">
        <v>12</v>
      </c>
      <c r="E539" t="s">
        <v>192</v>
      </c>
      <c r="F539">
        <v>1.0858000000000001</v>
      </c>
      <c r="G539">
        <v>0.13500000000000001</v>
      </c>
      <c r="I539" s="83">
        <f t="shared" si="248"/>
        <v>0.16348402648898455</v>
      </c>
      <c r="J539">
        <f t="shared" si="249"/>
        <v>16.348402648898457</v>
      </c>
      <c r="K539">
        <f>F539/G539</f>
        <v>8.0429629629629638</v>
      </c>
      <c r="O539" s="73">
        <f t="shared" si="250"/>
        <v>16.348402648898457</v>
      </c>
      <c r="P539" s="73">
        <f t="shared" si="251"/>
        <v>2.0326343319223534</v>
      </c>
      <c r="Q539" s="73">
        <f t="shared" si="252"/>
        <v>8.0429629629629638</v>
      </c>
    </row>
    <row r="546" spans="9:17" x14ac:dyDescent="0.25">
      <c r="I546" s="83"/>
      <c r="N546" s="83"/>
      <c r="Q546" s="83"/>
    </row>
    <row r="547" spans="9:17" x14ac:dyDescent="0.25">
      <c r="I547" s="83"/>
      <c r="N547" s="83"/>
      <c r="Q547" s="83"/>
    </row>
    <row r="548" spans="9:17" x14ac:dyDescent="0.25">
      <c r="I548" s="83"/>
      <c r="N548" s="83"/>
      <c r="Q548" s="83"/>
    </row>
    <row r="549" spans="9:17" x14ac:dyDescent="0.25">
      <c r="I549" s="83"/>
      <c r="N549" s="83"/>
      <c r="Q549" s="83"/>
    </row>
    <row r="550" spans="9:17" x14ac:dyDescent="0.25">
      <c r="I550" s="83"/>
      <c r="N550" s="83"/>
      <c r="Q550" s="83"/>
    </row>
    <row r="551" spans="9:17" x14ac:dyDescent="0.25">
      <c r="I551" s="83"/>
      <c r="N551" s="83"/>
      <c r="Q551" s="83"/>
    </row>
    <row r="837" spans="14:97" x14ac:dyDescent="0.25">
      <c r="N837">
        <v>1</v>
      </c>
      <c r="O837">
        <v>0</v>
      </c>
      <c r="P837">
        <v>0</v>
      </c>
      <c r="Q837">
        <v>1</v>
      </c>
      <c r="R837">
        <v>0</v>
      </c>
      <c r="S837">
        <v>0</v>
      </c>
      <c r="T837">
        <v>0</v>
      </c>
      <c r="AA837">
        <v>0</v>
      </c>
      <c r="AB837">
        <v>1</v>
      </c>
      <c r="AC837">
        <v>0</v>
      </c>
      <c r="AD837">
        <v>0</v>
      </c>
      <c r="AE837">
        <v>1</v>
      </c>
      <c r="AF837">
        <v>0</v>
      </c>
      <c r="AG837">
        <v>0</v>
      </c>
      <c r="AH837">
        <v>1</v>
      </c>
      <c r="AI837">
        <v>0</v>
      </c>
      <c r="AJ837">
        <v>1</v>
      </c>
      <c r="AK837">
        <v>0</v>
      </c>
      <c r="AL837">
        <v>2017</v>
      </c>
      <c r="AV837">
        <v>1</v>
      </c>
      <c r="AW837">
        <f>1-AV837</f>
        <v>0</v>
      </c>
      <c r="BD837" t="s">
        <v>544</v>
      </c>
      <c r="BR837">
        <v>1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1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1</v>
      </c>
      <c r="CJ837">
        <v>1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1</v>
      </c>
      <c r="CQ837">
        <v>1</v>
      </c>
      <c r="CR837">
        <v>1</v>
      </c>
      <c r="CS837">
        <v>1</v>
      </c>
    </row>
    <row r="838" spans="14:97" x14ac:dyDescent="0.25">
      <c r="AV838">
        <v>1</v>
      </c>
    </row>
    <row r="839" spans="14:97" x14ac:dyDescent="0.25">
      <c r="AV839">
        <v>1</v>
      </c>
    </row>
    <row r="840" spans="14:97" x14ac:dyDescent="0.25">
      <c r="AV840">
        <v>1</v>
      </c>
    </row>
    <row r="841" spans="14:97" x14ac:dyDescent="0.25">
      <c r="AV841">
        <v>1</v>
      </c>
    </row>
    <row r="842" spans="14:97" x14ac:dyDescent="0.25">
      <c r="AV842">
        <v>1</v>
      </c>
    </row>
    <row r="843" spans="14:97" x14ac:dyDescent="0.25">
      <c r="AV843">
        <v>0</v>
      </c>
    </row>
    <row r="844" spans="14:97" x14ac:dyDescent="0.25">
      <c r="AV844">
        <v>0</v>
      </c>
    </row>
    <row r="845" spans="14:97" x14ac:dyDescent="0.25">
      <c r="AV845">
        <v>0</v>
      </c>
    </row>
    <row r="846" spans="14:97" x14ac:dyDescent="0.25">
      <c r="AV846">
        <v>0</v>
      </c>
    </row>
    <row r="847" spans="14:97" x14ac:dyDescent="0.25">
      <c r="AV847">
        <v>0</v>
      </c>
    </row>
    <row r="848" spans="14:97" x14ac:dyDescent="0.25">
      <c r="AV848">
        <v>0</v>
      </c>
    </row>
  </sheetData>
  <conditionalFormatting sqref="A3">
    <cfRule type="containsBlanks" dxfId="11" priority="20">
      <formula>LEN(TRIM(A3))=0</formula>
    </cfRule>
  </conditionalFormatting>
  <conditionalFormatting sqref="F64">
    <cfRule type="containsBlanks" dxfId="10" priority="19">
      <formula>LEN(TRIM(F64))=0</formula>
    </cfRule>
  </conditionalFormatting>
  <conditionalFormatting sqref="F89:F92">
    <cfRule type="containsBlanks" dxfId="9" priority="16">
      <formula>LEN(TRIM(F89))=0</formula>
    </cfRule>
  </conditionalFormatting>
  <conditionalFormatting sqref="G100">
    <cfRule type="containsBlanks" dxfId="8" priority="15">
      <formula>LEN(TRIM(G100))=0</formula>
    </cfRule>
  </conditionalFormatting>
  <conditionalFormatting sqref="H120">
    <cfRule type="containsBlanks" dxfId="7" priority="14">
      <formula>LEN(TRIM(H120))=0</formula>
    </cfRule>
  </conditionalFormatting>
  <conditionalFormatting sqref="E183">
    <cfRule type="containsBlanks" dxfId="6" priority="12">
      <formula>LEN(TRIM(E183))=0</formula>
    </cfRule>
  </conditionalFormatting>
  <conditionalFormatting sqref="E200">
    <cfRule type="containsBlanks" dxfId="5" priority="11">
      <formula>LEN(TRIM(E200))=0</formula>
    </cfRule>
  </conditionalFormatting>
  <conditionalFormatting sqref="G219">
    <cfRule type="containsBlanks" dxfId="4" priority="9">
      <formula>LEN(TRIM(G219))=0</formula>
    </cfRule>
  </conditionalFormatting>
  <conditionalFormatting sqref="H257">
    <cfRule type="containsBlanks" dxfId="3" priority="8">
      <formula>LEN(TRIM(H257))=0</formula>
    </cfRule>
  </conditionalFormatting>
  <conditionalFormatting sqref="H275">
    <cfRule type="containsBlanks" dxfId="2" priority="7">
      <formula>LEN(TRIM(H275))=0</formula>
    </cfRule>
  </conditionalFormatting>
  <conditionalFormatting sqref="H306">
    <cfRule type="containsBlanks" dxfId="1" priority="6">
      <formula>LEN(TRIM(H306))=0</formula>
    </cfRule>
  </conditionalFormatting>
  <conditionalFormatting sqref="G387">
    <cfRule type="containsBlanks" dxfId="0" priority="3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15B60060-132E-4A0A-A26D-B2176832E65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data_set</vt:lpstr>
      <vt:lpstr>var_list</vt:lpstr>
      <vt:lpstr>country_info</vt:lpstr>
      <vt:lpstr>Sheet3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2023-03-30T09:56:43Z</dcterms:modified>
</cp:coreProperties>
</file>