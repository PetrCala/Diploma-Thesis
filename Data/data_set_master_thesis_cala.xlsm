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C22B6FE-AEA2-4C0F-81BA-382AAF95E217}"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10" l="1"/>
  <c r="J8" i="10" s="1"/>
  <c r="K8" i="10" s="1"/>
  <c r="I9" i="10"/>
  <c r="J9" i="10" s="1"/>
  <c r="K9" i="10" s="1"/>
  <c r="I10" i="10"/>
  <c r="J10" i="10"/>
  <c r="K10" i="10" s="1"/>
  <c r="I11" i="10"/>
  <c r="J11" i="10" s="1"/>
  <c r="K11" i="10" s="1"/>
  <c r="I12" i="10"/>
  <c r="J12" i="10" s="1"/>
  <c r="K12" i="10" s="1"/>
  <c r="I13" i="10"/>
  <c r="J13" i="10" s="1"/>
  <c r="K13" i="10" s="1"/>
  <c r="I14" i="10"/>
  <c r="J14" i="10"/>
  <c r="K14" i="10" s="1"/>
  <c r="I15" i="10"/>
  <c r="J15" i="10"/>
  <c r="K15" i="10"/>
  <c r="I16" i="10"/>
  <c r="J16" i="10" s="1"/>
  <c r="K16" i="10" s="1"/>
  <c r="I17" i="10"/>
  <c r="J17" i="10" s="1"/>
  <c r="K17" i="10" s="1"/>
  <c r="I18" i="10"/>
  <c r="J18" i="10"/>
  <c r="K18" i="10" s="1"/>
  <c r="I19" i="10"/>
  <c r="J19" i="10" s="1"/>
  <c r="K19" i="10" s="1"/>
  <c r="I20" i="10"/>
  <c r="J20" i="10" s="1"/>
  <c r="K20" i="10" s="1"/>
  <c r="I21" i="10"/>
  <c r="J21" i="10" s="1"/>
  <c r="K21" i="10" s="1"/>
  <c r="I22" i="10"/>
  <c r="J22" i="10"/>
  <c r="K22" i="10" s="1"/>
  <c r="I23" i="10"/>
  <c r="J23" i="10"/>
  <c r="K23" i="10"/>
  <c r="I24" i="10"/>
  <c r="J24" i="10" s="1"/>
  <c r="K24" i="10" s="1"/>
  <c r="I25" i="10"/>
  <c r="J25" i="10" s="1"/>
  <c r="K25" i="10" s="1"/>
  <c r="I26" i="10"/>
  <c r="J26" i="10"/>
  <c r="K26" i="10" s="1"/>
  <c r="I27" i="10"/>
  <c r="J27" i="10" s="1"/>
  <c r="K27" i="10" s="1"/>
  <c r="I28" i="10"/>
  <c r="J28" i="10" s="1"/>
  <c r="K28" i="10" s="1"/>
  <c r="I29" i="10"/>
  <c r="J29" i="10" s="1"/>
  <c r="K29" i="10" s="1"/>
  <c r="I30" i="10"/>
  <c r="J30" i="10"/>
  <c r="K30" i="10" s="1"/>
  <c r="I31" i="10"/>
  <c r="J31" i="10"/>
  <c r="K31" i="10"/>
  <c r="I32" i="10"/>
  <c r="J32" i="10" s="1"/>
  <c r="K32" i="10" s="1"/>
  <c r="I33" i="10"/>
  <c r="J33" i="10" s="1"/>
  <c r="K33" i="10" s="1"/>
  <c r="I34" i="10"/>
  <c r="J34" i="10"/>
  <c r="K34" i="10" s="1"/>
  <c r="I35" i="10"/>
  <c r="J35" i="10" s="1"/>
  <c r="K35" i="10" s="1"/>
  <c r="I36" i="10"/>
  <c r="J36" i="10" s="1"/>
  <c r="K36" i="10" s="1"/>
  <c r="I37" i="10"/>
  <c r="J37" i="10" s="1"/>
  <c r="K37" i="10" s="1"/>
  <c r="I38" i="10"/>
  <c r="J38" i="10"/>
  <c r="K38" i="10" s="1"/>
  <c r="I39" i="10"/>
  <c r="J39" i="10"/>
  <c r="K39" i="10"/>
  <c r="I40" i="10"/>
  <c r="J40" i="10" s="1"/>
  <c r="K40" i="10" s="1"/>
  <c r="I41" i="10"/>
  <c r="J41" i="10" s="1"/>
  <c r="K41" i="10" s="1"/>
  <c r="I42" i="10"/>
  <c r="J42" i="10"/>
  <c r="K42" i="10" s="1"/>
  <c r="I43" i="10"/>
  <c r="J43" i="10" s="1"/>
  <c r="K43" i="10" s="1"/>
  <c r="I44" i="10"/>
  <c r="J44" i="10" s="1"/>
  <c r="K44" i="10" s="1"/>
  <c r="I45" i="10"/>
  <c r="J45" i="10" s="1"/>
  <c r="K45" i="10" s="1"/>
  <c r="I46" i="10"/>
  <c r="J46" i="10"/>
  <c r="K46" i="10" s="1"/>
  <c r="I47" i="10"/>
  <c r="J47" i="10"/>
  <c r="K47" i="10"/>
  <c r="I48" i="10"/>
  <c r="J48" i="10" s="1"/>
  <c r="K48" i="10" s="1"/>
  <c r="I49" i="10"/>
  <c r="J49" i="10" s="1"/>
  <c r="K49" i="10" s="1"/>
  <c r="I50" i="10"/>
  <c r="J50" i="10"/>
  <c r="K50" i="10" s="1"/>
  <c r="I51" i="10"/>
  <c r="J51" i="10" s="1"/>
  <c r="K51" i="10" s="1"/>
  <c r="I52" i="10"/>
  <c r="J52" i="10" s="1"/>
  <c r="K52" i="10" s="1"/>
  <c r="I53" i="10"/>
  <c r="J53" i="10" s="1"/>
  <c r="K53" i="10" s="1"/>
  <c r="I54" i="10"/>
  <c r="J54" i="10"/>
  <c r="K54" i="10" s="1"/>
  <c r="I55" i="10"/>
  <c r="J55" i="10"/>
  <c r="K55" i="10"/>
  <c r="I56" i="10"/>
  <c r="J56" i="10" s="1"/>
  <c r="K56" i="10" s="1"/>
  <c r="I57" i="10"/>
  <c r="J57" i="10" s="1"/>
  <c r="K57" i="10" s="1"/>
  <c r="I58" i="10"/>
  <c r="J58" i="10"/>
  <c r="K58" i="10" s="1"/>
  <c r="I59" i="10"/>
  <c r="J59" i="10" s="1"/>
  <c r="K59" i="10" s="1"/>
  <c r="I60" i="10"/>
  <c r="J60" i="10" s="1"/>
  <c r="K60" i="10" s="1"/>
  <c r="I61" i="10"/>
  <c r="J61" i="10" s="1"/>
  <c r="K61" i="10" s="1"/>
  <c r="I62" i="10"/>
  <c r="J62" i="10"/>
  <c r="K62" i="10" s="1"/>
  <c r="I63" i="10"/>
  <c r="J63" i="10"/>
  <c r="K63" i="10"/>
  <c r="I64" i="10"/>
  <c r="J64" i="10" s="1"/>
  <c r="K64" i="10" s="1"/>
  <c r="I65" i="10"/>
  <c r="J65" i="10" s="1"/>
  <c r="K65" i="10" s="1"/>
  <c r="I66" i="10"/>
  <c r="J66" i="10"/>
  <c r="K66" i="10" s="1"/>
  <c r="I67" i="10"/>
  <c r="J67" i="10" s="1"/>
  <c r="K67" i="10" s="1"/>
  <c r="I68" i="10"/>
  <c r="J68" i="10" s="1"/>
  <c r="K68" i="10" s="1"/>
  <c r="I69" i="10"/>
  <c r="J69" i="10" s="1"/>
  <c r="K69" i="10" s="1"/>
  <c r="I70" i="10"/>
  <c r="J70" i="10"/>
  <c r="K70" i="10" s="1"/>
  <c r="I71" i="10"/>
  <c r="J71" i="10"/>
  <c r="K71" i="10"/>
  <c r="I72" i="10"/>
  <c r="J72" i="10" s="1"/>
  <c r="K72" i="10" s="1"/>
  <c r="I73" i="10"/>
  <c r="J73" i="10" s="1"/>
  <c r="K73" i="10" s="1"/>
  <c r="I74" i="10"/>
  <c r="J74" i="10"/>
  <c r="K74" i="10" s="1"/>
  <c r="I75" i="10"/>
  <c r="J75" i="10" s="1"/>
  <c r="K75" i="10" s="1"/>
  <c r="I76" i="10"/>
  <c r="J76" i="10" s="1"/>
  <c r="K76" i="10" s="1"/>
  <c r="I77" i="10"/>
  <c r="J77" i="10" s="1"/>
  <c r="K77" i="10" s="1"/>
  <c r="I78" i="10"/>
  <c r="J78" i="10"/>
  <c r="K78" i="10" s="1"/>
  <c r="I79" i="10"/>
  <c r="J79" i="10"/>
  <c r="K79" i="10"/>
  <c r="I80" i="10"/>
  <c r="J80" i="10" s="1"/>
  <c r="K80" i="10" s="1"/>
  <c r="I81" i="10"/>
  <c r="J81" i="10" s="1"/>
  <c r="K81" i="10" s="1"/>
  <c r="I82" i="10"/>
  <c r="J82" i="10"/>
  <c r="K82" i="10" s="1"/>
  <c r="I83" i="10"/>
  <c r="J83" i="10" s="1"/>
  <c r="K83" i="10" s="1"/>
  <c r="I84" i="10"/>
  <c r="J84" i="10" s="1"/>
  <c r="K84" i="10" s="1"/>
  <c r="I85" i="10"/>
  <c r="J85" i="10" s="1"/>
  <c r="K85" i="10" s="1"/>
  <c r="I86" i="10"/>
  <c r="J86" i="10"/>
  <c r="K86" i="10" s="1"/>
  <c r="I87" i="10"/>
  <c r="J87" i="10"/>
  <c r="K87" i="10"/>
  <c r="I88" i="10"/>
  <c r="J88" i="10" s="1"/>
  <c r="K88" i="10" s="1"/>
  <c r="I89" i="10"/>
  <c r="J89" i="10" s="1"/>
  <c r="K89" i="10" s="1"/>
  <c r="I90" i="10"/>
  <c r="J90" i="10"/>
  <c r="K90" i="10" s="1"/>
  <c r="I91" i="10"/>
  <c r="J91" i="10" s="1"/>
  <c r="K91" i="10" s="1"/>
  <c r="I92" i="10"/>
  <c r="J92" i="10" s="1"/>
  <c r="K92" i="10" s="1"/>
  <c r="I93" i="10"/>
  <c r="J93" i="10" s="1"/>
  <c r="K93" i="10" s="1"/>
  <c r="I94" i="10"/>
  <c r="J94" i="10"/>
  <c r="K94" i="10" s="1"/>
  <c r="I95" i="10"/>
  <c r="J95" i="10"/>
  <c r="K95" i="10"/>
  <c r="I96" i="10"/>
  <c r="J96" i="10" s="1"/>
  <c r="K96" i="10" s="1"/>
  <c r="I97" i="10"/>
  <c r="J97" i="10" s="1"/>
  <c r="K97" i="10" s="1"/>
  <c r="I98" i="10"/>
  <c r="J98" i="10"/>
  <c r="K98" i="10" s="1"/>
  <c r="I99" i="10"/>
  <c r="J99" i="10" s="1"/>
  <c r="K99" i="10" s="1"/>
  <c r="I100" i="10"/>
  <c r="J100" i="10" s="1"/>
  <c r="K100" i="10" s="1"/>
  <c r="I101" i="10"/>
  <c r="J101" i="10" s="1"/>
  <c r="K101" i="10" s="1"/>
  <c r="I102" i="10"/>
  <c r="J102" i="10"/>
  <c r="K102" i="10" s="1"/>
  <c r="I103" i="10"/>
  <c r="J103" i="10"/>
  <c r="K103" i="10"/>
  <c r="I104" i="10"/>
  <c r="J104" i="10" s="1"/>
  <c r="K104" i="10" s="1"/>
  <c r="I105" i="10"/>
  <c r="J105" i="10" s="1"/>
  <c r="K105" i="10" s="1"/>
  <c r="I106" i="10"/>
  <c r="J106" i="10"/>
  <c r="K106" i="10" s="1"/>
  <c r="I107" i="10"/>
  <c r="J107" i="10" s="1"/>
  <c r="K107" i="10" s="1"/>
  <c r="I108" i="10"/>
  <c r="J108" i="10" s="1"/>
  <c r="K108" i="10" s="1"/>
  <c r="I109" i="10"/>
  <c r="J109" i="10" s="1"/>
  <c r="K109" i="10" s="1"/>
  <c r="I110" i="10"/>
  <c r="J110" i="10"/>
  <c r="K110" i="10" s="1"/>
  <c r="I111" i="10"/>
  <c r="J111" i="10"/>
  <c r="K111" i="10"/>
  <c r="I112" i="10"/>
  <c r="J112" i="10" s="1"/>
  <c r="K112" i="10" s="1"/>
  <c r="I113" i="10"/>
  <c r="J113" i="10" s="1"/>
  <c r="K113" i="10" s="1"/>
  <c r="I114" i="10"/>
  <c r="J114" i="10"/>
  <c r="K114" i="10" s="1"/>
  <c r="I115" i="10"/>
  <c r="J115" i="10" s="1"/>
  <c r="K115" i="10" s="1"/>
  <c r="I116" i="10"/>
  <c r="J116" i="10" s="1"/>
  <c r="K116" i="10" s="1"/>
  <c r="I117" i="10"/>
  <c r="J117" i="10" s="1"/>
  <c r="K117" i="10" s="1"/>
  <c r="I118" i="10"/>
  <c r="J118" i="10"/>
  <c r="K118" i="10" s="1"/>
  <c r="I119" i="10"/>
  <c r="J119" i="10"/>
  <c r="K119" i="10"/>
  <c r="I120" i="10"/>
  <c r="J120" i="10" s="1"/>
  <c r="K120" i="10" s="1"/>
  <c r="I121" i="10"/>
  <c r="J121" i="10" s="1"/>
  <c r="K121" i="10" s="1"/>
  <c r="I122" i="10"/>
  <c r="J122" i="10"/>
  <c r="K122" i="10" s="1"/>
  <c r="I123" i="10"/>
  <c r="J123" i="10" s="1"/>
  <c r="K123" i="10" s="1"/>
  <c r="I124" i="10"/>
  <c r="J124" i="10" s="1"/>
  <c r="K124" i="10" s="1"/>
  <c r="I125" i="10"/>
  <c r="J125" i="10" s="1"/>
  <c r="K125" i="10" s="1"/>
  <c r="I126" i="10"/>
  <c r="J126" i="10"/>
  <c r="K126" i="10" s="1"/>
  <c r="I127" i="10"/>
  <c r="J127" i="10"/>
  <c r="K127" i="10"/>
  <c r="I128" i="10"/>
  <c r="J128" i="10" s="1"/>
  <c r="K128" i="10" s="1"/>
  <c r="I129" i="10"/>
  <c r="J129" i="10" s="1"/>
  <c r="K129" i="10" s="1"/>
  <c r="I130" i="10"/>
  <c r="J130" i="10"/>
  <c r="K130" i="10" s="1"/>
  <c r="I131" i="10"/>
  <c r="J131" i="10" s="1"/>
  <c r="K131" i="10" s="1"/>
  <c r="I132" i="10"/>
  <c r="J132" i="10" s="1"/>
  <c r="K132" i="10" s="1"/>
  <c r="I133" i="10"/>
  <c r="J133" i="10" s="1"/>
  <c r="K133" i="10" s="1"/>
  <c r="I134" i="10"/>
  <c r="J134" i="10"/>
  <c r="K134" i="10" s="1"/>
  <c r="I135" i="10"/>
  <c r="J135" i="10"/>
  <c r="K135" i="10"/>
  <c r="I136" i="10"/>
  <c r="J136" i="10" s="1"/>
  <c r="K136" i="10" s="1"/>
  <c r="I137" i="10"/>
  <c r="J137" i="10" s="1"/>
  <c r="K137" i="10" s="1"/>
  <c r="I138" i="10"/>
  <c r="J138" i="10"/>
  <c r="K138" i="10" s="1"/>
  <c r="I139" i="10"/>
  <c r="J139" i="10" s="1"/>
  <c r="K139" i="10" s="1"/>
  <c r="I140" i="10"/>
  <c r="J140" i="10" s="1"/>
  <c r="K140" i="10" s="1"/>
  <c r="I141" i="10"/>
  <c r="J141" i="10" s="1"/>
  <c r="K141" i="10" s="1"/>
  <c r="I142" i="10"/>
  <c r="J142" i="10"/>
  <c r="K142" i="10" s="1"/>
  <c r="I143" i="10"/>
  <c r="J143" i="10"/>
  <c r="K143" i="10"/>
  <c r="I144" i="10"/>
  <c r="J144" i="10" s="1"/>
  <c r="K144" i="10" s="1"/>
  <c r="I145" i="10"/>
  <c r="J145" i="10" s="1"/>
  <c r="K145" i="10" s="1"/>
  <c r="I146" i="10"/>
  <c r="J146" i="10"/>
  <c r="K146" i="10" s="1"/>
  <c r="I147" i="10"/>
  <c r="J147" i="10" s="1"/>
  <c r="K147" i="10" s="1"/>
  <c r="I148" i="10"/>
  <c r="J148" i="10" s="1"/>
  <c r="K148" i="10" s="1"/>
  <c r="I149" i="10"/>
  <c r="J149" i="10" s="1"/>
  <c r="K149" i="10" s="1"/>
  <c r="I150" i="10"/>
  <c r="J150" i="10"/>
  <c r="K150" i="10" s="1"/>
  <c r="I151" i="10"/>
  <c r="J151" i="10"/>
  <c r="K151" i="10"/>
  <c r="I152" i="10"/>
  <c r="J152" i="10" s="1"/>
  <c r="K152" i="10" s="1"/>
  <c r="I153" i="10"/>
  <c r="J153" i="10" s="1"/>
  <c r="K153" i="10" s="1"/>
  <c r="I154" i="10"/>
  <c r="J154" i="10"/>
  <c r="K154" i="10" s="1"/>
  <c r="I155" i="10"/>
  <c r="J155" i="10" s="1"/>
  <c r="K155" i="10" s="1"/>
  <c r="I156" i="10"/>
  <c r="J156" i="10" s="1"/>
  <c r="K156" i="10" s="1"/>
  <c r="I157" i="10"/>
  <c r="J157" i="10" s="1"/>
  <c r="K157" i="10" s="1"/>
  <c r="I158" i="10"/>
  <c r="J158" i="10"/>
  <c r="K158" i="10" s="1"/>
  <c r="I159" i="10"/>
  <c r="J159" i="10"/>
  <c r="K159" i="10"/>
  <c r="I160" i="10"/>
  <c r="J160" i="10" s="1"/>
  <c r="K160" i="10" s="1"/>
  <c r="I161" i="10"/>
  <c r="J161" i="10" s="1"/>
  <c r="K161" i="10" s="1"/>
  <c r="I162" i="10"/>
  <c r="J162" i="10"/>
  <c r="K162" i="10" s="1"/>
  <c r="I163" i="10"/>
  <c r="J163" i="10" s="1"/>
  <c r="K163" i="10" s="1"/>
  <c r="I164" i="10"/>
  <c r="J164" i="10" s="1"/>
  <c r="K164" i="10" s="1"/>
  <c r="I165" i="10"/>
  <c r="J165" i="10" s="1"/>
  <c r="K165" i="10" s="1"/>
  <c r="I166" i="10"/>
  <c r="J166" i="10"/>
  <c r="K166" i="10" s="1"/>
  <c r="I167" i="10"/>
  <c r="J167" i="10"/>
  <c r="K167" i="10"/>
  <c r="I168" i="10"/>
  <c r="J168" i="10" s="1"/>
  <c r="K168" i="10" s="1"/>
  <c r="I169" i="10"/>
  <c r="J169" i="10" s="1"/>
  <c r="K169" i="10" s="1"/>
  <c r="I170" i="10"/>
  <c r="J170" i="10"/>
  <c r="K170" i="10" s="1"/>
  <c r="I171" i="10"/>
  <c r="J171" i="10" s="1"/>
  <c r="K171" i="10" s="1"/>
  <c r="I172" i="10"/>
  <c r="J172" i="10" s="1"/>
  <c r="K172" i="10" s="1"/>
  <c r="I173" i="10"/>
  <c r="J173" i="10" s="1"/>
  <c r="K173" i="10" s="1"/>
  <c r="I174" i="10"/>
  <c r="J174" i="10"/>
  <c r="K174" i="10" s="1"/>
  <c r="I175" i="10"/>
  <c r="J175" i="10"/>
  <c r="K175" i="10"/>
  <c r="I176" i="10"/>
  <c r="J176" i="10" s="1"/>
  <c r="K176" i="10" s="1"/>
  <c r="I177" i="10"/>
  <c r="J177" i="10" s="1"/>
  <c r="K177" i="10" s="1"/>
  <c r="I178" i="10"/>
  <c r="J178" i="10"/>
  <c r="K178" i="10" s="1"/>
  <c r="I179" i="10"/>
  <c r="J179" i="10" s="1"/>
  <c r="K179" i="10" s="1"/>
  <c r="I180" i="10"/>
  <c r="J180" i="10" s="1"/>
  <c r="K180" i="10" s="1"/>
  <c r="I181" i="10"/>
  <c r="J181" i="10" s="1"/>
  <c r="K181" i="10" s="1"/>
  <c r="I182" i="10"/>
  <c r="J182" i="10"/>
  <c r="K182" i="10" s="1"/>
  <c r="I183" i="10"/>
  <c r="J183" i="10"/>
  <c r="K183" i="10"/>
  <c r="I184" i="10"/>
  <c r="J184" i="10" s="1"/>
  <c r="K184" i="10" s="1"/>
  <c r="I185" i="10"/>
  <c r="J185" i="10" s="1"/>
  <c r="K185" i="10" s="1"/>
  <c r="I186" i="10"/>
  <c r="J186" i="10"/>
  <c r="K186" i="10" s="1"/>
  <c r="I187" i="10"/>
  <c r="J187" i="10" s="1"/>
  <c r="K187" i="10" s="1"/>
  <c r="I188" i="10"/>
  <c r="J188" i="10" s="1"/>
  <c r="K188" i="10" s="1"/>
  <c r="I189" i="10"/>
  <c r="J189" i="10" s="1"/>
  <c r="K189" i="10" s="1"/>
  <c r="I190" i="10"/>
  <c r="J190" i="10"/>
  <c r="K190" i="10" s="1"/>
  <c r="I191" i="10"/>
  <c r="J191" i="10"/>
  <c r="K191" i="10"/>
  <c r="I192" i="10"/>
  <c r="J192" i="10" s="1"/>
  <c r="K192" i="10" s="1"/>
  <c r="I193" i="10"/>
  <c r="J193" i="10" s="1"/>
  <c r="K193" i="10" s="1"/>
  <c r="I194" i="10"/>
  <c r="J194" i="10"/>
  <c r="K194" i="10" s="1"/>
  <c r="I195" i="10"/>
  <c r="J195" i="10" s="1"/>
  <c r="K195" i="10" s="1"/>
  <c r="I196" i="10"/>
  <c r="J196" i="10" s="1"/>
  <c r="K196" i="10" s="1"/>
  <c r="I197" i="10"/>
  <c r="J197" i="10" s="1"/>
  <c r="K197" i="10" s="1"/>
  <c r="I198" i="10"/>
  <c r="J198" i="10"/>
  <c r="K198" i="10" s="1"/>
  <c r="I199" i="10"/>
  <c r="J199" i="10"/>
  <c r="K199" i="10"/>
  <c r="I200" i="10"/>
  <c r="J200" i="10" s="1"/>
  <c r="K200" i="10" s="1"/>
  <c r="I201" i="10"/>
  <c r="J201" i="10" s="1"/>
  <c r="K201" i="10" s="1"/>
  <c r="I202" i="10"/>
  <c r="J202" i="10"/>
  <c r="K202" i="10" s="1"/>
  <c r="I203" i="10"/>
  <c r="J203" i="10" s="1"/>
  <c r="K203" i="10" s="1"/>
  <c r="I204" i="10"/>
  <c r="J204" i="10" s="1"/>
  <c r="K204" i="10" s="1"/>
  <c r="I205" i="10"/>
  <c r="J205" i="10" s="1"/>
  <c r="K205" i="10" s="1"/>
  <c r="I206" i="10"/>
  <c r="J206" i="10"/>
  <c r="K206" i="10" s="1"/>
  <c r="I207" i="10"/>
  <c r="J207" i="10"/>
  <c r="K207" i="10"/>
  <c r="I208" i="10"/>
  <c r="J208" i="10" s="1"/>
  <c r="K208" i="10" s="1"/>
  <c r="I209" i="10"/>
  <c r="J209" i="10" s="1"/>
  <c r="K209" i="10" s="1"/>
  <c r="I210" i="10"/>
  <c r="J210" i="10"/>
  <c r="K210" i="10" s="1"/>
  <c r="I211" i="10"/>
  <c r="J211" i="10" s="1"/>
  <c r="K211" i="10" s="1"/>
  <c r="I212" i="10"/>
  <c r="J212" i="10" s="1"/>
  <c r="K212" i="10" s="1"/>
  <c r="I213" i="10"/>
  <c r="J213" i="10" s="1"/>
  <c r="K213" i="10" s="1"/>
  <c r="I214" i="10"/>
  <c r="J214" i="10"/>
  <c r="K214" i="10" s="1"/>
  <c r="I215" i="10"/>
  <c r="J215" i="10"/>
  <c r="K215" i="10"/>
  <c r="I216" i="10"/>
  <c r="J216" i="10" s="1"/>
  <c r="K216" i="10" s="1"/>
  <c r="I217" i="10"/>
  <c r="J217" i="10" s="1"/>
  <c r="K217" i="10" s="1"/>
  <c r="I218" i="10"/>
  <c r="J218" i="10"/>
  <c r="K218" i="10" s="1"/>
  <c r="I219" i="10"/>
  <c r="J219" i="10" s="1"/>
  <c r="K219" i="10" s="1"/>
  <c r="I220" i="10"/>
  <c r="J220" i="10" s="1"/>
  <c r="K220" i="10" s="1"/>
  <c r="I221" i="10"/>
  <c r="J221" i="10" s="1"/>
  <c r="K221" i="10" s="1"/>
  <c r="I222" i="10"/>
  <c r="J222" i="10"/>
  <c r="K222" i="10" s="1"/>
  <c r="I223" i="10"/>
  <c r="J223" i="10"/>
  <c r="K223" i="10"/>
  <c r="I224" i="10"/>
  <c r="J224" i="10" s="1"/>
  <c r="K224" i="10" s="1"/>
  <c r="I225" i="10"/>
  <c r="J225" i="10" s="1"/>
  <c r="K225" i="10" s="1"/>
  <c r="I226" i="10"/>
  <c r="J226" i="10"/>
  <c r="K226" i="10" s="1"/>
  <c r="I227" i="10"/>
  <c r="J227" i="10" s="1"/>
  <c r="K227" i="10" s="1"/>
  <c r="I228" i="10"/>
  <c r="J228" i="10" s="1"/>
  <c r="K228" i="10" s="1"/>
  <c r="I229" i="10"/>
  <c r="J229" i="10" s="1"/>
  <c r="K229" i="10" s="1"/>
  <c r="I230" i="10"/>
  <c r="J230" i="10"/>
  <c r="K230" i="10" s="1"/>
  <c r="I231" i="10"/>
  <c r="J231" i="10"/>
  <c r="K231" i="10"/>
  <c r="I232" i="10"/>
  <c r="J232" i="10" s="1"/>
  <c r="K232" i="10" s="1"/>
  <c r="I233" i="10"/>
  <c r="J233" i="10" s="1"/>
  <c r="K233" i="10" s="1"/>
  <c r="I234" i="10"/>
  <c r="J234" i="10"/>
  <c r="K234" i="10" s="1"/>
  <c r="I235" i="10"/>
  <c r="J235" i="10" s="1"/>
  <c r="K235" i="10" s="1"/>
  <c r="I236" i="10"/>
  <c r="J236" i="10" s="1"/>
  <c r="K236" i="10" s="1"/>
  <c r="I237" i="10"/>
  <c r="J237" i="10" s="1"/>
  <c r="K237" i="10" s="1"/>
  <c r="I238" i="10"/>
  <c r="J238" i="10"/>
  <c r="K238" i="10" s="1"/>
  <c r="I239" i="10"/>
  <c r="J239" i="10"/>
  <c r="K239" i="10"/>
  <c r="I240" i="10"/>
  <c r="J240" i="10" s="1"/>
  <c r="K240" i="10" s="1"/>
  <c r="I241" i="10"/>
  <c r="J241" i="10" s="1"/>
  <c r="K241" i="10" s="1"/>
  <c r="I242" i="10"/>
  <c r="J242" i="10"/>
  <c r="K242" i="10" s="1"/>
  <c r="I243" i="10"/>
  <c r="J243" i="10" s="1"/>
  <c r="K243" i="10" s="1"/>
  <c r="I244" i="10"/>
  <c r="J244" i="10" s="1"/>
  <c r="K244" i="10" s="1"/>
  <c r="I245" i="10"/>
  <c r="J245" i="10" s="1"/>
  <c r="K245" i="10" s="1"/>
  <c r="I246" i="10"/>
  <c r="J246" i="10"/>
  <c r="K246" i="10" s="1"/>
  <c r="I247" i="10"/>
  <c r="J247" i="10"/>
  <c r="K247" i="10"/>
  <c r="I248" i="10"/>
  <c r="J248" i="10"/>
  <c r="K248" i="10" s="1"/>
  <c r="I249" i="10"/>
  <c r="J249" i="10" s="1"/>
  <c r="K249" i="10" s="1"/>
  <c r="I250" i="10"/>
  <c r="J250" i="10"/>
  <c r="K250" i="10" s="1"/>
  <c r="I251" i="10"/>
  <c r="J251" i="10" s="1"/>
  <c r="K251" i="10" s="1"/>
  <c r="I252" i="10"/>
  <c r="J252" i="10" s="1"/>
  <c r="K252" i="10" s="1"/>
  <c r="I253" i="10"/>
  <c r="J253" i="10" s="1"/>
  <c r="K253" i="10" s="1"/>
  <c r="I254" i="10"/>
  <c r="J254" i="10"/>
  <c r="K254" i="10" s="1"/>
  <c r="I255" i="10"/>
  <c r="J255" i="10"/>
  <c r="K255" i="10"/>
  <c r="I256" i="10"/>
  <c r="J256" i="10"/>
  <c r="K256" i="10" s="1"/>
  <c r="I257" i="10"/>
  <c r="J257" i="10" s="1"/>
  <c r="K257" i="10" s="1"/>
  <c r="I258" i="10"/>
  <c r="J258" i="10"/>
  <c r="K258" i="10" s="1"/>
  <c r="I259" i="10"/>
  <c r="J259" i="10" s="1"/>
  <c r="K259" i="10" s="1"/>
  <c r="I260" i="10"/>
  <c r="J260" i="10" s="1"/>
  <c r="K260" i="10" s="1"/>
  <c r="I261" i="10"/>
  <c r="J261" i="10" s="1"/>
  <c r="K261" i="10" s="1"/>
  <c r="I262" i="10"/>
  <c r="J262" i="10"/>
  <c r="K262" i="10" s="1"/>
  <c r="I263" i="10"/>
  <c r="J263" i="10"/>
  <c r="K263" i="10"/>
  <c r="I264" i="10"/>
  <c r="J264" i="10"/>
  <c r="K264" i="10" s="1"/>
  <c r="I265" i="10"/>
  <c r="J265" i="10" s="1"/>
  <c r="K265" i="10" s="1"/>
  <c r="I266" i="10"/>
  <c r="J266" i="10"/>
  <c r="K266" i="10" s="1"/>
  <c r="I267" i="10"/>
  <c r="J267" i="10" s="1"/>
  <c r="K267" i="10" s="1"/>
  <c r="I268" i="10"/>
  <c r="J268" i="10" s="1"/>
  <c r="K268" i="10" s="1"/>
  <c r="I269" i="10"/>
  <c r="J269" i="10" s="1"/>
  <c r="K269" i="10" s="1"/>
  <c r="I270" i="10"/>
  <c r="J270" i="10"/>
  <c r="K270" i="10" s="1"/>
  <c r="I271" i="10"/>
  <c r="J271" i="10"/>
  <c r="K271" i="10"/>
  <c r="I272" i="10"/>
  <c r="J272" i="10"/>
  <c r="K272" i="10" s="1"/>
  <c r="I273" i="10"/>
  <c r="J273" i="10" s="1"/>
  <c r="K273" i="10" s="1"/>
  <c r="I274" i="10"/>
  <c r="J274" i="10"/>
  <c r="K274" i="10" s="1"/>
  <c r="I275" i="10"/>
  <c r="J275" i="10" s="1"/>
  <c r="K275" i="10" s="1"/>
  <c r="I276" i="10"/>
  <c r="J276" i="10" s="1"/>
  <c r="K276" i="10" s="1"/>
  <c r="I277" i="10"/>
  <c r="J277" i="10" s="1"/>
  <c r="K277" i="10" s="1"/>
  <c r="I278" i="10"/>
  <c r="J278" i="10"/>
  <c r="K278" i="10" s="1"/>
  <c r="I279" i="10"/>
  <c r="J279" i="10"/>
  <c r="K279" i="10"/>
  <c r="I280" i="10"/>
  <c r="J280" i="10"/>
  <c r="K280" i="10" s="1"/>
  <c r="I281" i="10"/>
  <c r="J281" i="10" s="1"/>
  <c r="K281" i="10" s="1"/>
  <c r="I282" i="10"/>
  <c r="J282" i="10"/>
  <c r="K282" i="10" s="1"/>
  <c r="I283" i="10"/>
  <c r="J283" i="10" s="1"/>
  <c r="K283" i="10" s="1"/>
  <c r="I284" i="10"/>
  <c r="J284" i="10" s="1"/>
  <c r="K284" i="10" s="1"/>
  <c r="I285" i="10"/>
  <c r="J285" i="10" s="1"/>
  <c r="K285" i="10" s="1"/>
  <c r="I286" i="10"/>
  <c r="J286" i="10"/>
  <c r="K286" i="10" s="1"/>
  <c r="I287" i="10"/>
  <c r="J287" i="10"/>
  <c r="K287" i="10"/>
  <c r="I288" i="10"/>
  <c r="J288" i="10"/>
  <c r="K288" i="10" s="1"/>
  <c r="I289" i="10"/>
  <c r="J289" i="10" s="1"/>
  <c r="K289" i="10" s="1"/>
  <c r="I290" i="10"/>
  <c r="J290" i="10"/>
  <c r="K290" i="10" s="1"/>
  <c r="I291" i="10"/>
  <c r="J291" i="10" s="1"/>
  <c r="K291" i="10" s="1"/>
  <c r="I292" i="10"/>
  <c r="J292" i="10" s="1"/>
  <c r="K292" i="10" s="1"/>
  <c r="I293" i="10"/>
  <c r="J293" i="10" s="1"/>
  <c r="K293" i="10" s="1"/>
  <c r="I294" i="10"/>
  <c r="J294" i="10"/>
  <c r="K294" i="10" s="1"/>
  <c r="I295" i="10"/>
  <c r="J295" i="10"/>
  <c r="K295" i="10"/>
  <c r="I296" i="10"/>
  <c r="J296" i="10"/>
  <c r="K296" i="10" s="1"/>
  <c r="I297" i="10"/>
  <c r="J297" i="10" s="1"/>
  <c r="K297" i="10" s="1"/>
  <c r="I298" i="10"/>
  <c r="J298" i="10" s="1"/>
  <c r="K298" i="10" s="1"/>
  <c r="I299" i="10"/>
  <c r="J299" i="10" s="1"/>
  <c r="K299" i="10" s="1"/>
  <c r="I300" i="10"/>
  <c r="J300" i="10" s="1"/>
  <c r="K300" i="10" s="1"/>
  <c r="I301" i="10"/>
  <c r="J301" i="10" s="1"/>
  <c r="K301" i="10" s="1"/>
  <c r="I302" i="10"/>
  <c r="J302" i="10"/>
  <c r="K302" i="10" s="1"/>
  <c r="I303" i="10"/>
  <c r="J303" i="10"/>
  <c r="K303" i="10" s="1"/>
  <c r="I304" i="10"/>
  <c r="J304" i="10"/>
  <c r="K304" i="10" s="1"/>
  <c r="I305" i="10"/>
  <c r="J305" i="10" s="1"/>
  <c r="K305" i="10" s="1"/>
  <c r="I306" i="10"/>
  <c r="J306" i="10" s="1"/>
  <c r="K306" i="10" s="1"/>
  <c r="I307" i="10"/>
  <c r="J307" i="10" s="1"/>
  <c r="K307" i="10" s="1"/>
  <c r="I308" i="10"/>
  <c r="J308" i="10" s="1"/>
  <c r="K308" i="10"/>
  <c r="I309" i="10"/>
  <c r="J309" i="10" s="1"/>
  <c r="K309" i="10" s="1"/>
  <c r="I310" i="10"/>
  <c r="J310" i="10"/>
  <c r="K310" i="10" s="1"/>
  <c r="I311" i="10"/>
  <c r="J311" i="10"/>
  <c r="K311" i="10" s="1"/>
  <c r="I312" i="10"/>
  <c r="J312" i="10"/>
  <c r="K312" i="10" s="1"/>
  <c r="I313" i="10"/>
  <c r="J313" i="10" s="1"/>
  <c r="K313" i="10" s="1"/>
  <c r="I314" i="10"/>
  <c r="J314" i="10"/>
  <c r="K314" i="10" s="1"/>
  <c r="I315" i="10"/>
  <c r="J315" i="10" s="1"/>
  <c r="K315" i="10" s="1"/>
  <c r="I316" i="10"/>
  <c r="J316" i="10" s="1"/>
  <c r="K316" i="10" s="1"/>
  <c r="I317" i="10"/>
  <c r="J317" i="10" s="1"/>
  <c r="K317" i="10" s="1"/>
  <c r="I318" i="10"/>
  <c r="J318" i="10"/>
  <c r="K318" i="10" s="1"/>
  <c r="I319" i="10"/>
  <c r="J319" i="10"/>
  <c r="K319" i="10" s="1"/>
  <c r="I320" i="10"/>
  <c r="J320" i="10"/>
  <c r="K320" i="10" s="1"/>
  <c r="I321" i="10"/>
  <c r="J321" i="10" s="1"/>
  <c r="K321" i="10" s="1"/>
  <c r="I322" i="10"/>
  <c r="J322" i="10"/>
  <c r="K322" i="10" s="1"/>
  <c r="I323" i="10"/>
  <c r="J323" i="10" s="1"/>
  <c r="K323" i="10" s="1"/>
  <c r="I324" i="10"/>
  <c r="J324" i="10" s="1"/>
  <c r="K324" i="10" s="1"/>
  <c r="I325" i="10"/>
  <c r="J325" i="10" s="1"/>
  <c r="K325" i="10" s="1"/>
  <c r="I326" i="10"/>
  <c r="J326" i="10"/>
  <c r="K326" i="10" s="1"/>
  <c r="I327" i="10"/>
  <c r="J327" i="10"/>
  <c r="K327" i="10" s="1"/>
  <c r="I328" i="10"/>
  <c r="J328" i="10"/>
  <c r="K328" i="10" s="1"/>
  <c r="I329" i="10"/>
  <c r="J329" i="10" s="1"/>
  <c r="K329" i="10" s="1"/>
  <c r="I330" i="10"/>
  <c r="J330" i="10" s="1"/>
  <c r="K330" i="10" s="1"/>
  <c r="I331" i="10"/>
  <c r="J331" i="10" s="1"/>
  <c r="K331" i="10"/>
  <c r="I332" i="10"/>
  <c r="J332" i="10" s="1"/>
  <c r="K332" i="10" s="1"/>
  <c r="I333" i="10"/>
  <c r="J333" i="10" s="1"/>
  <c r="K333" i="10" s="1"/>
  <c r="I334" i="10"/>
  <c r="J334" i="10"/>
  <c r="K334" i="10" s="1"/>
  <c r="I335" i="10"/>
  <c r="J335" i="10"/>
  <c r="K335" i="10"/>
  <c r="I336" i="10"/>
  <c r="J336" i="10"/>
  <c r="K336" i="10" s="1"/>
  <c r="I337" i="10"/>
  <c r="J337" i="10" s="1"/>
  <c r="K337" i="10" s="1"/>
  <c r="I338" i="10"/>
  <c r="J338" i="10"/>
  <c r="K338" i="10" s="1"/>
  <c r="I339" i="10"/>
  <c r="J339" i="10" s="1"/>
  <c r="K339" i="10"/>
  <c r="I340" i="10"/>
  <c r="J340" i="10" s="1"/>
  <c r="K340" i="10" s="1"/>
  <c r="I341" i="10"/>
  <c r="J341" i="10" s="1"/>
  <c r="K341" i="10"/>
  <c r="I342" i="10"/>
  <c r="J342" i="10"/>
  <c r="K342" i="10" s="1"/>
  <c r="I343" i="10"/>
  <c r="J343" i="10"/>
  <c r="K343" i="10"/>
  <c r="I344" i="10"/>
  <c r="J344" i="10"/>
  <c r="K344" i="10" s="1"/>
  <c r="I345" i="10"/>
  <c r="J345" i="10" s="1"/>
  <c r="K345" i="10" s="1"/>
  <c r="I346" i="10"/>
  <c r="J346" i="10"/>
  <c r="K346" i="10" s="1"/>
  <c r="I347" i="10"/>
  <c r="J347" i="10"/>
  <c r="K347" i="10"/>
  <c r="I348" i="10"/>
  <c r="J348" i="10" s="1"/>
  <c r="K348" i="10" s="1"/>
  <c r="I349" i="10"/>
  <c r="J349" i="10"/>
  <c r="K349" i="10" s="1"/>
  <c r="I350" i="10"/>
  <c r="J350" i="10"/>
  <c r="K350" i="10" s="1"/>
  <c r="I351" i="10"/>
  <c r="J351" i="10"/>
  <c r="K351" i="10" s="1"/>
  <c r="I352" i="10"/>
  <c r="J352" i="10" s="1"/>
  <c r="K352" i="10" s="1"/>
  <c r="I353" i="10"/>
  <c r="J353" i="10" s="1"/>
  <c r="K353" i="10" s="1"/>
  <c r="I354" i="10"/>
  <c r="J354" i="10" s="1"/>
  <c r="K354" i="10" s="1"/>
  <c r="I355" i="10"/>
  <c r="J355" i="10"/>
  <c r="K355" i="10"/>
  <c r="I356" i="10"/>
  <c r="J356" i="10" s="1"/>
  <c r="K356" i="10" s="1"/>
  <c r="I357" i="10"/>
  <c r="J357" i="10"/>
  <c r="K357" i="10" s="1"/>
  <c r="I358" i="10"/>
  <c r="J358" i="10"/>
  <c r="K358" i="10" s="1"/>
  <c r="I359" i="10"/>
  <c r="J359" i="10"/>
  <c r="K359" i="10" s="1"/>
  <c r="I360" i="10"/>
  <c r="J360" i="10" s="1"/>
  <c r="K360" i="10" s="1"/>
  <c r="I361" i="10"/>
  <c r="J361" i="10" s="1"/>
  <c r="K361" i="10" s="1"/>
  <c r="I362" i="10"/>
  <c r="J362" i="10" s="1"/>
  <c r="K362" i="10" s="1"/>
  <c r="I363" i="10"/>
  <c r="J363" i="10"/>
  <c r="K363" i="10"/>
  <c r="I364" i="10"/>
  <c r="J364" i="10" s="1"/>
  <c r="K364" i="10" s="1"/>
  <c r="I365" i="10"/>
  <c r="J365" i="10"/>
  <c r="K365" i="10" s="1"/>
  <c r="I366" i="10"/>
  <c r="J366" i="10"/>
  <c r="K366" i="10" s="1"/>
  <c r="I367" i="10"/>
  <c r="J367" i="10"/>
  <c r="K367" i="10" s="1"/>
  <c r="I368" i="10"/>
  <c r="J368" i="10" s="1"/>
  <c r="K368" i="10" s="1"/>
  <c r="I369" i="10"/>
  <c r="J369" i="10" s="1"/>
  <c r="K369" i="10" s="1"/>
  <c r="I370" i="10"/>
  <c r="J370" i="10" s="1"/>
  <c r="K370" i="10" s="1"/>
  <c r="I371" i="10"/>
  <c r="J371" i="10"/>
  <c r="K371" i="10"/>
  <c r="I372" i="10"/>
  <c r="J372" i="10" s="1"/>
  <c r="K372" i="10" s="1"/>
  <c r="I373" i="10"/>
  <c r="J373" i="10"/>
  <c r="K373" i="10" s="1"/>
  <c r="I374" i="10"/>
  <c r="J374" i="10"/>
  <c r="K374" i="10" s="1"/>
  <c r="I375" i="10"/>
  <c r="J375" i="10"/>
  <c r="K375" i="10" s="1"/>
  <c r="I376" i="10"/>
  <c r="J376" i="10" s="1"/>
  <c r="K376" i="10" s="1"/>
  <c r="I377" i="10"/>
  <c r="J377" i="10" s="1"/>
  <c r="K377" i="10" s="1"/>
  <c r="I378" i="10"/>
  <c r="J378" i="10" s="1"/>
  <c r="K378" i="10" s="1"/>
  <c r="I379" i="10"/>
  <c r="J379" i="10"/>
  <c r="K379" i="10"/>
  <c r="I380" i="10"/>
  <c r="J380" i="10" s="1"/>
  <c r="K380" i="10" s="1"/>
  <c r="I381" i="10"/>
  <c r="J381" i="10"/>
  <c r="K381" i="10" s="1"/>
  <c r="I382" i="10"/>
  <c r="J382" i="10"/>
  <c r="K382" i="10" s="1"/>
  <c r="I383" i="10"/>
  <c r="J383" i="10"/>
  <c r="K383" i="10" s="1"/>
  <c r="I384" i="10"/>
  <c r="J384" i="10" s="1"/>
  <c r="K384" i="10" s="1"/>
  <c r="I385" i="10"/>
  <c r="J385" i="10" s="1"/>
  <c r="K385" i="10" s="1"/>
  <c r="I386" i="10"/>
  <c r="J386" i="10" s="1"/>
  <c r="K386" i="10" s="1"/>
  <c r="I387" i="10"/>
  <c r="J387" i="10"/>
  <c r="K387" i="10"/>
  <c r="I388" i="10"/>
  <c r="J388" i="10" s="1"/>
  <c r="K388" i="10" s="1"/>
  <c r="I389" i="10"/>
  <c r="J389" i="10"/>
  <c r="K389" i="10" s="1"/>
  <c r="I390" i="10"/>
  <c r="J390" i="10"/>
  <c r="K390" i="10" s="1"/>
  <c r="I391" i="10"/>
  <c r="J391" i="10"/>
  <c r="K391" i="10" s="1"/>
  <c r="I392" i="10"/>
  <c r="J392" i="10" s="1"/>
  <c r="K392" i="10" s="1"/>
  <c r="I393" i="10"/>
  <c r="J393" i="10" s="1"/>
  <c r="K393" i="10" s="1"/>
  <c r="I394" i="10"/>
  <c r="J394" i="10" s="1"/>
  <c r="K394" i="10" s="1"/>
  <c r="I395" i="10"/>
  <c r="J395" i="10"/>
  <c r="K395" i="10"/>
  <c r="I396" i="10"/>
  <c r="J396" i="10" s="1"/>
  <c r="K396" i="10" s="1"/>
  <c r="I397" i="10"/>
  <c r="J397" i="10"/>
  <c r="K397" i="10" s="1"/>
  <c r="I398" i="10"/>
  <c r="J398" i="10"/>
  <c r="K398" i="10" s="1"/>
  <c r="I399" i="10"/>
  <c r="J399" i="10"/>
  <c r="K399" i="10" s="1"/>
  <c r="I400" i="10"/>
  <c r="J400" i="10" s="1"/>
  <c r="K400" i="10" s="1"/>
  <c r="I401" i="10"/>
  <c r="J401" i="10" s="1"/>
  <c r="K401" i="10" s="1"/>
  <c r="I402" i="10"/>
  <c r="J402" i="10" s="1"/>
  <c r="K402" i="10" s="1"/>
  <c r="I403" i="10"/>
  <c r="J403" i="10"/>
  <c r="K403" i="10"/>
  <c r="I404" i="10"/>
  <c r="J404" i="10" s="1"/>
  <c r="K404" i="10" s="1"/>
  <c r="I405" i="10"/>
  <c r="J405" i="10"/>
  <c r="K405" i="10" s="1"/>
  <c r="I406" i="10"/>
  <c r="J406" i="10"/>
  <c r="K406" i="10" s="1"/>
  <c r="I407" i="10"/>
  <c r="J407" i="10"/>
  <c r="K407" i="10" s="1"/>
  <c r="I408" i="10"/>
  <c r="J408" i="10" s="1"/>
  <c r="K408" i="10" s="1"/>
  <c r="I409" i="10"/>
  <c r="J409" i="10" s="1"/>
  <c r="K409" i="10" s="1"/>
  <c r="I410" i="10"/>
  <c r="J410" i="10" s="1"/>
  <c r="K410" i="10" s="1"/>
  <c r="I411" i="10"/>
  <c r="J411" i="10"/>
  <c r="K411" i="10"/>
  <c r="I412" i="10"/>
  <c r="J412" i="10" s="1"/>
  <c r="K412" i="10" s="1"/>
  <c r="I413" i="10"/>
  <c r="J413" i="10"/>
  <c r="K413" i="10" s="1"/>
  <c r="I414" i="10"/>
  <c r="J414" i="10"/>
  <c r="K414" i="10" s="1"/>
  <c r="I415" i="10"/>
  <c r="J415" i="10"/>
  <c r="K415" i="10" s="1"/>
  <c r="I416" i="10"/>
  <c r="J416" i="10" s="1"/>
  <c r="K416" i="10" s="1"/>
  <c r="I417" i="10"/>
  <c r="J417" i="10" s="1"/>
  <c r="K417" i="10" s="1"/>
  <c r="I418" i="10"/>
  <c r="J418" i="10" s="1"/>
  <c r="K418" i="10" s="1"/>
  <c r="I419" i="10"/>
  <c r="J419" i="10"/>
  <c r="K419" i="10"/>
  <c r="I420" i="10"/>
  <c r="J420" i="10" s="1"/>
  <c r="K420" i="10" s="1"/>
  <c r="I421" i="10"/>
  <c r="J421" i="10"/>
  <c r="K421" i="10" s="1"/>
  <c r="I422" i="10"/>
  <c r="J422" i="10"/>
  <c r="K422" i="10" s="1"/>
  <c r="I423" i="10"/>
  <c r="J423" i="10"/>
  <c r="K423" i="10" s="1"/>
  <c r="I424" i="10"/>
  <c r="J424" i="10" s="1"/>
  <c r="K424" i="10" s="1"/>
  <c r="I425" i="10"/>
  <c r="J425" i="10" s="1"/>
  <c r="K425" i="10" s="1"/>
  <c r="I426" i="10"/>
  <c r="J426" i="10" s="1"/>
  <c r="K426" i="10" s="1"/>
  <c r="I427" i="10"/>
  <c r="J427" i="10"/>
  <c r="K427" i="10"/>
  <c r="I428" i="10"/>
  <c r="J428" i="10" s="1"/>
  <c r="K428" i="10" s="1"/>
  <c r="I429" i="10"/>
  <c r="J429" i="10"/>
  <c r="K429" i="10" s="1"/>
  <c r="I430" i="10"/>
  <c r="J430" i="10"/>
  <c r="K430" i="10" s="1"/>
  <c r="I431" i="10"/>
  <c r="J431" i="10"/>
  <c r="K431" i="10" s="1"/>
  <c r="I432" i="10"/>
  <c r="J432" i="10" s="1"/>
  <c r="K432" i="10" s="1"/>
  <c r="I433" i="10"/>
  <c r="J433" i="10" s="1"/>
  <c r="K433" i="10" s="1"/>
  <c r="I434" i="10"/>
  <c r="J434" i="10" s="1"/>
  <c r="K434" i="10" s="1"/>
  <c r="I435" i="10"/>
  <c r="J435" i="10"/>
  <c r="K435" i="10"/>
  <c r="I436" i="10"/>
  <c r="J436" i="10" s="1"/>
  <c r="K436" i="10" s="1"/>
  <c r="I437" i="10"/>
  <c r="J437" i="10"/>
  <c r="K437" i="10" s="1"/>
  <c r="I438" i="10"/>
  <c r="J438" i="10"/>
  <c r="K438" i="10" s="1"/>
  <c r="I439" i="10"/>
  <c r="J439" i="10"/>
  <c r="K439" i="10" s="1"/>
  <c r="I440" i="10"/>
  <c r="J440" i="10" s="1"/>
  <c r="K440" i="10" s="1"/>
  <c r="I441" i="10"/>
  <c r="J441" i="10" s="1"/>
  <c r="K441" i="10" s="1"/>
  <c r="I442" i="10"/>
  <c r="J442" i="10" s="1"/>
  <c r="K442" i="10" s="1"/>
  <c r="I443" i="10"/>
  <c r="J443" i="10"/>
  <c r="K443" i="10"/>
  <c r="I444" i="10"/>
  <c r="J444" i="10" s="1"/>
  <c r="K444" i="10" s="1"/>
  <c r="I445" i="10"/>
  <c r="J445" i="10"/>
  <c r="K445" i="10" s="1"/>
  <c r="I446" i="10"/>
  <c r="J446" i="10"/>
  <c r="K446" i="10" s="1"/>
  <c r="I447" i="10"/>
  <c r="J447" i="10"/>
  <c r="K447" i="10" s="1"/>
  <c r="I448" i="10"/>
  <c r="J448" i="10" s="1"/>
  <c r="K448" i="10" s="1"/>
  <c r="I449" i="10"/>
  <c r="J449" i="10" s="1"/>
  <c r="K449" i="10" s="1"/>
  <c r="I450" i="10"/>
  <c r="J450" i="10" s="1"/>
  <c r="K450" i="10" s="1"/>
  <c r="I451" i="10"/>
  <c r="J451" i="10"/>
  <c r="K451" i="10"/>
  <c r="I452" i="10"/>
  <c r="J452" i="10" s="1"/>
  <c r="K452" i="10" s="1"/>
  <c r="I453" i="10"/>
  <c r="J453" i="10"/>
  <c r="K453" i="10" s="1"/>
  <c r="I454" i="10"/>
  <c r="J454" i="10"/>
  <c r="K454" i="10" s="1"/>
  <c r="I455" i="10"/>
  <c r="J455" i="10"/>
  <c r="K455" i="10" s="1"/>
  <c r="I456" i="10"/>
  <c r="J456" i="10" s="1"/>
  <c r="K456" i="10" s="1"/>
  <c r="I457" i="10"/>
  <c r="J457" i="10" s="1"/>
  <c r="K457" i="10" s="1"/>
  <c r="I458" i="10"/>
  <c r="J458" i="10" s="1"/>
  <c r="K458" i="10" s="1"/>
  <c r="I459" i="10"/>
  <c r="J459" i="10"/>
  <c r="K459" i="10"/>
  <c r="I460" i="10"/>
  <c r="J460" i="10" s="1"/>
  <c r="K460" i="10" s="1"/>
  <c r="I461" i="10"/>
  <c r="J461" i="10"/>
  <c r="K461" i="10" s="1"/>
  <c r="I462" i="10"/>
  <c r="J462" i="10"/>
  <c r="K462" i="10" s="1"/>
  <c r="I463" i="10"/>
  <c r="J463" i="10"/>
  <c r="K463" i="10" s="1"/>
  <c r="I464" i="10"/>
  <c r="J464" i="10" s="1"/>
  <c r="K464" i="10" s="1"/>
  <c r="I465" i="10"/>
  <c r="J465" i="10" s="1"/>
  <c r="K465" i="10" s="1"/>
  <c r="I466" i="10"/>
  <c r="J466" i="10" s="1"/>
  <c r="K466" i="10" s="1"/>
  <c r="I467" i="10"/>
  <c r="J467" i="10"/>
  <c r="K467" i="10"/>
  <c r="I468" i="10"/>
  <c r="J468" i="10" s="1"/>
  <c r="K468" i="10" s="1"/>
  <c r="I469" i="10"/>
  <c r="J469" i="10"/>
  <c r="K469" i="10" s="1"/>
  <c r="I470" i="10"/>
  <c r="J470" i="10"/>
  <c r="K470" i="10" s="1"/>
  <c r="I471" i="10"/>
  <c r="J471" i="10"/>
  <c r="K471" i="10" s="1"/>
  <c r="I472" i="10"/>
  <c r="J472" i="10" s="1"/>
  <c r="K472" i="10" s="1"/>
  <c r="I473" i="10"/>
  <c r="J473" i="10" s="1"/>
  <c r="K473" i="10" s="1"/>
  <c r="I474" i="10"/>
  <c r="J474" i="10" s="1"/>
  <c r="K474" i="10" s="1"/>
  <c r="I475" i="10"/>
  <c r="J475" i="10"/>
  <c r="K475" i="10"/>
  <c r="I476" i="10"/>
  <c r="J476" i="10" s="1"/>
  <c r="K476" i="10" s="1"/>
  <c r="I477" i="10"/>
  <c r="J477" i="10"/>
  <c r="K477" i="10" s="1"/>
  <c r="I478" i="10"/>
  <c r="J478" i="10"/>
  <c r="K478" i="10" s="1"/>
  <c r="I479" i="10"/>
  <c r="J479" i="10"/>
  <c r="K479" i="10" s="1"/>
  <c r="I480" i="10"/>
  <c r="J480" i="10" s="1"/>
  <c r="K480" i="10" s="1"/>
  <c r="I481" i="10"/>
  <c r="J481" i="10" s="1"/>
  <c r="K481" i="10" s="1"/>
  <c r="I482" i="10"/>
  <c r="J482" i="10" s="1"/>
  <c r="K482" i="10" s="1"/>
  <c r="I483" i="10"/>
  <c r="J483" i="10"/>
  <c r="K483" i="10"/>
  <c r="I484" i="10"/>
  <c r="J484" i="10" s="1"/>
  <c r="K484" i="10" s="1"/>
  <c r="I485" i="10"/>
  <c r="J485" i="10"/>
  <c r="K485" i="10" s="1"/>
  <c r="I486" i="10"/>
  <c r="J486" i="10"/>
  <c r="K486" i="10" s="1"/>
  <c r="I487" i="10"/>
  <c r="J487" i="10"/>
  <c r="K487" i="10" s="1"/>
  <c r="I488" i="10"/>
  <c r="J488" i="10" s="1"/>
  <c r="K488" i="10" s="1"/>
  <c r="I489" i="10"/>
  <c r="J489" i="10" s="1"/>
  <c r="K489" i="10" s="1"/>
  <c r="I490" i="10"/>
  <c r="J490" i="10" s="1"/>
  <c r="K490" i="10" s="1"/>
  <c r="I491" i="10"/>
  <c r="J491" i="10"/>
  <c r="K491" i="10"/>
  <c r="I492" i="10"/>
  <c r="J492" i="10" s="1"/>
  <c r="K492" i="10" s="1"/>
  <c r="I493" i="10"/>
  <c r="J493" i="10"/>
  <c r="K493" i="10" s="1"/>
  <c r="I494" i="10"/>
  <c r="J494" i="10"/>
  <c r="K494" i="10" s="1"/>
  <c r="I495" i="10"/>
  <c r="J495" i="10"/>
  <c r="K495" i="10" s="1"/>
  <c r="I496" i="10"/>
  <c r="J496" i="10" s="1"/>
  <c r="K496" i="10" s="1"/>
  <c r="I497" i="10"/>
  <c r="J497" i="10"/>
  <c r="K497" i="10" s="1"/>
  <c r="I498" i="10"/>
  <c r="J498" i="10" s="1"/>
  <c r="K498" i="10" s="1"/>
  <c r="I499" i="10"/>
  <c r="J499" i="10"/>
  <c r="K499" i="10"/>
  <c r="I500" i="10"/>
  <c r="J500" i="10" s="1"/>
  <c r="K500" i="10" s="1"/>
  <c r="I501" i="10"/>
  <c r="J501" i="10"/>
  <c r="K501" i="10" s="1"/>
  <c r="I502" i="10"/>
  <c r="J502" i="10"/>
  <c r="K502" i="10"/>
  <c r="I503" i="10"/>
  <c r="J503" i="10"/>
  <c r="K503" i="10" s="1"/>
  <c r="I504" i="10"/>
  <c r="J504" i="10" s="1"/>
  <c r="K504" i="10" s="1"/>
  <c r="I505" i="10"/>
  <c r="J505" i="10"/>
  <c r="K505" i="10" s="1"/>
  <c r="I506" i="10"/>
  <c r="J506" i="10" s="1"/>
  <c r="K506" i="10" s="1"/>
  <c r="I507" i="10"/>
  <c r="J507" i="10"/>
  <c r="K507" i="10"/>
  <c r="I508" i="10"/>
  <c r="J508" i="10" s="1"/>
  <c r="K508" i="10" s="1"/>
  <c r="I509" i="10"/>
  <c r="J509" i="10"/>
  <c r="K509" i="10" s="1"/>
  <c r="I510" i="10"/>
  <c r="J510" i="10"/>
  <c r="K510" i="10"/>
  <c r="I511" i="10"/>
  <c r="J511" i="10"/>
  <c r="K511" i="10" s="1"/>
  <c r="I512" i="10"/>
  <c r="J512" i="10" s="1"/>
  <c r="K512" i="10" s="1"/>
  <c r="I513" i="10"/>
  <c r="J513" i="10" s="1"/>
  <c r="K513" i="10" s="1"/>
  <c r="I514" i="10"/>
  <c r="J514" i="10" s="1"/>
  <c r="K514" i="10" s="1"/>
  <c r="I515" i="10"/>
  <c r="J515" i="10"/>
  <c r="K515" i="10"/>
  <c r="I516" i="10"/>
  <c r="J516" i="10" s="1"/>
  <c r="K516" i="10" s="1"/>
  <c r="I517" i="10"/>
  <c r="J517" i="10"/>
  <c r="K517" i="10" s="1"/>
  <c r="I518" i="10"/>
  <c r="J518" i="10"/>
  <c r="K518" i="10"/>
  <c r="I519" i="10"/>
  <c r="J519" i="10"/>
  <c r="K519" i="10" s="1"/>
  <c r="I520" i="10"/>
  <c r="J520" i="10" s="1"/>
  <c r="K520" i="10" s="1"/>
  <c r="I521" i="10"/>
  <c r="J521" i="10"/>
  <c r="K521" i="10" s="1"/>
  <c r="I522" i="10"/>
  <c r="J522" i="10" s="1"/>
  <c r="K522" i="10" s="1"/>
  <c r="I523" i="10"/>
  <c r="J523" i="10"/>
  <c r="K523" i="10"/>
  <c r="I524" i="10"/>
  <c r="J524" i="10" s="1"/>
  <c r="K524" i="10" s="1"/>
  <c r="I525" i="10"/>
  <c r="J525" i="10"/>
  <c r="K525" i="10" s="1"/>
  <c r="I526" i="10"/>
  <c r="J526" i="10"/>
  <c r="K526" i="10"/>
  <c r="I527" i="10"/>
  <c r="J527" i="10"/>
  <c r="K527" i="10" s="1"/>
  <c r="I528" i="10"/>
  <c r="J528" i="10" s="1"/>
  <c r="K528" i="10" s="1"/>
  <c r="I529" i="10"/>
  <c r="J529" i="10" s="1"/>
  <c r="K529" i="10" s="1"/>
  <c r="I530" i="10"/>
  <c r="J530" i="10" s="1"/>
  <c r="K530" i="10" s="1"/>
  <c r="I531" i="10"/>
  <c r="J531" i="10"/>
  <c r="K531" i="10"/>
  <c r="I532" i="10"/>
  <c r="J532" i="10" s="1"/>
  <c r="K532" i="10" s="1"/>
  <c r="I533" i="10"/>
  <c r="J533" i="10"/>
  <c r="K533" i="10" s="1"/>
  <c r="I534" i="10"/>
  <c r="J534" i="10"/>
  <c r="K534" i="10" s="1"/>
  <c r="I535" i="10"/>
  <c r="J535" i="10"/>
  <c r="K535" i="10" s="1"/>
  <c r="I536" i="10"/>
  <c r="J536" i="10" s="1"/>
  <c r="K536" i="10" s="1"/>
  <c r="I537" i="10"/>
  <c r="J537" i="10" s="1"/>
  <c r="K537" i="10" s="1"/>
  <c r="I538" i="10"/>
  <c r="J538" i="10" s="1"/>
  <c r="K538" i="10" s="1"/>
  <c r="I539" i="10"/>
  <c r="J539" i="10"/>
  <c r="K539" i="10"/>
  <c r="I540" i="10"/>
  <c r="J540" i="10" s="1"/>
  <c r="K540" i="10" s="1"/>
  <c r="I541" i="10"/>
  <c r="J541" i="10"/>
  <c r="K541" i="10" s="1"/>
  <c r="I542" i="10"/>
  <c r="J542" i="10"/>
  <c r="K542" i="10"/>
  <c r="I543" i="10"/>
  <c r="J543" i="10"/>
  <c r="K543" i="10" s="1"/>
  <c r="I544" i="10"/>
  <c r="J544" i="10" s="1"/>
  <c r="K544" i="10" s="1"/>
  <c r="I545" i="10"/>
  <c r="J545" i="10"/>
  <c r="K545" i="10" s="1"/>
  <c r="I546" i="10"/>
  <c r="J546" i="10" s="1"/>
  <c r="K546" i="10" s="1"/>
  <c r="I547" i="10"/>
  <c r="J547" i="10"/>
  <c r="K547" i="10"/>
  <c r="I548" i="10"/>
  <c r="J548" i="10" s="1"/>
  <c r="K548" i="10" s="1"/>
  <c r="I549" i="10"/>
  <c r="J549" i="10"/>
  <c r="K549" i="10" s="1"/>
  <c r="I550" i="10"/>
  <c r="J550" i="10"/>
  <c r="K550" i="10" s="1"/>
  <c r="I551" i="10"/>
  <c r="J551" i="10"/>
  <c r="K551" i="10" s="1"/>
  <c r="I552" i="10"/>
  <c r="J552" i="10" s="1"/>
  <c r="K552" i="10" s="1"/>
  <c r="I553" i="10"/>
  <c r="J553" i="10"/>
  <c r="K553" i="10" s="1"/>
  <c r="I554" i="10"/>
  <c r="J554" i="10" s="1"/>
  <c r="K554" i="10" s="1"/>
  <c r="I555" i="10"/>
  <c r="J555" i="10"/>
  <c r="K555" i="10"/>
  <c r="I556" i="10"/>
  <c r="J556" i="10" s="1"/>
  <c r="K556" i="10" s="1"/>
  <c r="I557" i="10"/>
  <c r="J557" i="10"/>
  <c r="K557" i="10" s="1"/>
  <c r="I558" i="10"/>
  <c r="J558" i="10"/>
  <c r="K558" i="10"/>
  <c r="I559" i="10"/>
  <c r="J559" i="10"/>
  <c r="K559" i="10" s="1"/>
  <c r="I560" i="10"/>
  <c r="J560" i="10" s="1"/>
  <c r="K560" i="10" s="1"/>
  <c r="I561" i="10"/>
  <c r="J561" i="10"/>
  <c r="K561" i="10" s="1"/>
  <c r="I562" i="10"/>
  <c r="J562" i="10" s="1"/>
  <c r="K562" i="10" s="1"/>
  <c r="I563" i="10"/>
  <c r="J563" i="10"/>
  <c r="K563" i="10"/>
  <c r="I564" i="10"/>
  <c r="J564" i="10" s="1"/>
  <c r="K564" i="10" s="1"/>
  <c r="I565" i="10"/>
  <c r="J565" i="10"/>
  <c r="K565" i="10" s="1"/>
  <c r="I566" i="10"/>
  <c r="J566" i="10"/>
  <c r="K566" i="10"/>
  <c r="I567" i="10"/>
  <c r="J567" i="10"/>
  <c r="K567" i="10" s="1"/>
  <c r="I568" i="10"/>
  <c r="J568" i="10" s="1"/>
  <c r="K568" i="10" s="1"/>
  <c r="I569" i="10"/>
  <c r="J569" i="10"/>
  <c r="K569" i="10" s="1"/>
  <c r="I570" i="10"/>
  <c r="J570" i="10" s="1"/>
  <c r="K570" i="10" s="1"/>
  <c r="I571" i="10"/>
  <c r="J571" i="10"/>
  <c r="K571" i="10"/>
  <c r="I572" i="10"/>
  <c r="J572" i="10" s="1"/>
  <c r="K572" i="10" s="1"/>
  <c r="I573" i="10"/>
  <c r="J573" i="10"/>
  <c r="K573" i="10" s="1"/>
  <c r="I574" i="10"/>
  <c r="J574" i="10"/>
  <c r="K574" i="10"/>
  <c r="I575" i="10"/>
  <c r="J575" i="10"/>
  <c r="K575" i="10" s="1"/>
  <c r="I576" i="10"/>
  <c r="J576" i="10" s="1"/>
  <c r="K576" i="10" s="1"/>
  <c r="I577" i="10"/>
  <c r="J577" i="10" s="1"/>
  <c r="K577" i="10" s="1"/>
  <c r="I578" i="10"/>
  <c r="J578" i="10" s="1"/>
  <c r="K578" i="10" s="1"/>
  <c r="I579" i="10"/>
  <c r="J579" i="10"/>
  <c r="K579" i="10"/>
  <c r="I580" i="10"/>
  <c r="J580" i="10" s="1"/>
  <c r="K580" i="10" s="1"/>
  <c r="I581" i="10"/>
  <c r="J581" i="10"/>
  <c r="K581" i="10" s="1"/>
  <c r="I582" i="10"/>
  <c r="J582" i="10"/>
  <c r="K582" i="10"/>
  <c r="I583" i="10"/>
  <c r="J583" i="10"/>
  <c r="K583" i="10" s="1"/>
  <c r="I584" i="10"/>
  <c r="J584" i="10" s="1"/>
  <c r="K584" i="10" s="1"/>
  <c r="I585" i="10"/>
  <c r="J585" i="10"/>
  <c r="K585" i="10" s="1"/>
  <c r="I586" i="10"/>
  <c r="J586" i="10" s="1"/>
  <c r="K586" i="10" s="1"/>
  <c r="I587" i="10"/>
  <c r="J587" i="10"/>
  <c r="K587" i="10"/>
  <c r="I588" i="10"/>
  <c r="J588" i="10" s="1"/>
  <c r="K588" i="10" s="1"/>
  <c r="I589" i="10"/>
  <c r="J589" i="10"/>
  <c r="K589" i="10" s="1"/>
  <c r="I590" i="10"/>
  <c r="J590" i="10"/>
  <c r="K590" i="10"/>
  <c r="I591" i="10"/>
  <c r="J591" i="10" s="1"/>
  <c r="K591" i="10" s="1"/>
  <c r="I592" i="10"/>
  <c r="J592" i="10" s="1"/>
  <c r="K592" i="10" s="1"/>
  <c r="I593" i="10"/>
  <c r="J593" i="10"/>
  <c r="K593" i="10" s="1"/>
  <c r="I594" i="10"/>
  <c r="J594" i="10" s="1"/>
  <c r="K594" i="10" s="1"/>
  <c r="I595" i="10"/>
  <c r="J595" i="10"/>
  <c r="K595" i="10"/>
  <c r="I596" i="10"/>
  <c r="J596" i="10" s="1"/>
  <c r="K596" i="10" s="1"/>
  <c r="I597" i="10"/>
  <c r="J597" i="10"/>
  <c r="K597" i="10" s="1"/>
  <c r="I598" i="10"/>
  <c r="J598" i="10"/>
  <c r="K598" i="10"/>
  <c r="I599" i="10"/>
  <c r="J599" i="10" s="1"/>
  <c r="K599" i="10" s="1"/>
  <c r="I600" i="10"/>
  <c r="J600" i="10" s="1"/>
  <c r="K600" i="10" s="1"/>
  <c r="I601" i="10"/>
  <c r="J601" i="10" s="1"/>
  <c r="K601" i="10" s="1"/>
  <c r="I602" i="10"/>
  <c r="J602" i="10" s="1"/>
  <c r="K602" i="10"/>
  <c r="I603" i="10"/>
  <c r="J603" i="10"/>
  <c r="K603" i="10"/>
  <c r="I604" i="10"/>
  <c r="J604" i="10" s="1"/>
  <c r="K604" i="10" s="1"/>
  <c r="I605" i="10"/>
  <c r="J605" i="10"/>
  <c r="K605" i="10" s="1"/>
  <c r="I606" i="10"/>
  <c r="J606" i="10"/>
  <c r="K606" i="10"/>
  <c r="I607" i="10"/>
  <c r="J607" i="10" s="1"/>
  <c r="K607" i="10" s="1"/>
  <c r="I608" i="10"/>
  <c r="J608" i="10" s="1"/>
  <c r="K608" i="10" s="1"/>
  <c r="I609" i="10"/>
  <c r="J609" i="10"/>
  <c r="K609" i="10" s="1"/>
  <c r="I610" i="10"/>
  <c r="J610" i="10" s="1"/>
  <c r="K610" i="10"/>
  <c r="I611" i="10"/>
  <c r="J611" i="10"/>
  <c r="K611" i="10"/>
  <c r="I612" i="10"/>
  <c r="J612" i="10"/>
  <c r="K612" i="10" s="1"/>
  <c r="I613" i="10"/>
  <c r="J613" i="10"/>
  <c r="K613" i="10" s="1"/>
  <c r="I614" i="10"/>
  <c r="J614" i="10"/>
  <c r="K614" i="10"/>
  <c r="I615" i="10"/>
  <c r="J615" i="10" s="1"/>
  <c r="K615" i="10" s="1"/>
  <c r="I616" i="10"/>
  <c r="J616" i="10" s="1"/>
  <c r="K616" i="10" s="1"/>
  <c r="I617" i="10"/>
  <c r="J617" i="10" s="1"/>
  <c r="K617" i="10" s="1"/>
  <c r="I618" i="10"/>
  <c r="J618" i="10" s="1"/>
  <c r="K618" i="10"/>
  <c r="I619" i="10"/>
  <c r="J619" i="10"/>
  <c r="K619" i="10"/>
  <c r="I620" i="10"/>
  <c r="J620" i="10" s="1"/>
  <c r="K620" i="10" s="1"/>
  <c r="I621" i="10"/>
  <c r="J621" i="10"/>
  <c r="K621" i="10" s="1"/>
  <c r="I622" i="10"/>
  <c r="J622" i="10"/>
  <c r="K622" i="10"/>
  <c r="I623" i="10"/>
  <c r="J623" i="10" s="1"/>
  <c r="K623" i="10" s="1"/>
  <c r="I624" i="10"/>
  <c r="J624" i="10" s="1"/>
  <c r="K624" i="10" s="1"/>
  <c r="I625" i="10"/>
  <c r="J625" i="10"/>
  <c r="K625" i="10"/>
  <c r="I626" i="10"/>
  <c r="J626" i="10" s="1"/>
  <c r="K626" i="10"/>
  <c r="I627" i="10"/>
  <c r="J627" i="10"/>
  <c r="K627" i="10"/>
  <c r="I628" i="10"/>
  <c r="J628" i="10"/>
  <c r="K628" i="10" s="1"/>
  <c r="I629" i="10"/>
  <c r="J629" i="10"/>
  <c r="K629" i="10" s="1"/>
  <c r="I630" i="10"/>
  <c r="J630" i="10"/>
  <c r="K630" i="10" s="1"/>
  <c r="I631" i="10"/>
  <c r="J631" i="10" s="1"/>
  <c r="K631" i="10" s="1"/>
  <c r="I632" i="10"/>
  <c r="J632" i="10" s="1"/>
  <c r="K632" i="10" s="1"/>
  <c r="I633" i="10"/>
  <c r="J633" i="10"/>
  <c r="K633" i="10"/>
  <c r="I634" i="10"/>
  <c r="J634" i="10" s="1"/>
  <c r="K634" i="10" s="1"/>
  <c r="I635" i="10"/>
  <c r="J635" i="10"/>
  <c r="K635" i="10"/>
  <c r="I636" i="10"/>
  <c r="J636" i="10"/>
  <c r="K636" i="10" s="1"/>
  <c r="I637" i="10"/>
  <c r="J637" i="10"/>
  <c r="K637" i="10" s="1"/>
  <c r="I638" i="10"/>
  <c r="J638" i="10"/>
  <c r="K638" i="10"/>
  <c r="I639" i="10"/>
  <c r="J639" i="10" s="1"/>
  <c r="K639" i="10" s="1"/>
  <c r="I640" i="10"/>
  <c r="J640" i="10" s="1"/>
  <c r="K640" i="10" s="1"/>
  <c r="I641" i="10"/>
  <c r="J641" i="10"/>
  <c r="K641" i="10"/>
  <c r="I642" i="10"/>
  <c r="J642" i="10" s="1"/>
  <c r="K642" i="10" s="1"/>
  <c r="I643" i="10"/>
  <c r="J643" i="10"/>
  <c r="K643" i="10"/>
  <c r="I644" i="10"/>
  <c r="J644" i="10"/>
  <c r="K644" i="10" s="1"/>
  <c r="I645" i="10"/>
  <c r="J645" i="10"/>
  <c r="K645" i="10" s="1"/>
  <c r="I646" i="10"/>
  <c r="J646" i="10"/>
  <c r="K646" i="10" s="1"/>
  <c r="I647" i="10"/>
  <c r="J647" i="10" s="1"/>
  <c r="K647" i="10" s="1"/>
  <c r="I648" i="10"/>
  <c r="J648" i="10" s="1"/>
  <c r="K648" i="10" s="1"/>
  <c r="I649" i="10"/>
  <c r="J649" i="10"/>
  <c r="K649" i="10"/>
  <c r="I650" i="10"/>
  <c r="J650" i="10" s="1"/>
  <c r="K650" i="10"/>
  <c r="I651" i="10"/>
  <c r="J651" i="10"/>
  <c r="K651" i="10"/>
  <c r="I652" i="10"/>
  <c r="J652" i="10"/>
  <c r="K652" i="10" s="1"/>
  <c r="I653" i="10"/>
  <c r="J653" i="10"/>
  <c r="K653" i="10" s="1"/>
  <c r="I654" i="10"/>
  <c r="J654" i="10"/>
  <c r="K654" i="10"/>
  <c r="I655" i="10"/>
  <c r="J655" i="10" s="1"/>
  <c r="K655" i="10" s="1"/>
  <c r="I656" i="10"/>
  <c r="J656" i="10" s="1"/>
  <c r="K656" i="10" s="1"/>
  <c r="I657" i="10"/>
  <c r="J657" i="10"/>
  <c r="K657" i="10" s="1"/>
  <c r="I658" i="10"/>
  <c r="J658" i="10"/>
  <c r="K658" i="10"/>
  <c r="I659" i="10"/>
  <c r="J659" i="10"/>
  <c r="K659" i="10"/>
  <c r="I660" i="10"/>
  <c r="J660" i="10" s="1"/>
  <c r="K660" i="10" s="1"/>
  <c r="I661" i="10"/>
  <c r="J661" i="10"/>
  <c r="K661" i="10" s="1"/>
  <c r="I662" i="10"/>
  <c r="J662" i="10"/>
  <c r="K662" i="10"/>
  <c r="I663" i="10"/>
  <c r="J663" i="10" s="1"/>
  <c r="K663" i="10" s="1"/>
  <c r="I664" i="10"/>
  <c r="J664" i="10" s="1"/>
  <c r="K664" i="10" s="1"/>
  <c r="I665" i="10"/>
  <c r="J665" i="10"/>
  <c r="K665" i="10" s="1"/>
  <c r="I666" i="10"/>
  <c r="J666" i="10"/>
  <c r="K666" i="10"/>
  <c r="I667" i="10"/>
  <c r="J667" i="10"/>
  <c r="K667" i="10"/>
  <c r="I668" i="10"/>
  <c r="J668" i="10" s="1"/>
  <c r="K668" i="10" s="1"/>
  <c r="I669" i="10"/>
  <c r="J669" i="10"/>
  <c r="K669" i="10" s="1"/>
  <c r="I670" i="10"/>
  <c r="J670" i="10"/>
  <c r="K670" i="10" s="1"/>
  <c r="I671" i="10"/>
  <c r="J671" i="10" s="1"/>
  <c r="K671" i="10" s="1"/>
  <c r="I672" i="10"/>
  <c r="J672" i="10" s="1"/>
  <c r="K672" i="10" s="1"/>
  <c r="I673" i="10"/>
  <c r="J673" i="10" s="1"/>
  <c r="K673" i="10" s="1"/>
  <c r="I674" i="10"/>
  <c r="J674" i="10"/>
  <c r="K674" i="10"/>
  <c r="I675" i="10"/>
  <c r="J675" i="10"/>
  <c r="K675" i="10"/>
  <c r="I676" i="10"/>
  <c r="J676" i="10"/>
  <c r="K676" i="10" s="1"/>
  <c r="I677" i="10"/>
  <c r="J677" i="10"/>
  <c r="K677" i="10" s="1"/>
  <c r="I678" i="10"/>
  <c r="J678" i="10"/>
  <c r="K678" i="10"/>
  <c r="I679" i="10"/>
  <c r="J679" i="10" s="1"/>
  <c r="K679" i="10" s="1"/>
  <c r="I680" i="10"/>
  <c r="J680" i="10" s="1"/>
  <c r="K680" i="10" s="1"/>
  <c r="I681" i="10"/>
  <c r="J681" i="10"/>
  <c r="K681" i="10"/>
  <c r="I682" i="10"/>
  <c r="J682" i="10"/>
  <c r="K682" i="10"/>
  <c r="I683" i="10"/>
  <c r="J683" i="10"/>
  <c r="K683" i="10"/>
  <c r="I684" i="10"/>
  <c r="J684" i="10"/>
  <c r="K684" i="10" s="1"/>
  <c r="I685" i="10"/>
  <c r="J685" i="10"/>
  <c r="K685" i="10" s="1"/>
  <c r="I686" i="10"/>
  <c r="J686" i="10"/>
  <c r="K686" i="10" s="1"/>
  <c r="I687" i="10"/>
  <c r="J687" i="10" s="1"/>
  <c r="K687" i="10" s="1"/>
  <c r="I688" i="10"/>
  <c r="J688" i="10" s="1"/>
  <c r="K688" i="10" s="1"/>
  <c r="I689" i="10"/>
  <c r="J689" i="10" s="1"/>
  <c r="K689" i="10" s="1"/>
  <c r="I690" i="10"/>
  <c r="J690" i="10"/>
  <c r="K690" i="10"/>
  <c r="I691" i="10"/>
  <c r="J691" i="10"/>
  <c r="K691" i="10"/>
  <c r="I692" i="10"/>
  <c r="J692" i="10" s="1"/>
  <c r="K692" i="10" s="1"/>
  <c r="I693" i="10"/>
  <c r="J693" i="10"/>
  <c r="K693" i="10" s="1"/>
  <c r="I694" i="10"/>
  <c r="J694" i="10"/>
  <c r="K694" i="10"/>
  <c r="I695" i="10"/>
  <c r="J695" i="10" s="1"/>
  <c r="K695" i="10" s="1"/>
  <c r="I696" i="10"/>
  <c r="J696" i="10" s="1"/>
  <c r="K696" i="10" s="1"/>
  <c r="I697" i="10"/>
  <c r="J697" i="10"/>
  <c r="K697" i="10" s="1"/>
  <c r="I698" i="10"/>
  <c r="J698" i="10"/>
  <c r="K698" i="10"/>
  <c r="I699" i="10"/>
  <c r="J699" i="10"/>
  <c r="K699" i="10"/>
  <c r="I700" i="10"/>
  <c r="J700" i="10" s="1"/>
  <c r="K700" i="10" s="1"/>
  <c r="I701" i="10"/>
  <c r="J701" i="10"/>
  <c r="K701" i="10" s="1"/>
  <c r="I702" i="10"/>
  <c r="J702" i="10"/>
  <c r="K702" i="10"/>
  <c r="I703" i="10"/>
  <c r="J703" i="10" s="1"/>
  <c r="K703" i="10" s="1"/>
  <c r="I704" i="10"/>
  <c r="J704" i="10" s="1"/>
  <c r="K704" i="10" s="1"/>
  <c r="I705" i="10"/>
  <c r="J705" i="10" s="1"/>
  <c r="K705" i="10" s="1"/>
  <c r="I706" i="10"/>
  <c r="J706" i="10"/>
  <c r="K706" i="10"/>
  <c r="I707" i="10"/>
  <c r="J707" i="10"/>
  <c r="K707" i="10"/>
  <c r="I708" i="10"/>
  <c r="J708" i="10"/>
  <c r="K708" i="10" s="1"/>
  <c r="I709" i="10"/>
  <c r="J709" i="10"/>
  <c r="K709" i="10" s="1"/>
  <c r="I710" i="10"/>
  <c r="J710" i="10" s="1"/>
  <c r="K710" i="10" s="1"/>
  <c r="I711" i="10"/>
  <c r="J711" i="10" s="1"/>
  <c r="K711" i="10" s="1"/>
  <c r="I712" i="10"/>
  <c r="J712" i="10" s="1"/>
  <c r="K712" i="10"/>
  <c r="I713" i="10"/>
  <c r="J713" i="10"/>
  <c r="K713" i="10" s="1"/>
  <c r="I714" i="10"/>
  <c r="J714" i="10"/>
  <c r="K714" i="10" s="1"/>
  <c r="I715" i="10"/>
  <c r="J715" i="10"/>
  <c r="K715" i="10"/>
  <c r="I716" i="10"/>
  <c r="J716" i="10" s="1"/>
  <c r="K716" i="10" s="1"/>
  <c r="I717" i="10"/>
  <c r="J717" i="10" s="1"/>
  <c r="K717" i="10" s="1"/>
  <c r="I718" i="10"/>
  <c r="J718" i="10"/>
  <c r="K718" i="10"/>
  <c r="I719" i="10"/>
  <c r="J719" i="10" s="1"/>
  <c r="K719" i="10" s="1"/>
  <c r="I720" i="10"/>
  <c r="J720" i="10" s="1"/>
  <c r="K720" i="10"/>
  <c r="I721" i="10"/>
  <c r="J721" i="10" s="1"/>
  <c r="K721" i="10" s="1"/>
  <c r="I722" i="10"/>
  <c r="J722" i="10"/>
  <c r="K722" i="10" s="1"/>
  <c r="I723" i="10"/>
  <c r="J723" i="10"/>
  <c r="K723" i="10" s="1"/>
  <c r="I724" i="10"/>
  <c r="J724" i="10"/>
  <c r="K724" i="10" s="1"/>
  <c r="I725" i="10"/>
  <c r="J725" i="10"/>
  <c r="K725" i="10" s="1"/>
  <c r="I726" i="10"/>
  <c r="J726" i="10" s="1"/>
  <c r="K726" i="10" s="1"/>
  <c r="I727" i="10"/>
  <c r="J727" i="10" s="1"/>
  <c r="K727" i="10" s="1"/>
  <c r="I728" i="10"/>
  <c r="J728" i="10" s="1"/>
  <c r="K728" i="10"/>
  <c r="I729" i="10"/>
  <c r="J729" i="10"/>
  <c r="K729" i="10" s="1"/>
  <c r="I730" i="10"/>
  <c r="J730" i="10"/>
  <c r="K730" i="10" s="1"/>
  <c r="I731" i="10"/>
  <c r="J731" i="10"/>
  <c r="K731" i="10"/>
  <c r="I732" i="10"/>
  <c r="J732" i="10" s="1"/>
  <c r="K732" i="10" s="1"/>
  <c r="I733" i="10"/>
  <c r="J733" i="10" s="1"/>
  <c r="K733" i="10" s="1"/>
  <c r="I734" i="10"/>
  <c r="J734" i="10"/>
  <c r="K734" i="10"/>
  <c r="I735" i="10"/>
  <c r="J735" i="10"/>
  <c r="K735" i="10"/>
  <c r="I736" i="10"/>
  <c r="J736" i="10"/>
  <c r="K736" i="10"/>
  <c r="I737" i="10"/>
  <c r="J737" i="10"/>
  <c r="K737" i="10" s="1"/>
  <c r="I738" i="10"/>
  <c r="J738" i="10"/>
  <c r="K738" i="10" s="1"/>
  <c r="I739" i="10"/>
  <c r="J739" i="10"/>
  <c r="K739" i="10"/>
  <c r="I740" i="10"/>
  <c r="J740" i="10" s="1"/>
  <c r="K740" i="10" s="1"/>
  <c r="I741" i="10"/>
  <c r="J741" i="10" s="1"/>
  <c r="K741" i="10" s="1"/>
  <c r="I742" i="10"/>
  <c r="J742" i="10"/>
  <c r="K742" i="10" s="1"/>
  <c r="I743" i="10"/>
  <c r="J743" i="10"/>
  <c r="K743" i="10"/>
  <c r="I744" i="10"/>
  <c r="J744" i="10"/>
  <c r="K744" i="10"/>
  <c r="I745" i="10"/>
  <c r="J745" i="10" s="1"/>
  <c r="K745" i="10" s="1"/>
  <c r="I746" i="10"/>
  <c r="J746" i="10"/>
  <c r="K746" i="10" s="1"/>
  <c r="I747" i="10"/>
  <c r="J747" i="10"/>
  <c r="K747" i="10"/>
  <c r="I748" i="10"/>
  <c r="J748" i="10" s="1"/>
  <c r="K748" i="10" s="1"/>
  <c r="I749" i="10"/>
  <c r="J749" i="10" s="1"/>
  <c r="K749" i="10" s="1"/>
  <c r="I750" i="10"/>
  <c r="J750" i="10"/>
  <c r="K750" i="10" s="1"/>
  <c r="I751" i="10"/>
  <c r="J751" i="10"/>
  <c r="K751" i="10"/>
  <c r="I752" i="10"/>
  <c r="J752" i="10"/>
  <c r="K752" i="10"/>
  <c r="I753" i="10"/>
  <c r="J753" i="10" s="1"/>
  <c r="K753" i="10" s="1"/>
  <c r="I754" i="10"/>
  <c r="J754" i="10"/>
  <c r="K754" i="10" s="1"/>
  <c r="I755" i="10"/>
  <c r="J755" i="10"/>
  <c r="K755" i="10"/>
  <c r="I756" i="10"/>
  <c r="J756" i="10" s="1"/>
  <c r="K756" i="10" s="1"/>
  <c r="I757" i="10"/>
  <c r="J757" i="10" s="1"/>
  <c r="K757" i="10" s="1"/>
  <c r="I758" i="10"/>
  <c r="J758" i="10"/>
  <c r="K758" i="10"/>
  <c r="I759" i="10"/>
  <c r="J759" i="10"/>
  <c r="K759" i="10"/>
  <c r="I760" i="10"/>
  <c r="J760" i="10"/>
  <c r="K760" i="10"/>
  <c r="I761" i="10"/>
  <c r="J761" i="10"/>
  <c r="K761" i="10" s="1"/>
  <c r="I762" i="10"/>
  <c r="J762" i="10"/>
  <c r="K762" i="10" s="1"/>
  <c r="I763" i="10"/>
  <c r="J763" i="10"/>
  <c r="K763" i="10"/>
  <c r="I764" i="10"/>
  <c r="J764" i="10" s="1"/>
  <c r="K764" i="10" s="1"/>
  <c r="I765" i="10"/>
  <c r="J765" i="10" s="1"/>
  <c r="K765" i="10" s="1"/>
  <c r="I766" i="10"/>
  <c r="J766" i="10"/>
  <c r="K766" i="10"/>
  <c r="I767" i="10"/>
  <c r="J767" i="10"/>
  <c r="K767" i="10"/>
  <c r="I768" i="10"/>
  <c r="J768" i="10"/>
  <c r="K768" i="10"/>
  <c r="I769" i="10"/>
  <c r="J769" i="10"/>
  <c r="K769" i="10" s="1"/>
  <c r="I770" i="10"/>
  <c r="J770" i="10"/>
  <c r="K770" i="10" s="1"/>
  <c r="I771" i="10"/>
  <c r="J771" i="10"/>
  <c r="K771" i="10"/>
  <c r="I772" i="10"/>
  <c r="J772" i="10" s="1"/>
  <c r="K772" i="10" s="1"/>
  <c r="I773" i="10"/>
  <c r="J773" i="10" s="1"/>
  <c r="K773" i="10" s="1"/>
  <c r="I774" i="10"/>
  <c r="J774" i="10"/>
  <c r="K774" i="10" s="1"/>
  <c r="I775" i="10"/>
  <c r="J775" i="10"/>
  <c r="K775" i="10"/>
  <c r="I776" i="10"/>
  <c r="J776" i="10"/>
  <c r="K776" i="10"/>
  <c r="I777" i="10"/>
  <c r="J777" i="10" s="1"/>
  <c r="K777" i="10" s="1"/>
  <c r="I778" i="10"/>
  <c r="J778" i="10"/>
  <c r="K778" i="10" s="1"/>
  <c r="I779" i="10"/>
  <c r="J779" i="10"/>
  <c r="K779" i="10"/>
  <c r="I780" i="10"/>
  <c r="J780" i="10" s="1"/>
  <c r="K780" i="10" s="1"/>
  <c r="I781" i="10"/>
  <c r="J781" i="10" s="1"/>
  <c r="K781" i="10" s="1"/>
  <c r="I782" i="10"/>
  <c r="J782" i="10"/>
  <c r="K782" i="10" s="1"/>
  <c r="I783" i="10"/>
  <c r="J783" i="10"/>
  <c r="K783" i="10"/>
  <c r="I784" i="10"/>
  <c r="J784" i="10"/>
  <c r="K784" i="10"/>
  <c r="I785" i="10"/>
  <c r="J785" i="10" s="1"/>
  <c r="K785" i="10" s="1"/>
  <c r="I786" i="10"/>
  <c r="J786" i="10"/>
  <c r="K786" i="10" s="1"/>
  <c r="I787" i="10"/>
  <c r="J787" i="10"/>
  <c r="K787" i="10"/>
  <c r="I788" i="10"/>
  <c r="J788" i="10" s="1"/>
  <c r="K788" i="10" s="1"/>
  <c r="I789" i="10"/>
  <c r="J789" i="10" s="1"/>
  <c r="K789" i="10" s="1"/>
  <c r="I790" i="10"/>
  <c r="J790" i="10"/>
  <c r="K790" i="10"/>
  <c r="I791" i="10"/>
  <c r="J791" i="10"/>
  <c r="K791" i="10"/>
  <c r="I792" i="10"/>
  <c r="J792" i="10"/>
  <c r="K792" i="10"/>
  <c r="I793" i="10"/>
  <c r="J793" i="10"/>
  <c r="K793" i="10" s="1"/>
  <c r="I794" i="10"/>
  <c r="J794" i="10"/>
  <c r="K794" i="10" s="1"/>
  <c r="I795" i="10"/>
  <c r="J795" i="10"/>
  <c r="K795" i="10"/>
  <c r="I796" i="10"/>
  <c r="J796" i="10" s="1"/>
  <c r="K796" i="10" s="1"/>
  <c r="I797" i="10"/>
  <c r="J797" i="10" s="1"/>
  <c r="K797" i="10" s="1"/>
  <c r="I798" i="10"/>
  <c r="J798" i="10"/>
  <c r="K798" i="10"/>
  <c r="I799" i="10"/>
  <c r="J799" i="10"/>
  <c r="K799" i="10"/>
  <c r="I800" i="10"/>
  <c r="J800" i="10"/>
  <c r="K800" i="10"/>
  <c r="I801" i="10"/>
  <c r="J801" i="10"/>
  <c r="K801" i="10" s="1"/>
  <c r="I802" i="10"/>
  <c r="J802" i="10"/>
  <c r="K802" i="10" s="1"/>
  <c r="I803" i="10"/>
  <c r="J803" i="10"/>
  <c r="K803" i="10"/>
  <c r="I804" i="10"/>
  <c r="J804" i="10" s="1"/>
  <c r="K804" i="10" s="1"/>
  <c r="I805" i="10"/>
  <c r="J805" i="10" s="1"/>
  <c r="K805" i="10" s="1"/>
  <c r="I806" i="10"/>
  <c r="J806" i="10" s="1"/>
  <c r="K806" i="10" s="1"/>
  <c r="I807" i="10"/>
  <c r="J807" i="10"/>
  <c r="K807" i="10"/>
  <c r="I808" i="10"/>
  <c r="J808" i="10"/>
  <c r="K808" i="10"/>
  <c r="I809" i="10"/>
  <c r="J809" i="10" s="1"/>
  <c r="K809" i="10" s="1"/>
  <c r="I810" i="10"/>
  <c r="J810" i="10"/>
  <c r="K810" i="10" s="1"/>
  <c r="I811" i="10"/>
  <c r="J811" i="10"/>
  <c r="K811" i="10"/>
  <c r="I812" i="10"/>
  <c r="J812" i="10" s="1"/>
  <c r="K812" i="10" s="1"/>
  <c r="I813" i="10"/>
  <c r="J813" i="10" s="1"/>
  <c r="K813" i="10" s="1"/>
  <c r="I814" i="10"/>
  <c r="J814" i="10" s="1"/>
  <c r="K814" i="10" s="1"/>
  <c r="I815" i="10"/>
  <c r="J815" i="10"/>
  <c r="K815" i="10"/>
  <c r="I816" i="10"/>
  <c r="J816" i="10"/>
  <c r="K816" i="10"/>
  <c r="I817" i="10"/>
  <c r="J817" i="10" s="1"/>
  <c r="K817" i="10" s="1"/>
  <c r="I818" i="10"/>
  <c r="J818" i="10"/>
  <c r="K818" i="10" s="1"/>
  <c r="I819" i="10"/>
  <c r="J819" i="10"/>
  <c r="K819" i="10" s="1"/>
  <c r="I820" i="10"/>
  <c r="J820" i="10" s="1"/>
  <c r="K820" i="10" s="1"/>
  <c r="I821" i="10"/>
  <c r="J821" i="10" s="1"/>
  <c r="K821" i="10" s="1"/>
  <c r="I822" i="10"/>
  <c r="J822" i="10" s="1"/>
  <c r="K822" i="10" s="1"/>
  <c r="I823" i="10"/>
  <c r="J823" i="10"/>
  <c r="K823" i="10"/>
  <c r="I824" i="10"/>
  <c r="J824" i="10"/>
  <c r="K824" i="10"/>
  <c r="I825" i="10"/>
  <c r="J825" i="10"/>
  <c r="K825" i="10" s="1"/>
  <c r="I826" i="10"/>
  <c r="J826" i="10"/>
  <c r="K826" i="10" s="1"/>
  <c r="I827" i="10"/>
  <c r="J827" i="10"/>
  <c r="K827" i="10" s="1"/>
  <c r="I828" i="10"/>
  <c r="J828" i="10" s="1"/>
  <c r="K828" i="10" s="1"/>
  <c r="I829" i="10"/>
  <c r="J829" i="10" s="1"/>
  <c r="K829" i="10" s="1"/>
  <c r="I830" i="10"/>
  <c r="J830" i="10"/>
  <c r="K830" i="10"/>
  <c r="I831" i="10"/>
  <c r="J831" i="10"/>
  <c r="K831" i="10"/>
  <c r="I832" i="10"/>
  <c r="J832" i="10"/>
  <c r="K832" i="10"/>
  <c r="I833" i="10"/>
  <c r="J833" i="10"/>
  <c r="K833" i="10" s="1"/>
  <c r="I834" i="10"/>
  <c r="J834" i="10"/>
  <c r="K834" i="10" s="1"/>
  <c r="I835" i="10"/>
  <c r="J835" i="10"/>
  <c r="K835" i="10" s="1"/>
  <c r="I836" i="10"/>
  <c r="J836" i="10" s="1"/>
  <c r="K836" i="10" s="1"/>
  <c r="I837" i="10"/>
  <c r="J837" i="10" s="1"/>
  <c r="K837" i="10" s="1"/>
  <c r="I838" i="10"/>
  <c r="J838" i="10" s="1"/>
  <c r="K838" i="10" s="1"/>
  <c r="I839" i="10"/>
  <c r="J839" i="10"/>
  <c r="K839" i="10"/>
  <c r="I840" i="10"/>
  <c r="J840" i="10"/>
  <c r="K840" i="10"/>
  <c r="I841" i="10"/>
  <c r="J841" i="10"/>
  <c r="K841" i="10" s="1"/>
  <c r="I842" i="10"/>
  <c r="J842" i="10"/>
  <c r="K842" i="10" s="1"/>
  <c r="I843" i="10"/>
  <c r="J843" i="10"/>
  <c r="K843" i="10"/>
  <c r="I844" i="10"/>
  <c r="J844" i="10" s="1"/>
  <c r="K844" i="10" s="1"/>
  <c r="I845" i="10"/>
  <c r="J845" i="10" s="1"/>
  <c r="K845" i="10" s="1"/>
  <c r="I846" i="10"/>
  <c r="J846" i="10" s="1"/>
  <c r="K846" i="10" s="1"/>
  <c r="I847" i="10"/>
  <c r="J847" i="10"/>
  <c r="K847" i="10"/>
  <c r="I848" i="10"/>
  <c r="J848" i="10"/>
  <c r="K848" i="10"/>
  <c r="I849" i="10"/>
  <c r="J849" i="10"/>
  <c r="K849" i="10" s="1"/>
  <c r="I850" i="10"/>
  <c r="J850" i="10"/>
  <c r="K850" i="10" s="1"/>
  <c r="I851" i="10"/>
  <c r="J851" i="10"/>
  <c r="K851" i="10" s="1"/>
  <c r="I852" i="10"/>
  <c r="J852" i="10" s="1"/>
  <c r="K852" i="10" s="1"/>
  <c r="I853" i="10"/>
  <c r="J853" i="10" s="1"/>
  <c r="K853" i="10" s="1"/>
  <c r="I854" i="10"/>
  <c r="J854" i="10" s="1"/>
  <c r="K854" i="10" s="1"/>
  <c r="I855" i="10"/>
  <c r="J855" i="10"/>
  <c r="K855" i="10"/>
  <c r="I856" i="10"/>
  <c r="J856" i="10"/>
  <c r="K856" i="10"/>
  <c r="I857" i="10"/>
  <c r="J857" i="10"/>
  <c r="K857" i="10" s="1"/>
  <c r="I858" i="10"/>
  <c r="J858" i="10"/>
  <c r="K858" i="10" s="1"/>
  <c r="I859" i="10"/>
  <c r="J859" i="10"/>
  <c r="K859" i="10" s="1"/>
  <c r="I860" i="10"/>
  <c r="J860" i="10" s="1"/>
  <c r="K860" i="10" s="1"/>
  <c r="I861" i="10"/>
  <c r="J861" i="10" s="1"/>
  <c r="K861" i="10" s="1"/>
  <c r="I862" i="10"/>
  <c r="J862" i="10"/>
  <c r="K862" i="10"/>
  <c r="I863" i="10"/>
  <c r="J863" i="10"/>
  <c r="K863" i="10"/>
  <c r="I864" i="10"/>
  <c r="J864" i="10"/>
  <c r="K864" i="10"/>
  <c r="I865" i="10"/>
  <c r="J865" i="10"/>
  <c r="K865" i="10" s="1"/>
  <c r="I866" i="10"/>
  <c r="J866" i="10"/>
  <c r="K866" i="10" s="1"/>
  <c r="I867" i="10"/>
  <c r="J867" i="10"/>
  <c r="K867" i="10" s="1"/>
  <c r="I868" i="10"/>
  <c r="J868" i="10" s="1"/>
  <c r="K868" i="10" s="1"/>
  <c r="I869" i="10"/>
  <c r="J869" i="10" s="1"/>
  <c r="K869" i="10" s="1"/>
  <c r="I870" i="10"/>
  <c r="J870" i="10" s="1"/>
  <c r="K870" i="10" s="1"/>
  <c r="I871" i="10"/>
  <c r="J871" i="10"/>
  <c r="K871" i="10"/>
  <c r="I872" i="10"/>
  <c r="J872" i="10"/>
  <c r="K872" i="10"/>
  <c r="I873" i="10"/>
  <c r="J873" i="10"/>
  <c r="K873" i="10" s="1"/>
  <c r="I874" i="10"/>
  <c r="J874" i="10"/>
  <c r="K874" i="10" s="1"/>
  <c r="I875" i="10"/>
  <c r="J875" i="10"/>
  <c r="K875" i="10"/>
  <c r="I876" i="10"/>
  <c r="J876" i="10" s="1"/>
  <c r="K876" i="10" s="1"/>
  <c r="I877" i="10"/>
  <c r="J877" i="10" s="1"/>
  <c r="K877" i="10" s="1"/>
  <c r="I878" i="10"/>
  <c r="J878" i="10" s="1"/>
  <c r="K878" i="10" s="1"/>
  <c r="I879" i="10"/>
  <c r="J879" i="10"/>
  <c r="K879" i="10"/>
  <c r="I880" i="10"/>
  <c r="J880" i="10"/>
  <c r="K880" i="10"/>
  <c r="I881" i="10"/>
  <c r="J881" i="10"/>
  <c r="K881" i="10" s="1"/>
  <c r="I882" i="10"/>
  <c r="J882" i="10"/>
  <c r="K882" i="10" s="1"/>
  <c r="I883" i="10"/>
  <c r="J883" i="10"/>
  <c r="K883" i="10" s="1"/>
  <c r="I884" i="10"/>
  <c r="J884" i="10" s="1"/>
  <c r="K884" i="10" s="1"/>
  <c r="I885" i="10"/>
  <c r="J885" i="10" s="1"/>
  <c r="K885" i="10" s="1"/>
  <c r="I886" i="10"/>
  <c r="J886" i="10" s="1"/>
  <c r="K886" i="10" s="1"/>
  <c r="I887" i="10"/>
  <c r="J887" i="10"/>
  <c r="K887" i="10"/>
  <c r="I888" i="10"/>
  <c r="J888" i="10"/>
  <c r="K888" i="10"/>
  <c r="I889" i="10"/>
  <c r="J889" i="10"/>
  <c r="K889" i="10" s="1"/>
  <c r="I890" i="10"/>
  <c r="J890" i="10"/>
  <c r="K890" i="10" s="1"/>
  <c r="I891" i="10"/>
  <c r="J891" i="10"/>
  <c r="K891" i="10" s="1"/>
  <c r="I892" i="10"/>
  <c r="J892" i="10" s="1"/>
  <c r="K892" i="10" s="1"/>
  <c r="I893" i="10"/>
  <c r="J893" i="10" s="1"/>
  <c r="K893" i="10" s="1"/>
  <c r="I894" i="10"/>
  <c r="J894" i="10"/>
  <c r="K894" i="10"/>
  <c r="I895" i="10"/>
  <c r="J895" i="10"/>
  <c r="K895" i="10"/>
  <c r="I896" i="10"/>
  <c r="J896" i="10"/>
  <c r="K896" i="10"/>
  <c r="I897" i="10"/>
  <c r="J897" i="10"/>
  <c r="K897" i="10" s="1"/>
  <c r="I898" i="10"/>
  <c r="J898" i="10"/>
  <c r="K898" i="10" s="1"/>
  <c r="I899" i="10"/>
  <c r="J899" i="10"/>
  <c r="K899" i="10" s="1"/>
  <c r="I900" i="10"/>
  <c r="J900" i="10" s="1"/>
  <c r="K900" i="10" s="1"/>
  <c r="I901" i="10"/>
  <c r="J901" i="10" s="1"/>
  <c r="K901" i="10" s="1"/>
  <c r="I902" i="10"/>
  <c r="J902" i="10" s="1"/>
  <c r="K902" i="10" s="1"/>
  <c r="I903" i="10"/>
  <c r="J903" i="10"/>
  <c r="K903" i="10"/>
  <c r="I904" i="10"/>
  <c r="J904" i="10"/>
  <c r="K904" i="10"/>
  <c r="I905" i="10"/>
  <c r="J905" i="10"/>
  <c r="K905" i="10" s="1"/>
  <c r="I906" i="10"/>
  <c r="J906" i="10"/>
  <c r="K906" i="10" s="1"/>
  <c r="I907" i="10"/>
  <c r="J907" i="10"/>
  <c r="K907" i="10"/>
  <c r="I908" i="10"/>
  <c r="J908" i="10" s="1"/>
  <c r="K908" i="10" s="1"/>
  <c r="I909" i="10"/>
  <c r="J909" i="10" s="1"/>
  <c r="K909" i="10" s="1"/>
  <c r="I910" i="10"/>
  <c r="J910" i="10" s="1"/>
  <c r="K910" i="10" s="1"/>
  <c r="I911" i="10"/>
  <c r="J911" i="10"/>
  <c r="K911" i="10"/>
  <c r="I912" i="10"/>
  <c r="J912" i="10"/>
  <c r="K912" i="10"/>
  <c r="I913" i="10"/>
  <c r="J913" i="10"/>
  <c r="K913" i="10" s="1"/>
  <c r="I914" i="10"/>
  <c r="J914" i="10"/>
  <c r="K914" i="10" s="1"/>
  <c r="I915" i="10"/>
  <c r="J915" i="10"/>
  <c r="K915" i="10" s="1"/>
  <c r="I916" i="10"/>
  <c r="J916" i="10" s="1"/>
  <c r="K916" i="10" s="1"/>
  <c r="I917" i="10"/>
  <c r="J917" i="10" s="1"/>
  <c r="K917" i="10" s="1"/>
  <c r="I918" i="10"/>
  <c r="J918" i="10" s="1"/>
  <c r="K918" i="10" s="1"/>
  <c r="I919" i="10"/>
  <c r="J919" i="10"/>
  <c r="K919" i="10"/>
  <c r="I920" i="10"/>
  <c r="J920" i="10"/>
  <c r="K920" i="10"/>
  <c r="I921" i="10"/>
  <c r="J921" i="10"/>
  <c r="K921" i="10" s="1"/>
  <c r="I922" i="10"/>
  <c r="J922" i="10"/>
  <c r="K922" i="10" s="1"/>
  <c r="I923" i="10"/>
  <c r="J923" i="10"/>
  <c r="K923" i="10" s="1"/>
  <c r="I924" i="10"/>
  <c r="J924" i="10" s="1"/>
  <c r="K924" i="10" s="1"/>
  <c r="I925" i="10"/>
  <c r="J925" i="10" s="1"/>
  <c r="K925" i="10"/>
  <c r="I926" i="10"/>
  <c r="J926" i="10" s="1"/>
  <c r="K926" i="10" s="1"/>
  <c r="I927" i="10"/>
  <c r="J927" i="10"/>
  <c r="K927" i="10" s="1"/>
  <c r="I928" i="10"/>
  <c r="J928" i="10"/>
  <c r="K928" i="10"/>
  <c r="I929" i="10"/>
  <c r="J929" i="10"/>
  <c r="K929" i="10" s="1"/>
  <c r="I930" i="10"/>
  <c r="J930" i="10"/>
  <c r="K930" i="10" s="1"/>
  <c r="I931" i="10"/>
  <c r="J931" i="10"/>
  <c r="K931" i="10"/>
  <c r="I932" i="10"/>
  <c r="J932" i="10" s="1"/>
  <c r="K932" i="10" s="1"/>
  <c r="I933" i="10"/>
  <c r="J933" i="10" s="1"/>
  <c r="K933" i="10" s="1"/>
  <c r="I934" i="10"/>
  <c r="J934" i="10" s="1"/>
  <c r="K934" i="10" s="1"/>
  <c r="I935" i="10"/>
  <c r="J935" i="10"/>
  <c r="K935" i="10" s="1"/>
  <c r="I936" i="10"/>
  <c r="J936" i="10"/>
  <c r="K936" i="10"/>
  <c r="I937" i="10"/>
  <c r="J937" i="10"/>
  <c r="K937" i="10" s="1"/>
  <c r="I938" i="10"/>
  <c r="J938" i="10"/>
  <c r="K938" i="10" s="1"/>
  <c r="I939" i="10"/>
  <c r="J939" i="10"/>
  <c r="K939" i="10" s="1"/>
  <c r="I940" i="10"/>
  <c r="J940" i="10" s="1"/>
  <c r="K940" i="10" s="1"/>
  <c r="I941" i="10"/>
  <c r="J941" i="10" s="1"/>
  <c r="K941" i="10"/>
  <c r="I942" i="10"/>
  <c r="J942" i="10" s="1"/>
  <c r="K942" i="10" s="1"/>
  <c r="I943" i="10"/>
  <c r="J943" i="10"/>
  <c r="K943" i="10" s="1"/>
  <c r="I944" i="10"/>
  <c r="J944" i="10"/>
  <c r="K944" i="10"/>
  <c r="I945" i="10"/>
  <c r="J945" i="10"/>
  <c r="K945" i="10" s="1"/>
  <c r="I946" i="10"/>
  <c r="J946" i="10"/>
  <c r="K946" i="10" s="1"/>
  <c r="I947" i="10"/>
  <c r="J947" i="10"/>
  <c r="K947" i="10"/>
  <c r="I948" i="10"/>
  <c r="J948" i="10" s="1"/>
  <c r="K948" i="10" s="1"/>
  <c r="I949" i="10"/>
  <c r="J949" i="10" s="1"/>
  <c r="K949" i="10" s="1"/>
  <c r="I950" i="10"/>
  <c r="J950" i="10" s="1"/>
  <c r="K950" i="10" s="1"/>
  <c r="I951" i="10"/>
  <c r="J951" i="10"/>
  <c r="K951" i="10" s="1"/>
  <c r="I952" i="10"/>
  <c r="J952" i="10"/>
  <c r="K952" i="10"/>
  <c r="I953" i="10"/>
  <c r="J953" i="10"/>
  <c r="K953" i="10" s="1"/>
  <c r="I954" i="10"/>
  <c r="J954" i="10"/>
  <c r="K954" i="10" s="1"/>
  <c r="I955" i="10"/>
  <c r="J955" i="10"/>
  <c r="K955" i="10" s="1"/>
  <c r="I956" i="10"/>
  <c r="J956" i="10" s="1"/>
  <c r="K956" i="10" s="1"/>
  <c r="I957" i="10"/>
  <c r="J957" i="10" s="1"/>
  <c r="K957" i="10"/>
  <c r="I958" i="10"/>
  <c r="J958" i="10" s="1"/>
  <c r="K958" i="10" s="1"/>
  <c r="I959" i="10"/>
  <c r="J959" i="10"/>
  <c r="K959" i="10" s="1"/>
  <c r="I960" i="10"/>
  <c r="J960" i="10"/>
  <c r="K960" i="10"/>
  <c r="I961" i="10"/>
  <c r="J961" i="10"/>
  <c r="K961" i="10" s="1"/>
  <c r="I962" i="10"/>
  <c r="J962" i="10"/>
  <c r="K962" i="10" s="1"/>
  <c r="I963" i="10"/>
  <c r="J963" i="10"/>
  <c r="K963" i="10"/>
  <c r="I964" i="10"/>
  <c r="J964" i="10" s="1"/>
  <c r="K964" i="10" s="1"/>
  <c r="I965" i="10"/>
  <c r="J965" i="10" s="1"/>
  <c r="K965" i="10" s="1"/>
  <c r="I966" i="10"/>
  <c r="J966" i="10" s="1"/>
  <c r="K966" i="10" s="1"/>
  <c r="I967" i="10"/>
  <c r="J967" i="10"/>
  <c r="K967" i="10" s="1"/>
  <c r="I968" i="10"/>
  <c r="J968" i="10"/>
  <c r="K968" i="10"/>
  <c r="I969" i="10"/>
  <c r="J969" i="10"/>
  <c r="K969" i="10" s="1"/>
  <c r="I970" i="10"/>
  <c r="J970" i="10"/>
  <c r="K970" i="10" s="1"/>
  <c r="I971" i="10"/>
  <c r="J971" i="10"/>
  <c r="K971" i="10" s="1"/>
  <c r="I972" i="10"/>
  <c r="J972" i="10" s="1"/>
  <c r="K972" i="10" s="1"/>
  <c r="I973" i="10"/>
  <c r="J973" i="10" s="1"/>
  <c r="K973" i="10"/>
  <c r="I974" i="10"/>
  <c r="J974" i="10" s="1"/>
  <c r="K974" i="10" s="1"/>
  <c r="I975" i="10"/>
  <c r="J975" i="10"/>
  <c r="K975" i="10" s="1"/>
  <c r="I976" i="10"/>
  <c r="J976" i="10"/>
  <c r="K976" i="10"/>
  <c r="I977" i="10"/>
  <c r="J977" i="10"/>
  <c r="K977" i="10" s="1"/>
  <c r="I978" i="10"/>
  <c r="J978" i="10"/>
  <c r="K978" i="10" s="1"/>
  <c r="I979" i="10"/>
  <c r="J979" i="10"/>
  <c r="K979" i="10"/>
  <c r="I980" i="10"/>
  <c r="J980" i="10" s="1"/>
  <c r="K980" i="10" s="1"/>
  <c r="I981" i="10"/>
  <c r="J981" i="10" s="1"/>
  <c r="K981" i="10" s="1"/>
  <c r="I982" i="10"/>
  <c r="J982" i="10" s="1"/>
  <c r="K982" i="10" s="1"/>
  <c r="I983" i="10"/>
  <c r="J983" i="10"/>
  <c r="K983" i="10" s="1"/>
  <c r="I984" i="10"/>
  <c r="J984" i="10"/>
  <c r="K984" i="10"/>
  <c r="I985" i="10"/>
  <c r="J985" i="10"/>
  <c r="K985" i="10" s="1"/>
  <c r="I986" i="10"/>
  <c r="J986" i="10"/>
  <c r="K986" i="10" s="1"/>
  <c r="I987" i="10"/>
  <c r="J987" i="10"/>
  <c r="K987" i="10" s="1"/>
  <c r="I988" i="10"/>
  <c r="J988" i="10" s="1"/>
  <c r="K988" i="10" s="1"/>
  <c r="I989" i="10"/>
  <c r="J989" i="10" s="1"/>
  <c r="K989" i="10"/>
  <c r="I990" i="10"/>
  <c r="J990" i="10" s="1"/>
  <c r="K990" i="10" s="1"/>
  <c r="I991" i="10"/>
  <c r="J991" i="10"/>
  <c r="K991" i="10" s="1"/>
  <c r="I992" i="10"/>
  <c r="J992" i="10"/>
  <c r="K992" i="10"/>
  <c r="I993" i="10"/>
  <c r="J993" i="10"/>
  <c r="K993" i="10" s="1"/>
  <c r="I994" i="10"/>
  <c r="J994" i="10"/>
  <c r="K994" i="10" s="1"/>
  <c r="I995" i="10"/>
  <c r="J995" i="10"/>
  <c r="K995" i="10"/>
  <c r="I996" i="10"/>
  <c r="J996" i="10" s="1"/>
  <c r="K996" i="10" s="1"/>
  <c r="I997" i="10"/>
  <c r="J997" i="10" s="1"/>
  <c r="K997" i="10" s="1"/>
  <c r="I998" i="10"/>
  <c r="J998" i="10" s="1"/>
  <c r="K998" i="10" s="1"/>
  <c r="I999" i="10"/>
  <c r="J999" i="10"/>
  <c r="K999" i="10" s="1"/>
  <c r="I1000" i="10"/>
  <c r="J1000" i="10"/>
  <c r="K1000" i="10"/>
  <c r="I1001" i="10"/>
  <c r="J1001" i="10"/>
  <c r="K1001" i="10" s="1"/>
  <c r="I1002" i="10"/>
  <c r="J1002" i="10"/>
  <c r="K1002" i="10" s="1"/>
  <c r="I1003" i="10"/>
  <c r="J1003" i="10"/>
  <c r="K1003" i="10" s="1"/>
  <c r="I1004" i="10"/>
  <c r="J1004" i="10" s="1"/>
  <c r="K1004" i="10" s="1"/>
  <c r="I1005" i="10"/>
  <c r="J1005" i="10" s="1"/>
  <c r="K1005" i="10"/>
  <c r="I1006" i="10"/>
  <c r="J1006" i="10" s="1"/>
  <c r="K1006" i="10" s="1"/>
  <c r="I1007" i="10"/>
  <c r="J1007" i="10"/>
  <c r="K1007" i="10" s="1"/>
  <c r="I1008" i="10"/>
  <c r="J1008" i="10"/>
  <c r="K1008" i="10"/>
  <c r="I1009" i="10"/>
  <c r="J1009" i="10"/>
  <c r="K1009" i="10" s="1"/>
  <c r="I1010" i="10"/>
  <c r="J1010" i="10" s="1"/>
  <c r="K1010" i="10" s="1"/>
  <c r="I1011" i="10"/>
  <c r="J1011" i="10"/>
  <c r="K1011" i="10" s="1"/>
  <c r="I1012" i="10"/>
  <c r="J1012" i="10" s="1"/>
  <c r="K1012" i="10" s="1"/>
  <c r="I1013" i="10"/>
  <c r="J1013" i="10"/>
  <c r="K1013" i="10"/>
  <c r="I1014" i="10"/>
  <c r="J1014" i="10" s="1"/>
  <c r="K1014" i="10" s="1"/>
  <c r="I1015" i="10"/>
  <c r="J1015" i="10"/>
  <c r="K1015" i="10" s="1"/>
  <c r="I1016" i="10"/>
  <c r="J1016" i="10"/>
  <c r="K1016" i="10"/>
  <c r="I1017" i="10"/>
  <c r="J1017" i="10"/>
  <c r="K1017" i="10" s="1"/>
  <c r="I1018" i="10"/>
  <c r="J1018" i="10" s="1"/>
  <c r="K1018" i="10" s="1"/>
  <c r="I1019" i="10"/>
  <c r="J1019" i="10"/>
  <c r="K1019" i="10" s="1"/>
  <c r="I1020" i="10"/>
  <c r="J1020" i="10" s="1"/>
  <c r="K1020" i="10" s="1"/>
  <c r="I1021" i="10"/>
  <c r="J1021" i="10"/>
  <c r="K1021" i="10"/>
  <c r="I1022" i="10"/>
  <c r="J1022" i="10" s="1"/>
  <c r="K1022" i="10" s="1"/>
  <c r="I1023" i="10"/>
  <c r="J1023" i="10"/>
  <c r="K1023" i="10" s="1"/>
  <c r="I1024" i="10"/>
  <c r="J1024" i="10"/>
  <c r="K1024" i="10"/>
  <c r="I1025" i="10"/>
  <c r="J1025" i="10"/>
  <c r="K1025" i="10" s="1"/>
  <c r="I1026" i="10"/>
  <c r="J1026" i="10" s="1"/>
  <c r="K1026" i="10" s="1"/>
  <c r="I1027" i="10"/>
  <c r="J1027" i="10"/>
  <c r="K1027" i="10" s="1"/>
  <c r="I1028" i="10"/>
  <c r="J1028" i="10" s="1"/>
  <c r="K1028" i="10" s="1"/>
  <c r="I1029" i="10"/>
  <c r="J1029" i="10"/>
  <c r="K1029" i="10"/>
  <c r="I1030" i="10"/>
  <c r="J1030" i="10" s="1"/>
  <c r="K1030" i="10" s="1"/>
  <c r="I1031" i="10"/>
  <c r="J1031" i="10"/>
  <c r="K1031" i="10" s="1"/>
  <c r="I1032" i="10"/>
  <c r="J1032" i="10"/>
  <c r="K1032" i="10"/>
  <c r="I1033" i="10"/>
  <c r="J1033" i="10"/>
  <c r="K1033" i="10" s="1"/>
  <c r="I1034" i="10"/>
  <c r="J1034" i="10" s="1"/>
  <c r="K1034" i="10" s="1"/>
  <c r="I1035" i="10"/>
  <c r="J1035" i="10"/>
  <c r="K1035" i="10" s="1"/>
  <c r="I1036" i="10"/>
  <c r="J1036" i="10" s="1"/>
  <c r="K1036" i="10" s="1"/>
  <c r="I1037" i="10"/>
  <c r="J1037" i="10"/>
  <c r="K1037" i="10"/>
  <c r="I1038" i="10"/>
  <c r="J1038" i="10" s="1"/>
  <c r="K1038" i="10" s="1"/>
  <c r="I1039" i="10"/>
  <c r="J1039" i="10"/>
  <c r="K1039" i="10" s="1"/>
  <c r="I1040" i="10"/>
  <c r="J1040" i="10"/>
  <c r="K1040" i="10"/>
  <c r="I1041" i="10"/>
  <c r="J1041" i="10"/>
  <c r="K1041" i="10" s="1"/>
  <c r="I1042" i="10"/>
  <c r="J1042" i="10" s="1"/>
  <c r="K1042" i="10" s="1"/>
  <c r="I1043" i="10"/>
  <c r="J1043" i="10"/>
  <c r="K1043" i="10" s="1"/>
  <c r="I1044" i="10"/>
  <c r="J1044" i="10" s="1"/>
  <c r="K1044" i="10" s="1"/>
  <c r="I1045" i="10"/>
  <c r="J1045" i="10"/>
  <c r="K1045" i="10"/>
  <c r="I1046" i="10"/>
  <c r="J1046" i="10" s="1"/>
  <c r="K1046" i="10" s="1"/>
  <c r="I1047" i="10"/>
  <c r="J1047" i="10"/>
  <c r="K1047" i="10" s="1"/>
  <c r="I1048" i="10"/>
  <c r="J1048" i="10"/>
  <c r="K1048" i="10"/>
  <c r="I1049" i="10"/>
  <c r="J1049" i="10"/>
  <c r="K1049" i="10" s="1"/>
  <c r="I1050" i="10"/>
  <c r="J1050" i="10" s="1"/>
  <c r="K1050" i="10" s="1"/>
  <c r="I1051" i="10"/>
  <c r="J1051" i="10"/>
  <c r="K1051" i="10" s="1"/>
  <c r="I1052" i="10"/>
  <c r="J1052" i="10" s="1"/>
  <c r="K1052" i="10" s="1"/>
  <c r="I1053" i="10"/>
  <c r="J1053" i="10"/>
  <c r="K1053" i="10"/>
  <c r="I1054" i="10"/>
  <c r="J1054" i="10" s="1"/>
  <c r="K1054" i="10" s="1"/>
  <c r="I1055" i="10"/>
  <c r="J1055" i="10"/>
  <c r="K1055" i="10" s="1"/>
  <c r="I1056" i="10"/>
  <c r="J1056" i="10"/>
  <c r="K1056" i="10"/>
  <c r="I1057" i="10"/>
  <c r="J1057" i="10"/>
  <c r="K1057" i="10" s="1"/>
  <c r="I1058" i="10"/>
  <c r="J1058" i="10" s="1"/>
  <c r="K1058" i="10" s="1"/>
  <c r="I1059" i="10"/>
  <c r="J1059" i="10"/>
  <c r="K1059" i="10" s="1"/>
  <c r="I1060" i="10"/>
  <c r="J1060" i="10" s="1"/>
  <c r="K1060" i="10" s="1"/>
  <c r="I1061" i="10"/>
  <c r="J1061" i="10"/>
  <c r="K1061" i="10"/>
  <c r="I1062" i="10"/>
  <c r="J1062" i="10" s="1"/>
  <c r="K1062" i="10" s="1"/>
  <c r="I1063" i="10"/>
  <c r="J1063" i="10"/>
  <c r="K1063" i="10" s="1"/>
  <c r="I1064" i="10"/>
  <c r="J1064" i="10"/>
  <c r="K1064" i="10"/>
  <c r="I1065" i="10"/>
  <c r="J1065" i="10"/>
  <c r="K1065" i="10" s="1"/>
  <c r="I1066" i="10"/>
  <c r="J1066" i="10" s="1"/>
  <c r="K1066" i="10" s="1"/>
  <c r="I1067" i="10"/>
  <c r="J1067" i="10"/>
  <c r="K1067" i="10" s="1"/>
  <c r="I1068" i="10"/>
  <c r="J1068" i="10" s="1"/>
  <c r="K1068" i="10" s="1"/>
  <c r="I1069" i="10"/>
  <c r="J1069" i="10"/>
  <c r="K1069" i="10"/>
  <c r="I1070" i="10"/>
  <c r="J1070" i="10" s="1"/>
  <c r="K1070" i="10" s="1"/>
  <c r="I1071" i="10"/>
  <c r="J1071" i="10"/>
  <c r="K1071" i="10" s="1"/>
  <c r="I1072" i="10"/>
  <c r="J1072" i="10"/>
  <c r="K1072" i="10"/>
  <c r="I1073" i="10"/>
  <c r="J1073" i="10"/>
  <c r="K1073" i="10" s="1"/>
  <c r="I1074" i="10"/>
  <c r="J1074" i="10" s="1"/>
  <c r="K1074" i="10" s="1"/>
  <c r="I1075" i="10"/>
  <c r="J1075" i="10"/>
  <c r="K1075" i="10" s="1"/>
  <c r="I1076" i="10"/>
  <c r="J1076" i="10" s="1"/>
  <c r="K1076" i="10" s="1"/>
  <c r="I1077" i="10"/>
  <c r="J1077" i="10"/>
  <c r="K1077" i="10"/>
  <c r="I1078" i="10"/>
  <c r="J1078" i="10" s="1"/>
  <c r="K1078" i="10" s="1"/>
  <c r="I1079" i="10"/>
  <c r="J1079" i="10"/>
  <c r="K1079" i="10" s="1"/>
  <c r="I1080" i="10"/>
  <c r="J1080" i="10"/>
  <c r="K1080" i="10"/>
  <c r="I1081" i="10"/>
  <c r="J1081" i="10"/>
  <c r="K1081" i="10" s="1"/>
  <c r="I1082" i="10"/>
  <c r="J1082" i="10" s="1"/>
  <c r="K1082" i="10" s="1"/>
  <c r="I1083" i="10"/>
  <c r="J1083" i="10"/>
  <c r="K1083" i="10" s="1"/>
  <c r="I1084" i="10"/>
  <c r="J1084" i="10" s="1"/>
  <c r="K1084" i="10" s="1"/>
  <c r="I1085" i="10"/>
  <c r="J1085" i="10"/>
  <c r="K1085" i="10"/>
  <c r="I1086" i="10"/>
  <c r="J1086" i="10" s="1"/>
  <c r="K1086" i="10" s="1"/>
  <c r="I1087" i="10"/>
  <c r="J1087" i="10"/>
  <c r="K1087" i="10" s="1"/>
  <c r="I1088" i="10"/>
  <c r="J1088" i="10"/>
  <c r="K1088" i="10"/>
  <c r="I1089" i="10"/>
  <c r="J1089" i="10"/>
  <c r="K1089" i="10" s="1"/>
  <c r="I1090" i="10"/>
  <c r="J1090" i="10" s="1"/>
  <c r="K1090" i="10" s="1"/>
  <c r="I1091" i="10"/>
  <c r="J1091" i="10"/>
  <c r="K1091" i="10" s="1"/>
  <c r="I1092" i="10"/>
  <c r="J1092" i="10" s="1"/>
  <c r="K1092" i="10" s="1"/>
  <c r="I1093" i="10"/>
  <c r="J1093" i="10"/>
  <c r="K1093" i="10"/>
  <c r="I1094" i="10"/>
  <c r="J1094" i="10" s="1"/>
  <c r="K1094" i="10" s="1"/>
  <c r="I1095" i="10"/>
  <c r="J1095" i="10"/>
  <c r="K1095" i="10" s="1"/>
  <c r="I1096" i="10"/>
  <c r="J1096" i="10"/>
  <c r="K1096" i="10"/>
  <c r="I1097" i="10"/>
  <c r="J1097" i="10"/>
  <c r="K1097" i="10" s="1"/>
  <c r="I1098" i="10"/>
  <c r="J1098" i="10" s="1"/>
  <c r="K1098" i="10" s="1"/>
  <c r="I1099" i="10"/>
  <c r="J1099" i="10"/>
  <c r="K1099" i="10" s="1"/>
  <c r="I1100" i="10"/>
  <c r="J1100" i="10" s="1"/>
  <c r="K1100" i="10" s="1"/>
  <c r="I1101" i="10"/>
  <c r="J1101" i="10"/>
  <c r="K1101" i="10"/>
  <c r="I1102" i="10"/>
  <c r="J1102" i="10" s="1"/>
  <c r="K1102" i="10" s="1"/>
  <c r="I1103" i="10"/>
  <c r="J1103" i="10"/>
  <c r="K1103" i="10" s="1"/>
  <c r="I1104" i="10"/>
  <c r="J1104" i="10" s="1"/>
  <c r="K1104" i="10" s="1"/>
  <c r="I1105" i="10"/>
  <c r="J1105" i="10"/>
  <c r="K1105" i="10" s="1"/>
  <c r="I1106" i="10"/>
  <c r="J1106" i="10" s="1"/>
  <c r="K1106" i="10" s="1"/>
  <c r="I1107" i="10"/>
  <c r="J1107" i="10"/>
  <c r="K1107" i="10" s="1"/>
  <c r="I1108" i="10"/>
  <c r="J1108" i="10" s="1"/>
  <c r="K1108" i="10" s="1"/>
  <c r="I1109" i="10"/>
  <c r="J1109" i="10"/>
  <c r="K1109" i="10"/>
  <c r="I1110" i="10"/>
  <c r="J1110" i="10" s="1"/>
  <c r="K1110" i="10" s="1"/>
  <c r="I1111" i="10"/>
  <c r="J1111" i="10"/>
  <c r="K1111" i="10" s="1"/>
  <c r="I1112" i="10"/>
  <c r="J1112" i="10"/>
  <c r="K1112" i="10"/>
  <c r="I1113" i="10"/>
  <c r="J1113" i="10"/>
  <c r="K1113" i="10" s="1"/>
  <c r="I1114" i="10"/>
  <c r="J1114" i="10" s="1"/>
  <c r="K1114" i="10" s="1"/>
  <c r="I1115" i="10"/>
  <c r="J1115" i="10"/>
  <c r="K1115" i="10" s="1"/>
  <c r="I1116" i="10"/>
  <c r="J1116" i="10" s="1"/>
  <c r="K1116" i="10" s="1"/>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H1101" i="10"/>
  <c r="E1101" i="10"/>
  <c r="G1101" i="10" s="1"/>
  <c r="AR1100" i="10"/>
  <c r="AM1100" i="10"/>
  <c r="V1100" i="10"/>
  <c r="U1100" i="10"/>
  <c r="H1100" i="10"/>
  <c r="G1100" i="10"/>
  <c r="E1100" i="10"/>
  <c r="AR1099" i="10"/>
  <c r="AM1099" i="10"/>
  <c r="V1099" i="10"/>
  <c r="U1099" i="10"/>
  <c r="G1099" i="10"/>
  <c r="E1099" i="10"/>
  <c r="H1099" i="10" s="1"/>
  <c r="AM1098" i="10"/>
  <c r="V1098" i="10"/>
  <c r="U1098" i="10"/>
  <c r="E1098" i="10"/>
  <c r="H1098" i="10" s="1"/>
  <c r="AM1097" i="10"/>
  <c r="V1097" i="10"/>
  <c r="U1097" i="10"/>
  <c r="E1097" i="10"/>
  <c r="AM1096" i="10"/>
  <c r="V1096" i="10"/>
  <c r="U1096" i="10"/>
  <c r="G1096" i="10"/>
  <c r="E1096" i="10"/>
  <c r="H1096" i="10" s="1"/>
  <c r="AM1095" i="10"/>
  <c r="V1095" i="10"/>
  <c r="U1095" i="10"/>
  <c r="H1095" i="10"/>
  <c r="G1095" i="10"/>
  <c r="E1095" i="10"/>
  <c r="AR1094" i="10"/>
  <c r="AM1094" i="10"/>
  <c r="V1094" i="10"/>
  <c r="U1094" i="10"/>
  <c r="H1094" i="10"/>
  <c r="G1094" i="10"/>
  <c r="E1094" i="10"/>
  <c r="AR1093" i="10"/>
  <c r="AM1093" i="10"/>
  <c r="V1093" i="10"/>
  <c r="U1093" i="10"/>
  <c r="G1093" i="10"/>
  <c r="E1093" i="10"/>
  <c r="H1093" i="10" s="1"/>
  <c r="AR1092" i="10"/>
  <c r="AM1092" i="10"/>
  <c r="V1092" i="10"/>
  <c r="U1092" i="10"/>
  <c r="E1092" i="10"/>
  <c r="AR1091" i="10"/>
  <c r="AM1091" i="10"/>
  <c r="V1091" i="10"/>
  <c r="U1091" i="10"/>
  <c r="H1091" i="10"/>
  <c r="G1091" i="10"/>
  <c r="E1091" i="10"/>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H1080" i="10"/>
  <c r="G1080" i="10"/>
  <c r="E1080" i="10"/>
  <c r="V1079" i="10"/>
  <c r="U1079" i="10"/>
  <c r="H1079" i="10"/>
  <c r="G1079" i="10"/>
  <c r="E1079" i="10"/>
  <c r="V1078" i="10"/>
  <c r="U1078" i="10"/>
  <c r="H1078" i="10"/>
  <c r="G1078" i="10"/>
  <c r="E1078" i="10"/>
  <c r="V1077" i="10"/>
  <c r="U1077" i="10"/>
  <c r="H1077" i="10"/>
  <c r="G1077" i="10"/>
  <c r="E1077" i="10"/>
  <c r="V1076" i="10"/>
  <c r="U1076" i="10"/>
  <c r="H1076" i="10"/>
  <c r="G1076" i="10"/>
  <c r="E1076" i="10"/>
  <c r="V1075" i="10"/>
  <c r="U1075" i="10"/>
  <c r="H1075" i="10"/>
  <c r="G1075" i="10"/>
  <c r="E1075" i="10"/>
  <c r="V1074" i="10"/>
  <c r="U1074" i="10"/>
  <c r="H1074" i="10"/>
  <c r="G1074" i="10"/>
  <c r="E1074" i="10"/>
  <c r="V1073" i="10"/>
  <c r="U1073" i="10"/>
  <c r="H1073" i="10"/>
  <c r="G1073" i="10"/>
  <c r="E1073" i="10"/>
  <c r="V1072" i="10"/>
  <c r="U1072" i="10"/>
  <c r="H1072" i="10"/>
  <c r="G1072" i="10"/>
  <c r="E1072" i="10"/>
  <c r="V1071" i="10"/>
  <c r="U1071" i="10"/>
  <c r="H1071" i="10"/>
  <c r="G1071" i="10"/>
  <c r="E1071" i="10"/>
  <c r="V1070" i="10"/>
  <c r="U1070" i="10"/>
  <c r="H1070" i="10"/>
  <c r="G1070" i="10"/>
  <c r="E1070" i="10"/>
  <c r="V1069" i="10"/>
  <c r="U1069" i="10"/>
  <c r="H1069" i="10"/>
  <c r="G1069" i="10"/>
  <c r="E1069" i="10"/>
  <c r="V1068" i="10"/>
  <c r="U1068" i="10"/>
  <c r="H1068" i="10"/>
  <c r="G1068" i="10"/>
  <c r="E1068" i="10"/>
  <c r="V1067" i="10"/>
  <c r="U1067" i="10"/>
  <c r="H1067" i="10"/>
  <c r="G1067" i="10"/>
  <c r="E1067" i="10"/>
  <c r="V1066" i="10"/>
  <c r="U1066" i="10"/>
  <c r="H1066" i="10"/>
  <c r="G1066" i="10"/>
  <c r="E1066" i="10"/>
  <c r="V1065" i="10"/>
  <c r="U1065" i="10"/>
  <c r="H1065" i="10"/>
  <c r="G1065" i="10"/>
  <c r="E1065" i="10"/>
  <c r="V1064" i="10"/>
  <c r="U1064" i="10"/>
  <c r="H1064" i="10"/>
  <c r="G1064" i="10"/>
  <c r="E1064" i="10"/>
  <c r="V1063" i="10"/>
  <c r="U1063" i="10"/>
  <c r="H1063" i="10"/>
  <c r="G1063" i="10"/>
  <c r="E1063" i="10"/>
  <c r="V1062" i="10"/>
  <c r="U1062" i="10"/>
  <c r="H1062" i="10"/>
  <c r="G1062" i="10"/>
  <c r="E1062" i="10"/>
  <c r="V1061" i="10"/>
  <c r="U1061" i="10"/>
  <c r="H1061" i="10"/>
  <c r="G1061" i="10"/>
  <c r="E1061" i="10"/>
  <c r="V1060" i="10"/>
  <c r="U1060" i="10"/>
  <c r="H1060" i="10"/>
  <c r="G1060" i="10"/>
  <c r="E1060" i="10"/>
  <c r="V1059" i="10"/>
  <c r="U1059" i="10"/>
  <c r="H1059" i="10"/>
  <c r="G1059" i="10"/>
  <c r="E1059" i="10"/>
  <c r="V1058" i="10"/>
  <c r="U1058" i="10"/>
  <c r="H1058" i="10"/>
  <c r="G1058" i="10"/>
  <c r="E1058" i="10"/>
  <c r="V1057" i="10"/>
  <c r="U1057" i="10"/>
  <c r="H1057" i="10"/>
  <c r="G1057" i="10"/>
  <c r="E1057" i="10"/>
  <c r="V1056" i="10"/>
  <c r="U1056" i="10"/>
  <c r="H1056" i="10"/>
  <c r="G1056" i="10"/>
  <c r="E1056" i="10"/>
  <c r="V1055" i="10"/>
  <c r="U1055" i="10"/>
  <c r="H1055" i="10"/>
  <c r="G1055" i="10"/>
  <c r="E1055" i="10"/>
  <c r="V1054" i="10"/>
  <c r="U1054" i="10"/>
  <c r="H1054" i="10"/>
  <c r="G1054" i="10"/>
  <c r="E1054" i="10"/>
  <c r="V1053" i="10"/>
  <c r="U1053" i="10"/>
  <c r="H1053" i="10"/>
  <c r="G1053" i="10"/>
  <c r="E1053" i="10"/>
  <c r="V1052" i="10"/>
  <c r="U1052" i="10"/>
  <c r="H1052" i="10"/>
  <c r="G1052" i="10"/>
  <c r="E1052" i="10"/>
  <c r="V1051" i="10"/>
  <c r="U1051" i="10"/>
  <c r="H1051" i="10"/>
  <c r="G1051" i="10"/>
  <c r="E1051" i="10"/>
  <c r="V1050" i="10"/>
  <c r="U1050" i="10"/>
  <c r="H1050" i="10"/>
  <c r="G1050" i="10"/>
  <c r="F1050" i="10"/>
  <c r="V1049" i="10"/>
  <c r="U1049" i="10"/>
  <c r="H1049" i="10"/>
  <c r="G1049" i="10"/>
  <c r="F1049" i="10"/>
  <c r="V1048" i="10"/>
  <c r="U1048" i="10"/>
  <c r="H1048" i="10"/>
  <c r="G1048" i="10"/>
  <c r="F1048" i="10"/>
  <c r="BL1047" i="10"/>
  <c r="V1047" i="10"/>
  <c r="U1047" i="10"/>
  <c r="E1047" i="10"/>
  <c r="BL1046" i="10"/>
  <c r="V1046" i="10"/>
  <c r="U1046" i="10"/>
  <c r="H1046" i="10"/>
  <c r="G1046" i="10"/>
  <c r="E1046" i="10"/>
  <c r="BL1045" i="10"/>
  <c r="V1045" i="10"/>
  <c r="U1045" i="10"/>
  <c r="H1045" i="10"/>
  <c r="E1045" i="10"/>
  <c r="G1045" i="10" s="1"/>
  <c r="BL1044" i="10"/>
  <c r="V1044" i="10"/>
  <c r="U1044" i="10"/>
  <c r="H1044" i="10"/>
  <c r="G1044" i="10"/>
  <c r="E1044" i="10"/>
  <c r="BL1043" i="10"/>
  <c r="V1043" i="10"/>
  <c r="U1043" i="10"/>
  <c r="E1043" i="10"/>
  <c r="H1043" i="10" s="1"/>
  <c r="BL1042" i="10"/>
  <c r="V1042" i="10"/>
  <c r="U1042" i="10"/>
  <c r="E1042" i="10"/>
  <c r="BL1041" i="10"/>
  <c r="V1041" i="10"/>
  <c r="U1041" i="10"/>
  <c r="G1041" i="10"/>
  <c r="E1041" i="10"/>
  <c r="H1041" i="10" s="1"/>
  <c r="BL1040" i="10"/>
  <c r="V1040" i="10"/>
  <c r="U1040" i="10"/>
  <c r="H1040" i="10"/>
  <c r="G1040" i="10"/>
  <c r="E1040" i="10"/>
  <c r="BL1039" i="10"/>
  <c r="V1039" i="10"/>
  <c r="U1039" i="10"/>
  <c r="E1039" i="10"/>
  <c r="G1039" i="10" s="1"/>
  <c r="BL1038" i="10"/>
  <c r="V1038" i="10"/>
  <c r="U1038" i="10"/>
  <c r="G1038" i="10"/>
  <c r="E1038" i="10"/>
  <c r="H1038" i="10" s="1"/>
  <c r="BL1037" i="10"/>
  <c r="V1037" i="10"/>
  <c r="U1037" i="10"/>
  <c r="H1037" i="10"/>
  <c r="E1037" i="10"/>
  <c r="G1037" i="10" s="1"/>
  <c r="BL1036" i="10"/>
  <c r="V1036" i="10"/>
  <c r="U1036" i="10"/>
  <c r="H1036" i="10"/>
  <c r="G1036" i="10"/>
  <c r="E1036" i="10"/>
  <c r="BL1035" i="10"/>
  <c r="V1035" i="10"/>
  <c r="U1035" i="10"/>
  <c r="E1035" i="10"/>
  <c r="H1035" i="10" s="1"/>
  <c r="BL1034" i="10"/>
  <c r="V1034" i="10"/>
  <c r="U1034" i="10"/>
  <c r="E1034" i="10"/>
  <c r="BL1033" i="10"/>
  <c r="V1033" i="10"/>
  <c r="U1033" i="10"/>
  <c r="E1033" i="10"/>
  <c r="H1033" i="10" s="1"/>
  <c r="BL1032" i="10"/>
  <c r="V1032" i="10"/>
  <c r="U1032" i="10"/>
  <c r="H1032" i="10"/>
  <c r="G1032" i="10"/>
  <c r="E1032" i="10"/>
  <c r="BL1031" i="10"/>
  <c r="V1031" i="10"/>
  <c r="U1031" i="10"/>
  <c r="H1031" i="10"/>
  <c r="E1031" i="10"/>
  <c r="G1031" i="10" s="1"/>
  <c r="BL1030" i="10"/>
  <c r="V1030" i="10"/>
  <c r="U1030" i="10"/>
  <c r="G1030" i="10"/>
  <c r="E1030" i="10"/>
  <c r="H1030" i="10" s="1"/>
  <c r="BL1029" i="10"/>
  <c r="V1029" i="10"/>
  <c r="U1029" i="10"/>
  <c r="H1029" i="10"/>
  <c r="E1029" i="10"/>
  <c r="G1029" i="10" s="1"/>
  <c r="BL1028" i="10"/>
  <c r="V1028" i="10"/>
  <c r="U1028" i="10"/>
  <c r="H1028" i="10"/>
  <c r="G1028" i="10"/>
  <c r="E1028" i="10"/>
  <c r="BL1027" i="10"/>
  <c r="V1027" i="10"/>
  <c r="U1027" i="10"/>
  <c r="E1027" i="10"/>
  <c r="H1027" i="10" s="1"/>
  <c r="BL1026" i="10"/>
  <c r="V1026" i="10"/>
  <c r="U1026" i="10"/>
  <c r="E1026" i="10"/>
  <c r="BL1025" i="10"/>
  <c r="V1025" i="10"/>
  <c r="U1025" i="10"/>
  <c r="G1025" i="10"/>
  <c r="E1025" i="10"/>
  <c r="H1025" i="10" s="1"/>
  <c r="BL1024" i="10"/>
  <c r="V1024" i="10"/>
  <c r="U1024" i="10"/>
  <c r="H1024" i="10"/>
  <c r="G1024" i="10"/>
  <c r="E1024" i="10"/>
  <c r="BL1023" i="10"/>
  <c r="AR1023" i="10"/>
  <c r="V1023" i="10"/>
  <c r="U1023" i="10"/>
  <c r="H1023" i="10"/>
  <c r="G1023" i="10"/>
  <c r="E1023" i="10"/>
  <c r="BL1022" i="10"/>
  <c r="AR1022" i="10"/>
  <c r="V1022" i="10"/>
  <c r="U1022" i="10"/>
  <c r="H1022" i="10"/>
  <c r="G1022" i="10"/>
  <c r="E1022" i="10"/>
  <c r="BL1021" i="10"/>
  <c r="AR1021" i="10"/>
  <c r="V1021" i="10"/>
  <c r="U1021" i="10"/>
  <c r="E1021" i="10"/>
  <c r="BL1020" i="10"/>
  <c r="AR1020" i="10"/>
  <c r="V1020" i="10"/>
  <c r="U1020" i="10"/>
  <c r="H1020" i="10"/>
  <c r="G1020" i="10"/>
  <c r="E1020" i="10"/>
  <c r="BL1019" i="10"/>
  <c r="AR1019" i="10"/>
  <c r="V1019" i="10"/>
  <c r="U1019" i="10"/>
  <c r="H1019" i="10"/>
  <c r="G1019" i="10"/>
  <c r="E1019" i="10"/>
  <c r="BL1018" i="10"/>
  <c r="AR1018" i="10"/>
  <c r="V1018" i="10"/>
  <c r="U1018" i="10"/>
  <c r="H1018" i="10"/>
  <c r="G1018" i="10"/>
  <c r="E1018" i="10"/>
  <c r="BL1017" i="10"/>
  <c r="AR1017" i="10"/>
  <c r="V1017" i="10"/>
  <c r="U1017" i="10"/>
  <c r="G1017" i="10"/>
  <c r="E1017" i="10"/>
  <c r="H1017" i="10" s="1"/>
  <c r="BL1016" i="10"/>
  <c r="AR1016" i="10"/>
  <c r="V1016" i="10"/>
  <c r="U1016" i="10"/>
  <c r="H1016" i="10"/>
  <c r="G1016" i="10"/>
  <c r="E1016" i="10"/>
  <c r="BL1015" i="10"/>
  <c r="AR1015" i="10"/>
  <c r="V1015" i="10"/>
  <c r="U1015" i="10"/>
  <c r="H1015" i="10"/>
  <c r="G1015" i="10"/>
  <c r="E1015" i="10"/>
  <c r="BL1014" i="10"/>
  <c r="AR1014" i="10"/>
  <c r="V1014" i="10"/>
  <c r="U1014" i="10"/>
  <c r="H1014" i="10"/>
  <c r="G1014" i="10"/>
  <c r="E1014" i="10"/>
  <c r="BL1013" i="10"/>
  <c r="AR1013" i="10"/>
  <c r="V1013" i="10"/>
  <c r="U1013" i="10"/>
  <c r="E1013" i="10"/>
  <c r="H1013" i="10" s="1"/>
  <c r="BL1012" i="10"/>
  <c r="AR1012" i="10"/>
  <c r="V1012" i="10"/>
  <c r="U1012" i="10"/>
  <c r="H1012" i="10"/>
  <c r="G1012" i="10"/>
  <c r="E1012" i="10"/>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G937" i="10"/>
  <c r="E937" i="10"/>
  <c r="H937" i="10" s="1"/>
  <c r="BL936" i="10"/>
  <c r="AS936" i="10"/>
  <c r="AR936" i="10"/>
  <c r="AM936" i="10"/>
  <c r="V936" i="10"/>
  <c r="U936" i="10"/>
  <c r="G936" i="10"/>
  <c r="E936" i="10"/>
  <c r="H936" i="10" s="1"/>
  <c r="BL935" i="10"/>
  <c r="AS935" i="10"/>
  <c r="AR935" i="10"/>
  <c r="AM935" i="10"/>
  <c r="V935" i="10"/>
  <c r="U935" i="10"/>
  <c r="G935" i="10"/>
  <c r="E935" i="10"/>
  <c r="H935" i="10" s="1"/>
  <c r="BL934" i="10"/>
  <c r="AS934" i="10"/>
  <c r="AR934" i="10"/>
  <c r="AM934" i="10"/>
  <c r="V934" i="10"/>
  <c r="U934" i="10"/>
  <c r="E934" i="10"/>
  <c r="BL933" i="10"/>
  <c r="AS933" i="10"/>
  <c r="AR933" i="10"/>
  <c r="AM933" i="10"/>
  <c r="V933" i="10"/>
  <c r="U933" i="10"/>
  <c r="G933" i="10"/>
  <c r="E933" i="10"/>
  <c r="H933" i="10" s="1"/>
  <c r="BL932" i="10"/>
  <c r="AS932" i="10"/>
  <c r="AR932" i="10"/>
  <c r="AM932" i="10"/>
  <c r="V932" i="10"/>
  <c r="U932" i="10"/>
  <c r="E932" i="10"/>
  <c r="H932" i="10" s="1"/>
  <c r="BL931" i="10"/>
  <c r="AS931" i="10"/>
  <c r="AR931" i="10"/>
  <c r="AM931" i="10"/>
  <c r="V931" i="10"/>
  <c r="U931" i="10"/>
  <c r="G931" i="10"/>
  <c r="E931" i="10"/>
  <c r="H931" i="10" s="1"/>
  <c r="BL930" i="10"/>
  <c r="AS930" i="10"/>
  <c r="AR930" i="10"/>
  <c r="AM930" i="10"/>
  <c r="V930" i="10"/>
  <c r="U930" i="10"/>
  <c r="E930" i="10"/>
  <c r="H930" i="10" s="1"/>
  <c r="BL929" i="10"/>
  <c r="AS929" i="10"/>
  <c r="AR929" i="10"/>
  <c r="AM929" i="10"/>
  <c r="V929" i="10"/>
  <c r="U929" i="10"/>
  <c r="G929" i="10"/>
  <c r="E929" i="10"/>
  <c r="H929" i="10" s="1"/>
  <c r="BL928" i="10"/>
  <c r="AS928" i="10"/>
  <c r="AR928" i="10"/>
  <c r="AM928" i="10"/>
  <c r="V928" i="10"/>
  <c r="U928" i="10"/>
  <c r="E928" i="10"/>
  <c r="H928" i="10" s="1"/>
  <c r="BL927" i="10"/>
  <c r="AS927" i="10"/>
  <c r="AR927" i="10"/>
  <c r="AM927" i="10"/>
  <c r="V927" i="10"/>
  <c r="U927" i="10"/>
  <c r="G927" i="10"/>
  <c r="E927" i="10"/>
  <c r="H927" i="10" s="1"/>
  <c r="BL926" i="10"/>
  <c r="AS926" i="10"/>
  <c r="AR926" i="10"/>
  <c r="AM926" i="10"/>
  <c r="V926" i="10"/>
  <c r="U926" i="10"/>
  <c r="E926" i="10"/>
  <c r="H926" i="10" s="1"/>
  <c r="AL925" i="10"/>
  <c r="AK925" i="10"/>
  <c r="X925" i="10"/>
  <c r="V925" i="10"/>
  <c r="U925" i="10"/>
  <c r="E925" i="10"/>
  <c r="G925" i="10" s="1"/>
  <c r="AL924" i="10"/>
  <c r="AK924" i="10"/>
  <c r="X924" i="10"/>
  <c r="V924" i="10"/>
  <c r="U924" i="10"/>
  <c r="H924" i="10"/>
  <c r="G924" i="10"/>
  <c r="E924" i="10"/>
  <c r="AL923" i="10"/>
  <c r="AK923" i="10"/>
  <c r="X923" i="10"/>
  <c r="V923" i="10"/>
  <c r="U923" i="10"/>
  <c r="E923" i="10"/>
  <c r="AL922" i="10"/>
  <c r="AK922" i="10"/>
  <c r="X922" i="10"/>
  <c r="V922" i="10"/>
  <c r="U922" i="10"/>
  <c r="G922" i="10"/>
  <c r="E922" i="10"/>
  <c r="H922" i="10" s="1"/>
  <c r="AL921" i="10"/>
  <c r="AK921" i="10"/>
  <c r="X921" i="10"/>
  <c r="V921" i="10"/>
  <c r="U921" i="10"/>
  <c r="E921" i="10"/>
  <c r="G921" i="10" s="1"/>
  <c r="AL920" i="10"/>
  <c r="AK920" i="10"/>
  <c r="X920" i="10"/>
  <c r="V920" i="10"/>
  <c r="U920" i="10"/>
  <c r="H920" i="10"/>
  <c r="G920" i="10"/>
  <c r="E920" i="10"/>
  <c r="AR919" i="10"/>
  <c r="AL919" i="10"/>
  <c r="AK919" i="10"/>
  <c r="X919" i="10"/>
  <c r="V919" i="10"/>
  <c r="U919" i="10"/>
  <c r="H919" i="10"/>
  <c r="G919" i="10"/>
  <c r="E919" i="10"/>
  <c r="AR918" i="10"/>
  <c r="AL918" i="10"/>
  <c r="AK918" i="10"/>
  <c r="X918" i="10"/>
  <c r="V918" i="10"/>
  <c r="U918" i="10"/>
  <c r="H918" i="10"/>
  <c r="G918" i="10"/>
  <c r="E918" i="10"/>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G844" i="10" s="1"/>
  <c r="X843" i="10"/>
  <c r="V843" i="10"/>
  <c r="U843" i="10"/>
  <c r="E843" i="10"/>
  <c r="H843" i="10" s="1"/>
  <c r="X842" i="10"/>
  <c r="V842" i="10"/>
  <c r="U842" i="10"/>
  <c r="H842" i="10"/>
  <c r="G842" i="10"/>
  <c r="E842" i="10"/>
  <c r="X841" i="10"/>
  <c r="V841" i="10"/>
  <c r="U841" i="10"/>
  <c r="H841" i="10"/>
  <c r="G841" i="10"/>
  <c r="E841" i="10"/>
  <c r="X840" i="10"/>
  <c r="V840" i="10"/>
  <c r="U840" i="10"/>
  <c r="H840" i="10"/>
  <c r="G840" i="10"/>
  <c r="E840" i="10"/>
  <c r="X839" i="10"/>
  <c r="V839" i="10"/>
  <c r="U839" i="10"/>
  <c r="E839" i="10"/>
  <c r="H839" i="10" s="1"/>
  <c r="X838" i="10"/>
  <c r="V838" i="10"/>
  <c r="U838" i="10"/>
  <c r="E838" i="10"/>
  <c r="X837" i="10"/>
  <c r="V837" i="10"/>
  <c r="U837" i="10"/>
  <c r="H837" i="10"/>
  <c r="G837" i="10"/>
  <c r="E837" i="10"/>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X811" i="10"/>
  <c r="W811" i="10"/>
  <c r="V811" i="10"/>
  <c r="U811" i="10"/>
  <c r="H811" i="10"/>
  <c r="G811" i="10"/>
  <c r="X810" i="10"/>
  <c r="W810" i="10"/>
  <c r="V810" i="10"/>
  <c r="U810" i="10"/>
  <c r="H810" i="10"/>
  <c r="G810" i="10"/>
  <c r="X809" i="10"/>
  <c r="W809" i="10"/>
  <c r="V809" i="10"/>
  <c r="U809" i="10"/>
  <c r="H809" i="10"/>
  <c r="G809" i="10"/>
  <c r="W808" i="10"/>
  <c r="X808" i="10" s="1"/>
  <c r="V808" i="10"/>
  <c r="U808" i="10"/>
  <c r="H808" i="10"/>
  <c r="G808" i="10"/>
  <c r="W807" i="10"/>
  <c r="X807" i="10" s="1"/>
  <c r="V807" i="10"/>
  <c r="U807" i="10"/>
  <c r="H807" i="10"/>
  <c r="G807" i="10"/>
  <c r="X806" i="10"/>
  <c r="W806" i="10"/>
  <c r="V806" i="10"/>
  <c r="U806" i="10"/>
  <c r="H806" i="10"/>
  <c r="G806" i="10"/>
  <c r="W805" i="10"/>
  <c r="X805" i="10" s="1"/>
  <c r="V805" i="10"/>
  <c r="U805" i="10"/>
  <c r="H805" i="10"/>
  <c r="G805" i="10"/>
  <c r="W804" i="10"/>
  <c r="X804" i="10" s="1"/>
  <c r="V804" i="10"/>
  <c r="U804" i="10"/>
  <c r="H804" i="10"/>
  <c r="G804" i="10"/>
  <c r="X803" i="10"/>
  <c r="W803" i="10"/>
  <c r="V803" i="10"/>
  <c r="U803" i="10"/>
  <c r="H803" i="10"/>
  <c r="G803" i="10"/>
  <c r="X802" i="10"/>
  <c r="W802" i="10"/>
  <c r="V802" i="10"/>
  <c r="U802" i="10"/>
  <c r="H802" i="10"/>
  <c r="G802" i="10"/>
  <c r="X801" i="10"/>
  <c r="W801" i="10"/>
  <c r="V801" i="10"/>
  <c r="U801" i="10"/>
  <c r="H801" i="10"/>
  <c r="G801" i="10"/>
  <c r="W800" i="10"/>
  <c r="X800" i="10" s="1"/>
  <c r="V800" i="10"/>
  <c r="U800" i="10"/>
  <c r="H800" i="10"/>
  <c r="G800" i="10"/>
  <c r="W799" i="10"/>
  <c r="X799" i="10" s="1"/>
  <c r="V799" i="10"/>
  <c r="U799" i="10"/>
  <c r="H799" i="10"/>
  <c r="G799" i="10"/>
  <c r="X798" i="10"/>
  <c r="W798" i="10"/>
  <c r="V798" i="10"/>
  <c r="U798" i="10"/>
  <c r="H798" i="10"/>
  <c r="G798" i="10"/>
  <c r="BL797" i="10"/>
  <c r="V797" i="10"/>
  <c r="U797" i="10"/>
  <c r="H797" i="10"/>
  <c r="G797" i="10"/>
  <c r="E797" i="10"/>
  <c r="BL796" i="10"/>
  <c r="V796" i="10"/>
  <c r="U796" i="10"/>
  <c r="H796" i="10"/>
  <c r="E796" i="10"/>
  <c r="G796" i="10" s="1"/>
  <c r="BL795" i="10"/>
  <c r="V795" i="10"/>
  <c r="U795" i="10"/>
  <c r="G795" i="10"/>
  <c r="E795" i="10"/>
  <c r="H795" i="10" s="1"/>
  <c r="BL794" i="10"/>
  <c r="V794" i="10"/>
  <c r="U794" i="10"/>
  <c r="H794" i="10"/>
  <c r="G794" i="10"/>
  <c r="E794" i="10"/>
  <c r="BL793" i="10"/>
  <c r="V793" i="10"/>
  <c r="U793" i="10"/>
  <c r="H793" i="10"/>
  <c r="G793" i="10"/>
  <c r="E793" i="10"/>
  <c r="BL792" i="10"/>
  <c r="V792" i="10"/>
  <c r="U792" i="10"/>
  <c r="H792" i="10"/>
  <c r="G792" i="10"/>
  <c r="E792" i="10"/>
  <c r="BL791" i="10"/>
  <c r="V791" i="10"/>
  <c r="U791" i="10"/>
  <c r="E791" i="10"/>
  <c r="BL790" i="10"/>
  <c r="V790" i="10"/>
  <c r="U790" i="10"/>
  <c r="E790" i="10"/>
  <c r="H790" i="10" s="1"/>
  <c r="BL789" i="10"/>
  <c r="V789" i="10"/>
  <c r="U789" i="10"/>
  <c r="H789" i="10"/>
  <c r="G789" i="10"/>
  <c r="E789" i="10"/>
  <c r="BL788" i="10"/>
  <c r="V788" i="10"/>
  <c r="U788" i="10"/>
  <c r="H788" i="10"/>
  <c r="E788" i="10"/>
  <c r="G788" i="10" s="1"/>
  <c r="BL787" i="10"/>
  <c r="V787" i="10"/>
  <c r="U787" i="10"/>
  <c r="G787" i="10"/>
  <c r="E787" i="10"/>
  <c r="H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X771" i="10"/>
  <c r="W771" i="10"/>
  <c r="V771" i="10"/>
  <c r="U771" i="10"/>
  <c r="H771" i="10"/>
  <c r="G771" i="10"/>
  <c r="F771" i="10"/>
  <c r="AW770" i="10"/>
  <c r="W770" i="10"/>
  <c r="X770" i="10" s="1"/>
  <c r="V770" i="10"/>
  <c r="U770" i="10"/>
  <c r="H770" i="10"/>
  <c r="G770" i="10"/>
  <c r="F770" i="10"/>
  <c r="AW769" i="10"/>
  <c r="W769" i="10"/>
  <c r="X769" i="10" s="1"/>
  <c r="V769" i="10"/>
  <c r="U769" i="10"/>
  <c r="H769" i="10"/>
  <c r="G769" i="10"/>
  <c r="F769" i="10"/>
  <c r="AW768" i="10"/>
  <c r="X768" i="10"/>
  <c r="W768" i="10"/>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X754" i="10"/>
  <c r="W754" i="10"/>
  <c r="V754" i="10"/>
  <c r="U754" i="10"/>
  <c r="H754" i="10"/>
  <c r="G754" i="10"/>
  <c r="F754" i="10"/>
  <c r="AX753" i="10"/>
  <c r="AS753" i="10"/>
  <c r="AQ753" i="10"/>
  <c r="X753" i="10"/>
  <c r="W753" i="10"/>
  <c r="V753" i="10"/>
  <c r="U753" i="10"/>
  <c r="H753" i="10"/>
  <c r="G753" i="10"/>
  <c r="F753" i="10"/>
  <c r="AX752" i="10"/>
  <c r="AS752" i="10"/>
  <c r="AQ752" i="10"/>
  <c r="X752" i="10"/>
  <c r="W752" i="10"/>
  <c r="V752" i="10"/>
  <c r="U752" i="10"/>
  <c r="H752" i="10"/>
  <c r="G752" i="10"/>
  <c r="F752" i="10"/>
  <c r="AX751" i="10"/>
  <c r="AS751" i="10"/>
  <c r="AQ751" i="10"/>
  <c r="W751" i="10"/>
  <c r="X751" i="10" s="1"/>
  <c r="V751" i="10"/>
  <c r="U751" i="10"/>
  <c r="H751" i="10"/>
  <c r="G751" i="10"/>
  <c r="F751" i="10"/>
  <c r="AX750" i="10"/>
  <c r="AS750" i="10"/>
  <c r="AQ750" i="10"/>
  <c r="X750" i="10"/>
  <c r="W750" i="10"/>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H734" i="10"/>
  <c r="G734" i="10"/>
  <c r="BL733" i="10"/>
  <c r="AW733" i="10"/>
  <c r="AS733" i="10"/>
  <c r="AQ733" i="10"/>
  <c r="V733" i="10"/>
  <c r="U733" i="10"/>
  <c r="H733" i="10"/>
  <c r="G733" i="10"/>
  <c r="BL732" i="10"/>
  <c r="AW732" i="10"/>
  <c r="AS732" i="10"/>
  <c r="AQ732" i="10"/>
  <c r="V732" i="10"/>
  <c r="U732" i="10"/>
  <c r="H732" i="10"/>
  <c r="G732" i="10"/>
  <c r="BL731" i="10"/>
  <c r="AW731" i="10"/>
  <c r="AS731" i="10"/>
  <c r="AQ731" i="10"/>
  <c r="V731" i="10"/>
  <c r="U731" i="10"/>
  <c r="H731" i="10"/>
  <c r="G731" i="10"/>
  <c r="BL730" i="10"/>
  <c r="AW730" i="10"/>
  <c r="AS730" i="10"/>
  <c r="AQ730" i="10"/>
  <c r="V730" i="10"/>
  <c r="U730" i="10"/>
  <c r="H730" i="10"/>
  <c r="G730" i="10"/>
  <c r="BL729" i="10"/>
  <c r="AW729" i="10"/>
  <c r="AS729" i="10"/>
  <c r="AQ729" i="10"/>
  <c r="V729" i="10"/>
  <c r="U729" i="10"/>
  <c r="H729" i="10"/>
  <c r="G729" i="10"/>
  <c r="BL728" i="10"/>
  <c r="AW728" i="10"/>
  <c r="AS728" i="10"/>
  <c r="AQ728" i="10"/>
  <c r="V728" i="10"/>
  <c r="U728" i="10"/>
  <c r="H728" i="10"/>
  <c r="G728" i="10"/>
  <c r="BL727" i="10"/>
  <c r="AW727" i="10"/>
  <c r="AS727" i="10"/>
  <c r="AQ727" i="10"/>
  <c r="V727" i="10"/>
  <c r="U727" i="10"/>
  <c r="H727" i="10"/>
  <c r="G727" i="10"/>
  <c r="BL726" i="10"/>
  <c r="AW726" i="10"/>
  <c r="AS726" i="10"/>
  <c r="AQ726" i="10"/>
  <c r="V726" i="10"/>
  <c r="U726" i="10"/>
  <c r="H726" i="10"/>
  <c r="G726" i="10"/>
  <c r="BL725" i="10"/>
  <c r="AW725" i="10"/>
  <c r="AS725" i="10"/>
  <c r="AQ725" i="10"/>
  <c r="V725" i="10"/>
  <c r="U725" i="10"/>
  <c r="H725" i="10"/>
  <c r="G725" i="10"/>
  <c r="BL724" i="10"/>
  <c r="AW724" i="10"/>
  <c r="AS724" i="10"/>
  <c r="AQ724" i="10"/>
  <c r="V724" i="10"/>
  <c r="U724" i="10"/>
  <c r="H724" i="10"/>
  <c r="G724" i="10"/>
  <c r="BL723" i="10"/>
  <c r="AW723" i="10"/>
  <c r="AS723" i="10"/>
  <c r="AQ723" i="10"/>
  <c r="V723" i="10"/>
  <c r="U723" i="10"/>
  <c r="H723" i="10"/>
  <c r="G723" i="10"/>
  <c r="BL722" i="10"/>
  <c r="AW722" i="10"/>
  <c r="AS722" i="10"/>
  <c r="AQ722" i="10"/>
  <c r="V722" i="10"/>
  <c r="U722" i="10"/>
  <c r="H722" i="10"/>
  <c r="G722" i="10"/>
  <c r="BL721" i="10"/>
  <c r="AW721" i="10"/>
  <c r="AS721" i="10"/>
  <c r="AQ721" i="10"/>
  <c r="V721" i="10"/>
  <c r="U721" i="10"/>
  <c r="H721" i="10"/>
  <c r="G721" i="10"/>
  <c r="BL720" i="10"/>
  <c r="AW720" i="10"/>
  <c r="AS720" i="10"/>
  <c r="AQ720" i="10"/>
  <c r="V720" i="10"/>
  <c r="U720" i="10"/>
  <c r="H720" i="10"/>
  <c r="G720" i="10"/>
  <c r="BL719" i="10"/>
  <c r="AW719" i="10"/>
  <c r="AS719" i="10"/>
  <c r="AQ719" i="10"/>
  <c r="V719" i="10"/>
  <c r="U719" i="10"/>
  <c r="H719" i="10"/>
  <c r="G719" i="10"/>
  <c r="BL718" i="10"/>
  <c r="AW718" i="10"/>
  <c r="AS718" i="10"/>
  <c r="AQ718" i="10"/>
  <c r="V718" i="10"/>
  <c r="U718" i="10"/>
  <c r="H718" i="10"/>
  <c r="G718" i="10"/>
  <c r="BL717" i="10"/>
  <c r="AW717" i="10"/>
  <c r="AS717" i="10"/>
  <c r="AQ717" i="10"/>
  <c r="V717" i="10"/>
  <c r="U717" i="10"/>
  <c r="H717" i="10"/>
  <c r="G717" i="10"/>
  <c r="BL716" i="10"/>
  <c r="AW716" i="10"/>
  <c r="AS716" i="10"/>
  <c r="AQ716" i="10"/>
  <c r="V716" i="10"/>
  <c r="U716" i="10"/>
  <c r="H716" i="10"/>
  <c r="G716" i="10"/>
  <c r="BL715" i="10"/>
  <c r="AW715" i="10"/>
  <c r="AS715" i="10"/>
  <c r="AQ715" i="10"/>
  <c r="V715" i="10"/>
  <c r="U715" i="10"/>
  <c r="H715" i="10"/>
  <c r="G715" i="10"/>
  <c r="BL714" i="10"/>
  <c r="AW714" i="10"/>
  <c r="AS714" i="10"/>
  <c r="AQ714" i="10"/>
  <c r="V714" i="10"/>
  <c r="U714" i="10"/>
  <c r="H714" i="10"/>
  <c r="G714" i="10"/>
  <c r="BL713" i="10"/>
  <c r="AW713" i="10"/>
  <c r="AS713" i="10"/>
  <c r="AQ713" i="10"/>
  <c r="V713" i="10"/>
  <c r="U713" i="10"/>
  <c r="H713" i="10"/>
  <c r="G713" i="10"/>
  <c r="BL712" i="10"/>
  <c r="AW712" i="10"/>
  <c r="AS712" i="10"/>
  <c r="AQ712" i="10"/>
  <c r="V712" i="10"/>
  <c r="U712" i="10"/>
  <c r="H712" i="10"/>
  <c r="G712" i="10"/>
  <c r="BL711" i="10"/>
  <c r="AW711" i="10"/>
  <c r="AS711" i="10"/>
  <c r="AQ711" i="10"/>
  <c r="V711" i="10"/>
  <c r="U711" i="10"/>
  <c r="H711" i="10"/>
  <c r="G711" i="10"/>
  <c r="BL710" i="10"/>
  <c r="AW710" i="10"/>
  <c r="AS710" i="10"/>
  <c r="AQ710" i="10"/>
  <c r="V710" i="10"/>
  <c r="U710" i="10"/>
  <c r="H710" i="10"/>
  <c r="G710" i="10"/>
  <c r="BL709" i="10"/>
  <c r="AW709" i="10"/>
  <c r="AS709" i="10"/>
  <c r="AQ709" i="10"/>
  <c r="V709" i="10"/>
  <c r="U709" i="10"/>
  <c r="H709" i="10"/>
  <c r="G709" i="10"/>
  <c r="BL708" i="10"/>
  <c r="AW708" i="10"/>
  <c r="AS708" i="10"/>
  <c r="AQ708" i="10"/>
  <c r="V708" i="10"/>
  <c r="U708" i="10"/>
  <c r="H708" i="10"/>
  <c r="G708" i="10"/>
  <c r="BL707" i="10"/>
  <c r="AW707" i="10"/>
  <c r="AS707" i="10"/>
  <c r="AQ707" i="10"/>
  <c r="V707" i="10"/>
  <c r="U707" i="10"/>
  <c r="H707" i="10"/>
  <c r="G707" i="10"/>
  <c r="BL706" i="10"/>
  <c r="AW706" i="10"/>
  <c r="AS706" i="10"/>
  <c r="AQ706" i="10"/>
  <c r="V706" i="10"/>
  <c r="U706" i="10"/>
  <c r="H706" i="10"/>
  <c r="G706" i="10"/>
  <c r="BL705" i="10"/>
  <c r="AW705" i="10"/>
  <c r="AS705" i="10"/>
  <c r="AQ705" i="10"/>
  <c r="V705" i="10"/>
  <c r="U705" i="10"/>
  <c r="H705" i="10"/>
  <c r="G705" i="10"/>
  <c r="V704" i="10"/>
  <c r="U704" i="10"/>
  <c r="H704" i="10"/>
  <c r="G704" i="10"/>
  <c r="V703" i="10"/>
  <c r="U703" i="10"/>
  <c r="H703" i="10"/>
  <c r="G703" i="10"/>
  <c r="V702" i="10"/>
  <c r="U702" i="10"/>
  <c r="H702" i="10"/>
  <c r="G702" i="10"/>
  <c r="V701" i="10"/>
  <c r="U701" i="10"/>
  <c r="H701" i="10"/>
  <c r="G701" i="10"/>
  <c r="V700" i="10"/>
  <c r="U700" i="10"/>
  <c r="H700" i="10"/>
  <c r="G700" i="10"/>
  <c r="V699" i="10"/>
  <c r="U699" i="10"/>
  <c r="H699" i="10"/>
  <c r="G699" i="10"/>
  <c r="AS698" i="10"/>
  <c r="X698" i="10"/>
  <c r="W698" i="10"/>
  <c r="V698" i="10"/>
  <c r="U698" i="10"/>
  <c r="H698" i="10"/>
  <c r="G698" i="10"/>
  <c r="AS697" i="10"/>
  <c r="W697" i="10"/>
  <c r="X697" i="10" s="1"/>
  <c r="V697" i="10"/>
  <c r="U697" i="10"/>
  <c r="H697" i="10"/>
  <c r="G697" i="10"/>
  <c r="AS696" i="10"/>
  <c r="X696" i="10"/>
  <c r="W696" i="10"/>
  <c r="V696" i="10"/>
  <c r="U696" i="10"/>
  <c r="H696" i="10"/>
  <c r="G696" i="10"/>
  <c r="AS695" i="10"/>
  <c r="X695" i="10"/>
  <c r="W695" i="10"/>
  <c r="V695" i="10"/>
  <c r="U695" i="10"/>
  <c r="H695" i="10"/>
  <c r="G695" i="10"/>
  <c r="AS694" i="10"/>
  <c r="X694" i="10"/>
  <c r="W694" i="10"/>
  <c r="V694" i="10"/>
  <c r="U694" i="10"/>
  <c r="H694" i="10"/>
  <c r="G694" i="10"/>
  <c r="AS693" i="10"/>
  <c r="W693" i="10"/>
  <c r="X693" i="10" s="1"/>
  <c r="V693" i="10"/>
  <c r="U693" i="10"/>
  <c r="H693" i="10"/>
  <c r="G693" i="10"/>
  <c r="AS692" i="10"/>
  <c r="X692" i="10"/>
  <c r="W692" i="10"/>
  <c r="V692" i="10"/>
  <c r="U692" i="10"/>
  <c r="H692" i="10"/>
  <c r="G692" i="10"/>
  <c r="AS691" i="10"/>
  <c r="X691" i="10"/>
  <c r="W691" i="10"/>
  <c r="V691" i="10"/>
  <c r="U691" i="10"/>
  <c r="H691" i="10"/>
  <c r="G691" i="10"/>
  <c r="AS690" i="10"/>
  <c r="X690" i="10"/>
  <c r="W690" i="10"/>
  <c r="V690" i="10"/>
  <c r="U690" i="10"/>
  <c r="H690" i="10"/>
  <c r="G690" i="10"/>
  <c r="AS689" i="10"/>
  <c r="W689" i="10"/>
  <c r="X689" i="10" s="1"/>
  <c r="V689" i="10"/>
  <c r="U689" i="10"/>
  <c r="H689" i="10"/>
  <c r="G689" i="10"/>
  <c r="AS688" i="10"/>
  <c r="X688" i="10"/>
  <c r="W688" i="10"/>
  <c r="V688" i="10"/>
  <c r="U688" i="10"/>
  <c r="H688" i="10"/>
  <c r="G688" i="10"/>
  <c r="AS687" i="10"/>
  <c r="X687" i="10"/>
  <c r="W687" i="10"/>
  <c r="V687" i="10"/>
  <c r="U687" i="10"/>
  <c r="H687" i="10"/>
  <c r="G687" i="10"/>
  <c r="AS686" i="10"/>
  <c r="X686" i="10"/>
  <c r="W686" i="10"/>
  <c r="V686" i="10"/>
  <c r="U686" i="10"/>
  <c r="H686" i="10"/>
  <c r="G686" i="10"/>
  <c r="AS685" i="10"/>
  <c r="W685" i="10"/>
  <c r="X685" i="10" s="1"/>
  <c r="V685" i="10"/>
  <c r="U685" i="10"/>
  <c r="H685" i="10"/>
  <c r="G685" i="10"/>
  <c r="AS684" i="10"/>
  <c r="X684" i="10"/>
  <c r="W684" i="10"/>
  <c r="V684" i="10"/>
  <c r="U684" i="10"/>
  <c r="H684" i="10"/>
  <c r="G684" i="10"/>
  <c r="AS683" i="10"/>
  <c r="X683" i="10"/>
  <c r="W683" i="10"/>
  <c r="V683" i="10"/>
  <c r="U683" i="10"/>
  <c r="H683" i="10"/>
  <c r="G683" i="10"/>
  <c r="AS682" i="10"/>
  <c r="X682" i="10"/>
  <c r="W682" i="10"/>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H615" i="10"/>
  <c r="G615" i="10"/>
  <c r="F615" i="10"/>
  <c r="AL614" i="10"/>
  <c r="W614" i="10"/>
  <c r="X614" i="10" s="1"/>
  <c r="V614" i="10"/>
  <c r="U614" i="10"/>
  <c r="H614" i="10"/>
  <c r="G614" i="10"/>
  <c r="F614" i="10"/>
  <c r="AL613" i="10"/>
  <c r="W613" i="10" s="1"/>
  <c r="X613" i="10" s="1"/>
  <c r="V613" i="10"/>
  <c r="U613" i="10"/>
  <c r="H613" i="10"/>
  <c r="G613" i="10"/>
  <c r="F613" i="10"/>
  <c r="AL612" i="10"/>
  <c r="W612" i="10"/>
  <c r="X612" i="10" s="1"/>
  <c r="V612" i="10"/>
  <c r="U612" i="10"/>
  <c r="H612" i="10"/>
  <c r="G612" i="10"/>
  <c r="F612" i="10"/>
  <c r="AL611" i="10"/>
  <c r="X611" i="10"/>
  <c r="W611" i="10"/>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c r="X607" i="10" s="1"/>
  <c r="V607" i="10"/>
  <c r="U607" i="10"/>
  <c r="H607" i="10"/>
  <c r="G607" i="10"/>
  <c r="F607" i="10"/>
  <c r="AL606" i="10"/>
  <c r="W606" i="10" s="1"/>
  <c r="X606" i="10" s="1"/>
  <c r="V606" i="10"/>
  <c r="U606" i="10"/>
  <c r="H606" i="10"/>
  <c r="G606" i="10"/>
  <c r="F606" i="10"/>
  <c r="AL605" i="10"/>
  <c r="W605" i="10" s="1"/>
  <c r="X605" i="10"/>
  <c r="V605" i="10"/>
  <c r="U605" i="10"/>
  <c r="H605" i="10"/>
  <c r="G605" i="10"/>
  <c r="F605" i="10"/>
  <c r="AL604" i="10"/>
  <c r="W604" i="10" s="1"/>
  <c r="X604" i="10" s="1"/>
  <c r="V604" i="10"/>
  <c r="U604" i="10"/>
  <c r="H604" i="10"/>
  <c r="G604" i="10"/>
  <c r="F604" i="10"/>
  <c r="AL603" i="10"/>
  <c r="X603" i="10"/>
  <c r="W603" i="10"/>
  <c r="V603" i="10"/>
  <c r="U603" i="10"/>
  <c r="H603" i="10"/>
  <c r="G603" i="10"/>
  <c r="F603" i="10"/>
  <c r="AL602" i="10"/>
  <c r="W602" i="10"/>
  <c r="X602" i="10" s="1"/>
  <c r="V602" i="10"/>
  <c r="U602" i="10"/>
  <c r="H602" i="10"/>
  <c r="G602" i="10"/>
  <c r="F602" i="10"/>
  <c r="AL601" i="10"/>
  <c r="W601" i="10" s="1"/>
  <c r="X601" i="10" s="1"/>
  <c r="V601" i="10"/>
  <c r="U601" i="10"/>
  <c r="H601" i="10"/>
  <c r="G601" i="10"/>
  <c r="F601" i="10"/>
  <c r="AL600" i="10"/>
  <c r="X600" i="10"/>
  <c r="W600" i="10"/>
  <c r="V600" i="10"/>
  <c r="U600" i="10"/>
  <c r="H600" i="10"/>
  <c r="G600" i="10"/>
  <c r="F600" i="10"/>
  <c r="AL599" i="10"/>
  <c r="W599" i="10"/>
  <c r="X599" i="10" s="1"/>
  <c r="V599" i="10"/>
  <c r="U599" i="10"/>
  <c r="H599" i="10"/>
  <c r="G599" i="10"/>
  <c r="F599" i="10"/>
  <c r="AL598" i="10"/>
  <c r="W598" i="10"/>
  <c r="X598" i="10" s="1"/>
  <c r="V598" i="10"/>
  <c r="U598" i="10"/>
  <c r="H598" i="10"/>
  <c r="G598" i="10"/>
  <c r="F598" i="10"/>
  <c r="AL597" i="10"/>
  <c r="W597" i="10" s="1"/>
  <c r="X597" i="10"/>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X592" i="10"/>
  <c r="W592" i="10"/>
  <c r="V592" i="10"/>
  <c r="U592" i="10"/>
  <c r="H592" i="10"/>
  <c r="G592" i="10"/>
  <c r="F592" i="10"/>
  <c r="AL591" i="10"/>
  <c r="X591" i="10"/>
  <c r="W591" i="10"/>
  <c r="V591" i="10"/>
  <c r="U591" i="10"/>
  <c r="H591" i="10"/>
  <c r="G591" i="10"/>
  <c r="F591" i="10"/>
  <c r="AL590" i="10"/>
  <c r="W590" i="10" s="1"/>
  <c r="X590" i="10" s="1"/>
  <c r="V590" i="10"/>
  <c r="U590" i="10"/>
  <c r="H590" i="10"/>
  <c r="G590" i="10"/>
  <c r="F590" i="10"/>
  <c r="AL589" i="10"/>
  <c r="W589" i="10" s="1"/>
  <c r="X589" i="10"/>
  <c r="V589" i="10"/>
  <c r="U589" i="10"/>
  <c r="H589" i="10"/>
  <c r="G589" i="10"/>
  <c r="F589" i="10"/>
  <c r="AL588" i="10"/>
  <c r="W588" i="10" s="1"/>
  <c r="X588" i="10" s="1"/>
  <c r="V588" i="10"/>
  <c r="U588" i="10"/>
  <c r="H588" i="10"/>
  <c r="G588" i="10"/>
  <c r="F588" i="10"/>
  <c r="AL587" i="10"/>
  <c r="W587" i="10"/>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X584" i="10"/>
  <c r="W584" i="10"/>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c r="X581" i="10" s="1"/>
  <c r="V581" i="10"/>
  <c r="U581" i="10"/>
  <c r="H581" i="10"/>
  <c r="G581" i="10"/>
  <c r="F581" i="10"/>
  <c r="AL580" i="10"/>
  <c r="W580" i="10"/>
  <c r="X580" i="10" s="1"/>
  <c r="V580" i="10"/>
  <c r="U580" i="10"/>
  <c r="H580" i="10"/>
  <c r="G580" i="10"/>
  <c r="F580" i="10"/>
  <c r="AL579" i="10"/>
  <c r="W579" i="10" s="1"/>
  <c r="X579" i="10" s="1"/>
  <c r="V579" i="10"/>
  <c r="U579" i="10"/>
  <c r="H579" i="10"/>
  <c r="G579" i="10"/>
  <c r="F579" i="10"/>
  <c r="AL578" i="10"/>
  <c r="W578" i="10"/>
  <c r="X578" i="10" s="1"/>
  <c r="V578" i="10"/>
  <c r="U578" i="10"/>
  <c r="H578" i="10"/>
  <c r="G578" i="10"/>
  <c r="F578" i="10"/>
  <c r="AL577" i="10"/>
  <c r="X577" i="10"/>
  <c r="W577" i="10"/>
  <c r="V577" i="10"/>
  <c r="U577" i="10"/>
  <c r="H577" i="10"/>
  <c r="G577" i="10"/>
  <c r="F577" i="10"/>
  <c r="AL576" i="10"/>
  <c r="X576" i="10"/>
  <c r="W576" i="10"/>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c r="X573" i="10" s="1"/>
  <c r="V573" i="10"/>
  <c r="U573" i="10"/>
  <c r="H573" i="10"/>
  <c r="G573" i="10"/>
  <c r="F573" i="10"/>
  <c r="AL572" i="10"/>
  <c r="W572" i="10"/>
  <c r="X572" i="10" s="1"/>
  <c r="V572" i="10"/>
  <c r="U572" i="10"/>
  <c r="H572" i="10"/>
  <c r="G572" i="10"/>
  <c r="F572" i="10"/>
  <c r="AL571" i="10"/>
  <c r="W571" i="10" s="1"/>
  <c r="X571" i="10" s="1"/>
  <c r="V571" i="10"/>
  <c r="U571" i="10"/>
  <c r="H571" i="10"/>
  <c r="G571" i="10"/>
  <c r="F571" i="10"/>
  <c r="AL570" i="10"/>
  <c r="W570" i="10"/>
  <c r="X570" i="10" s="1"/>
  <c r="V570" i="10"/>
  <c r="U570" i="10"/>
  <c r="H570" i="10"/>
  <c r="G570" i="10"/>
  <c r="F570" i="10"/>
  <c r="AL569" i="10"/>
  <c r="X569" i="10"/>
  <c r="W569" i="10"/>
  <c r="V569" i="10"/>
  <c r="U569" i="10"/>
  <c r="H569" i="10"/>
  <c r="G569" i="10"/>
  <c r="F569" i="10"/>
  <c r="AL568" i="10"/>
  <c r="X568" i="10"/>
  <c r="W568" i="10"/>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BL543" i="10"/>
  <c r="AT543" i="10"/>
  <c r="AS543" i="10"/>
  <c r="X543" i="10"/>
  <c r="W543" i="10"/>
  <c r="V543" i="10"/>
  <c r="U543" i="10"/>
  <c r="H543" i="10"/>
  <c r="E543" i="10"/>
  <c r="G543" i="10" s="1"/>
  <c r="AT542" i="10"/>
  <c r="AS542" i="10" s="1"/>
  <c r="X542" i="10"/>
  <c r="BL542" i="10" s="1"/>
  <c r="W542" i="10"/>
  <c r="V542" i="10"/>
  <c r="U542" i="10"/>
  <c r="H542" i="10"/>
  <c r="G542" i="10"/>
  <c r="E542" i="10"/>
  <c r="AR541" i="10"/>
  <c r="AT541" i="10" s="1"/>
  <c r="AS541" i="10" s="1"/>
  <c r="X541" i="10"/>
  <c r="V541" i="10"/>
  <c r="U541" i="10"/>
  <c r="H541" i="10"/>
  <c r="G541" i="10"/>
  <c r="E541" i="10"/>
  <c r="BL540" i="10"/>
  <c r="AT540" i="10"/>
  <c r="AS540" i="10"/>
  <c r="X540" i="10"/>
  <c r="W540" i="10"/>
  <c r="V540" i="10"/>
  <c r="U540" i="10"/>
  <c r="H540" i="10"/>
  <c r="E540" i="10"/>
  <c r="G540" i="10" s="1"/>
  <c r="AT539" i="10"/>
  <c r="AS539" i="10" s="1"/>
  <c r="X539" i="10"/>
  <c r="BL539" i="10" s="1"/>
  <c r="W539" i="10"/>
  <c r="V539" i="10"/>
  <c r="U539" i="10"/>
  <c r="H539" i="10"/>
  <c r="G539" i="10"/>
  <c r="E539" i="10"/>
  <c r="AR538" i="10"/>
  <c r="AT538" i="10" s="1"/>
  <c r="AS538" i="10" s="1"/>
  <c r="V538" i="10"/>
  <c r="U538" i="10"/>
  <c r="H538" i="10"/>
  <c r="G538" i="10"/>
  <c r="E538" i="10"/>
  <c r="BL537" i="10"/>
  <c r="AS537" i="10"/>
  <c r="AR537" i="10"/>
  <c r="AT537" i="10" s="1"/>
  <c r="X537" i="10"/>
  <c r="W537" i="10"/>
  <c r="V537" i="10"/>
  <c r="U537" i="10"/>
  <c r="E537" i="10"/>
  <c r="H537" i="10" s="1"/>
  <c r="AT536" i="10"/>
  <c r="AS536" i="10"/>
  <c r="AR536" i="10"/>
  <c r="X536" i="10"/>
  <c r="BL536" i="10" s="1"/>
  <c r="W536" i="10"/>
  <c r="V536" i="10"/>
  <c r="U536" i="10"/>
  <c r="G536" i="10"/>
  <c r="E536" i="10"/>
  <c r="H536" i="10" s="1"/>
  <c r="AT535" i="10"/>
  <c r="AS535" i="10"/>
  <c r="AR535" i="10"/>
  <c r="W535" i="10" s="1"/>
  <c r="X535" i="10"/>
  <c r="BL535" i="10" s="1"/>
  <c r="V535" i="10"/>
  <c r="U535" i="10"/>
  <c r="H535" i="10"/>
  <c r="G535" i="10"/>
  <c r="E535" i="10"/>
  <c r="AR534" i="10"/>
  <c r="AT534" i="10" s="1"/>
  <c r="AS534" i="10" s="1"/>
  <c r="X534" i="10"/>
  <c r="V534" i="10"/>
  <c r="U534" i="10"/>
  <c r="H534" i="10"/>
  <c r="G534" i="10"/>
  <c r="E534" i="10"/>
  <c r="BL533" i="10"/>
  <c r="AS533" i="10"/>
  <c r="AR533" i="10"/>
  <c r="AT533" i="10" s="1"/>
  <c r="X533" i="10"/>
  <c r="W533" i="10"/>
  <c r="V533" i="10"/>
  <c r="U533" i="10"/>
  <c r="E533" i="10"/>
  <c r="H533" i="10" s="1"/>
  <c r="AT532" i="10"/>
  <c r="AS532" i="10"/>
  <c r="AR532" i="10"/>
  <c r="X532" i="10"/>
  <c r="BL532" i="10" s="1"/>
  <c r="W532" i="10"/>
  <c r="V532" i="10"/>
  <c r="U532" i="10"/>
  <c r="G532" i="10"/>
  <c r="E532" i="10"/>
  <c r="H532" i="10" s="1"/>
  <c r="AT531" i="10"/>
  <c r="AS531" i="10"/>
  <c r="X531" i="10"/>
  <c r="W531" i="10"/>
  <c r="BL531" i="10" s="1"/>
  <c r="V531" i="10"/>
  <c r="U531" i="10"/>
  <c r="E531" i="10"/>
  <c r="AT530" i="10"/>
  <c r="AS530" i="10" s="1"/>
  <c r="X530" i="10"/>
  <c r="BL530" i="10" s="1"/>
  <c r="W530" i="10"/>
  <c r="V530" i="10"/>
  <c r="U530" i="10"/>
  <c r="G530" i="10"/>
  <c r="E530" i="10"/>
  <c r="H530" i="10" s="1"/>
  <c r="AT529" i="10"/>
  <c r="AS529" i="10"/>
  <c r="AR529" i="10"/>
  <c r="X529" i="10"/>
  <c r="BL529" i="10" s="1"/>
  <c r="W529" i="10"/>
  <c r="V529" i="10"/>
  <c r="U529" i="10"/>
  <c r="G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c r="AO507" i="10" s="1"/>
  <c r="AK507" i="10"/>
  <c r="X507" i="10"/>
  <c r="V507" i="10"/>
  <c r="U507" i="10"/>
  <c r="H507" i="10"/>
  <c r="G507" i="10"/>
  <c r="F507" i="10"/>
  <c r="AX506" i="10"/>
  <c r="AP506" i="10" s="1"/>
  <c r="AO506" i="10"/>
  <c r="AK506" i="10"/>
  <c r="X506" i="10"/>
  <c r="V506" i="10"/>
  <c r="U506" i="10"/>
  <c r="H506" i="10"/>
  <c r="G506" i="10"/>
  <c r="F506" i="10"/>
  <c r="AX505" i="10"/>
  <c r="AP505" i="10"/>
  <c r="AO505" i="10"/>
  <c r="AK505" i="10"/>
  <c r="X505" i="10"/>
  <c r="V505" i="10"/>
  <c r="U505" i="10"/>
  <c r="H505" i="10"/>
  <c r="G505" i="10"/>
  <c r="F505" i="10"/>
  <c r="AW504" i="10"/>
  <c r="AT504" i="10"/>
  <c r="V504" i="10"/>
  <c r="U504" i="10"/>
  <c r="H504" i="10"/>
  <c r="G504" i="10"/>
  <c r="AW503" i="10"/>
  <c r="AT503" i="10"/>
  <c r="V503" i="10"/>
  <c r="U503" i="10"/>
  <c r="H503" i="10"/>
  <c r="G503" i="10"/>
  <c r="AW502" i="10"/>
  <c r="AT502" i="10"/>
  <c r="V502" i="10"/>
  <c r="U502" i="10"/>
  <c r="H502" i="10"/>
  <c r="G502" i="10"/>
  <c r="AW501" i="10"/>
  <c r="AT501" i="10"/>
  <c r="V501" i="10"/>
  <c r="U501" i="10"/>
  <c r="H501" i="10"/>
  <c r="G501" i="10"/>
  <c r="AW500" i="10"/>
  <c r="AT500" i="10"/>
  <c r="AQ500" i="10"/>
  <c r="V500" i="10"/>
  <c r="U500" i="10"/>
  <c r="H500" i="10"/>
  <c r="G500" i="10"/>
  <c r="AW499" i="10"/>
  <c r="AT499" i="10"/>
  <c r="AQ499" i="10"/>
  <c r="V499" i="10"/>
  <c r="U499" i="10"/>
  <c r="H499" i="10"/>
  <c r="G499" i="10"/>
  <c r="AW498" i="10"/>
  <c r="AT498" i="10"/>
  <c r="AQ498" i="10"/>
  <c r="V498" i="10"/>
  <c r="U498" i="10"/>
  <c r="H498" i="10"/>
  <c r="G498" i="10"/>
  <c r="AW497" i="10"/>
  <c r="AT497" i="10"/>
  <c r="AQ497" i="10"/>
  <c r="V497" i="10"/>
  <c r="U497" i="10"/>
  <c r="H497" i="10"/>
  <c r="G497" i="10"/>
  <c r="AW496" i="10"/>
  <c r="AT496" i="10"/>
  <c r="AQ496" i="10"/>
  <c r="V496" i="10"/>
  <c r="U496" i="10"/>
  <c r="H496" i="10"/>
  <c r="G496" i="10"/>
  <c r="AW495" i="10"/>
  <c r="AT495" i="10"/>
  <c r="AQ495" i="10"/>
  <c r="V495" i="10"/>
  <c r="U495" i="10"/>
  <c r="H495" i="10"/>
  <c r="G495" i="10"/>
  <c r="AW494" i="10"/>
  <c r="AT494" i="10"/>
  <c r="AQ494" i="10"/>
  <c r="V494" i="10"/>
  <c r="U494" i="10"/>
  <c r="H494" i="10"/>
  <c r="G494" i="10"/>
  <c r="AW493" i="10"/>
  <c r="AT493" i="10"/>
  <c r="AQ493" i="10"/>
  <c r="V493" i="10"/>
  <c r="U493" i="10"/>
  <c r="H493" i="10"/>
  <c r="G493" i="10"/>
  <c r="AW492" i="10"/>
  <c r="AT492" i="10"/>
  <c r="AQ492" i="10"/>
  <c r="V492" i="10"/>
  <c r="U492" i="10"/>
  <c r="H492" i="10"/>
  <c r="G492" i="10"/>
  <c r="AW491" i="10"/>
  <c r="AT491" i="10"/>
  <c r="AQ491" i="10"/>
  <c r="V491" i="10"/>
  <c r="U491" i="10"/>
  <c r="H491" i="10"/>
  <c r="G491" i="10"/>
  <c r="AW490" i="10"/>
  <c r="AT490" i="10"/>
  <c r="AQ490" i="10"/>
  <c r="V490" i="10"/>
  <c r="U490" i="10"/>
  <c r="H490" i="10"/>
  <c r="G490" i="10"/>
  <c r="AW489" i="10"/>
  <c r="AT489" i="10"/>
  <c r="AQ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H482" i="10" s="1"/>
  <c r="V481" i="10"/>
  <c r="U481" i="10"/>
  <c r="G481" i="10"/>
  <c r="E481" i="10"/>
  <c r="H481" i="10" s="1"/>
  <c r="V480" i="10"/>
  <c r="U480" i="10"/>
  <c r="E480" i="10"/>
  <c r="H480" i="10" s="1"/>
  <c r="V479" i="10"/>
  <c r="U479" i="10"/>
  <c r="G479" i="10"/>
  <c r="E479" i="10"/>
  <c r="H479" i="10" s="1"/>
  <c r="V478" i="10"/>
  <c r="U478" i="10"/>
  <c r="E478" i="10"/>
  <c r="H478" i="10" s="1"/>
  <c r="V477" i="10"/>
  <c r="U477" i="10"/>
  <c r="G477" i="10"/>
  <c r="E477" i="10"/>
  <c r="H477" i="10" s="1"/>
  <c r="V476" i="10"/>
  <c r="U476" i="10"/>
  <c r="E476" i="10"/>
  <c r="H476" i="10" s="1"/>
  <c r="V475" i="10"/>
  <c r="U475" i="10"/>
  <c r="E475" i="10"/>
  <c r="H475" i="10" s="1"/>
  <c r="V474" i="10"/>
  <c r="U474" i="10"/>
  <c r="E474" i="10"/>
  <c r="H474" i="10" s="1"/>
  <c r="V473" i="10"/>
  <c r="U473" i="10"/>
  <c r="G473" i="10"/>
  <c r="E473" i="10"/>
  <c r="H473" i="10" s="1"/>
  <c r="V472" i="10"/>
  <c r="U472" i="10"/>
  <c r="E472" i="10"/>
  <c r="H472" i="10" s="1"/>
  <c r="V471" i="10"/>
  <c r="U471" i="10"/>
  <c r="G471" i="10"/>
  <c r="E471" i="10"/>
  <c r="H471" i="10" s="1"/>
  <c r="V470" i="10"/>
  <c r="U470" i="10"/>
  <c r="E470" i="10"/>
  <c r="H470" i="10" s="1"/>
  <c r="V469" i="10"/>
  <c r="U469" i="10"/>
  <c r="G469" i="10"/>
  <c r="E469" i="10"/>
  <c r="H469" i="10" s="1"/>
  <c r="V468" i="10"/>
  <c r="U468" i="10"/>
  <c r="E468" i="10"/>
  <c r="H468" i="10" s="1"/>
  <c r="V467" i="10"/>
  <c r="U467" i="10"/>
  <c r="E467" i="10"/>
  <c r="H467" i="10" s="1"/>
  <c r="AS466" i="10"/>
  <c r="AQ466" i="10"/>
  <c r="V466" i="10"/>
  <c r="U466" i="10"/>
  <c r="H466" i="10"/>
  <c r="G466" i="10"/>
  <c r="E466" i="10"/>
  <c r="AS465" i="10"/>
  <c r="AQ465" i="10"/>
  <c r="V465" i="10"/>
  <c r="U465" i="10"/>
  <c r="G465" i="10"/>
  <c r="E465" i="10"/>
  <c r="H465" i="10" s="1"/>
  <c r="AS464" i="10"/>
  <c r="AQ464" i="10"/>
  <c r="V464" i="10"/>
  <c r="U464" i="10"/>
  <c r="H464" i="10"/>
  <c r="G464" i="10"/>
  <c r="E464" i="10"/>
  <c r="AS463" i="10"/>
  <c r="AQ463" i="10"/>
  <c r="V463" i="10"/>
  <c r="U463" i="10"/>
  <c r="G463" i="10"/>
  <c r="E463" i="10"/>
  <c r="H463" i="10" s="1"/>
  <c r="AS462" i="10"/>
  <c r="AQ462" i="10"/>
  <c r="V462" i="10"/>
  <c r="U462" i="10"/>
  <c r="H462" i="10"/>
  <c r="G462" i="10"/>
  <c r="E462" i="10"/>
  <c r="AS461" i="10"/>
  <c r="AQ461" i="10"/>
  <c r="V461" i="10"/>
  <c r="U461" i="10"/>
  <c r="G461" i="10"/>
  <c r="E461" i="10"/>
  <c r="H461" i="10" s="1"/>
  <c r="BW460" i="10"/>
  <c r="AS460" i="10"/>
  <c r="AQ460" i="10"/>
  <c r="V460" i="10"/>
  <c r="U460" i="10"/>
  <c r="E460" i="10"/>
  <c r="G460" i="10" s="1"/>
  <c r="BW459" i="10"/>
  <c r="AS459" i="10"/>
  <c r="AQ459" i="10"/>
  <c r="V459" i="10"/>
  <c r="U459" i="10"/>
  <c r="H459" i="10"/>
  <c r="G459" i="10"/>
  <c r="E459" i="10"/>
  <c r="BW458" i="10"/>
  <c r="AS458" i="10"/>
  <c r="AQ458" i="10"/>
  <c r="V458" i="10"/>
  <c r="U458" i="10"/>
  <c r="H458" i="10"/>
  <c r="E458" i="10"/>
  <c r="G458" i="10" s="1"/>
  <c r="BW457" i="10"/>
  <c r="AS457" i="10"/>
  <c r="AQ457" i="10"/>
  <c r="V457" i="10"/>
  <c r="U457" i="10"/>
  <c r="E457" i="10"/>
  <c r="H457" i="10" s="1"/>
  <c r="BW456" i="10"/>
  <c r="AS456" i="10"/>
  <c r="AQ456" i="10"/>
  <c r="V456" i="10"/>
  <c r="U456" i="10"/>
  <c r="H456" i="10"/>
  <c r="E456" i="10"/>
  <c r="G456" i="10" s="1"/>
  <c r="BW455" i="10"/>
  <c r="AS455" i="10"/>
  <c r="AQ455" i="10"/>
  <c r="V455" i="10"/>
  <c r="U455" i="10"/>
  <c r="H455" i="10"/>
  <c r="G455" i="10"/>
  <c r="E455" i="10"/>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H417" i="10"/>
  <c r="E417" i="10"/>
  <c r="G417" i="10" s="1"/>
  <c r="V416" i="10"/>
  <c r="U416" i="10"/>
  <c r="H416" i="10"/>
  <c r="E416" i="10"/>
  <c r="G416" i="10" s="1"/>
  <c r="V415" i="10"/>
  <c r="U415" i="10"/>
  <c r="H415" i="10"/>
  <c r="E415" i="10"/>
  <c r="G415" i="10" s="1"/>
  <c r="V414" i="10"/>
  <c r="U414" i="10"/>
  <c r="H414" i="10"/>
  <c r="E414" i="10"/>
  <c r="G414" i="10" s="1"/>
  <c r="V413" i="10"/>
  <c r="U413" i="10"/>
  <c r="H413" i="10"/>
  <c r="E413" i="10"/>
  <c r="G413" i="10" s="1"/>
  <c r="V412" i="10"/>
  <c r="U412" i="10"/>
  <c r="H412" i="10"/>
  <c r="E412" i="10"/>
  <c r="G412" i="10" s="1"/>
  <c r="V411" i="10"/>
  <c r="U411" i="10"/>
  <c r="H411" i="10"/>
  <c r="E411" i="10"/>
  <c r="G411" i="10" s="1"/>
  <c r="V410" i="10"/>
  <c r="U410" i="10"/>
  <c r="H410" i="10"/>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H346" i="10"/>
  <c r="G346" i="10"/>
  <c r="E346" i="10"/>
  <c r="AT345" i="10"/>
  <c r="AQ345" i="10"/>
  <c r="V345" i="10"/>
  <c r="U345" i="10"/>
  <c r="E345" i="10"/>
  <c r="H345" i="10" s="1"/>
  <c r="AT344" i="10"/>
  <c r="AQ344" i="10"/>
  <c r="V344" i="10"/>
  <c r="U344" i="10"/>
  <c r="H344" i="10"/>
  <c r="G344" i="10"/>
  <c r="E344" i="10"/>
  <c r="AT343" i="10"/>
  <c r="AQ343" i="10"/>
  <c r="V343" i="10"/>
  <c r="U343" i="10"/>
  <c r="G343" i="10"/>
  <c r="E343" i="10"/>
  <c r="H343" i="10" s="1"/>
  <c r="AT342" i="10"/>
  <c r="AN342" i="10"/>
  <c r="V342" i="10"/>
  <c r="U342" i="10"/>
  <c r="H342" i="10"/>
  <c r="G342" i="10"/>
  <c r="E342" i="10"/>
  <c r="AT341" i="10"/>
  <c r="AN341" i="10"/>
  <c r="V341" i="10"/>
  <c r="U341" i="10"/>
  <c r="E341" i="10"/>
  <c r="H341" i="10" s="1"/>
  <c r="AT340" i="10"/>
  <c r="AN340" i="10"/>
  <c r="V340" i="10"/>
  <c r="U340" i="10"/>
  <c r="H340" i="10"/>
  <c r="G340" i="10"/>
  <c r="E340" i="10"/>
  <c r="AT339" i="10"/>
  <c r="AN339" i="10"/>
  <c r="V339" i="10"/>
  <c r="U339" i="10"/>
  <c r="G339" i="10"/>
  <c r="E339" i="10"/>
  <c r="H339" i="10" s="1"/>
  <c r="AT338" i="10"/>
  <c r="AN338" i="10"/>
  <c r="V338" i="10"/>
  <c r="U338" i="10"/>
  <c r="H338" i="10"/>
  <c r="G338" i="10"/>
  <c r="E338" i="10"/>
  <c r="AT337" i="10"/>
  <c r="AN337" i="10"/>
  <c r="V337" i="10"/>
  <c r="U337" i="10"/>
  <c r="E337" i="10"/>
  <c r="H337" i="10" s="1"/>
  <c r="AT336" i="10"/>
  <c r="AN336" i="10"/>
  <c r="V336" i="10"/>
  <c r="U336" i="10"/>
  <c r="G336" i="10"/>
  <c r="E336" i="10"/>
  <c r="H336" i="10" s="1"/>
  <c r="AT335" i="10"/>
  <c r="AN335" i="10"/>
  <c r="V335" i="10"/>
  <c r="U335" i="10"/>
  <c r="G335" i="10"/>
  <c r="E335" i="10"/>
  <c r="H335" i="10" s="1"/>
  <c r="AT334" i="10"/>
  <c r="AN334" i="10"/>
  <c r="V334" i="10"/>
  <c r="U334" i="10"/>
  <c r="H334" i="10"/>
  <c r="G334" i="10"/>
  <c r="E334" i="10"/>
  <c r="AT333" i="10"/>
  <c r="AN333" i="10"/>
  <c r="V333" i="10"/>
  <c r="U333" i="10"/>
  <c r="E333" i="10"/>
  <c r="H333" i="10" s="1"/>
  <c r="AT332" i="10"/>
  <c r="AN332" i="10"/>
  <c r="V332" i="10"/>
  <c r="U332" i="10"/>
  <c r="H332" i="10"/>
  <c r="G332" i="10"/>
  <c r="E332" i="10"/>
  <c r="AT331" i="10"/>
  <c r="AN331" i="10"/>
  <c r="V331" i="10"/>
  <c r="U331" i="10"/>
  <c r="G331" i="10"/>
  <c r="E331" i="10"/>
  <c r="H331" i="10" s="1"/>
  <c r="AT330" i="10"/>
  <c r="AN330" i="10"/>
  <c r="V330" i="10"/>
  <c r="U330" i="10"/>
  <c r="H330" i="10"/>
  <c r="G330" i="10"/>
  <c r="E330" i="10"/>
  <c r="AT329" i="10"/>
  <c r="AN329" i="10"/>
  <c r="V329" i="10"/>
  <c r="U329" i="10"/>
  <c r="E329" i="10"/>
  <c r="H329" i="10" s="1"/>
  <c r="AT328" i="10"/>
  <c r="AN328" i="10"/>
  <c r="V328" i="10"/>
  <c r="U328" i="10"/>
  <c r="H328" i="10"/>
  <c r="E328" i="10"/>
  <c r="G328" i="10" s="1"/>
  <c r="AT327" i="10"/>
  <c r="AN327" i="10"/>
  <c r="V327" i="10"/>
  <c r="U327" i="10"/>
  <c r="H327" i="10"/>
  <c r="E327" i="10"/>
  <c r="G327" i="10" s="1"/>
  <c r="AT326" i="10"/>
  <c r="AQ326" i="10"/>
  <c r="V326" i="10"/>
  <c r="U326" i="10"/>
  <c r="H326" i="10"/>
  <c r="E326" i="10"/>
  <c r="G326" i="10" s="1"/>
  <c r="AT325" i="10"/>
  <c r="AQ325" i="10"/>
  <c r="V325" i="10"/>
  <c r="U325" i="10"/>
  <c r="E325" i="10"/>
  <c r="H325" i="10" s="1"/>
  <c r="AT324" i="10"/>
  <c r="AQ324" i="10"/>
  <c r="V324" i="10"/>
  <c r="U324" i="10"/>
  <c r="E324" i="10"/>
  <c r="H324" i="10" s="1"/>
  <c r="AT323" i="10"/>
  <c r="AQ323" i="10"/>
  <c r="AK326" i="10" s="1"/>
  <c r="V323" i="10"/>
  <c r="U323" i="10"/>
  <c r="H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H230" i="10"/>
  <c r="E230" i="10"/>
  <c r="G230" i="10" s="1"/>
  <c r="V229" i="10"/>
  <c r="U229" i="10"/>
  <c r="H229" i="10"/>
  <c r="E229" i="10"/>
  <c r="G229" i="10" s="1"/>
  <c r="AR228" i="10"/>
  <c r="V228" i="10"/>
  <c r="U228" i="10"/>
  <c r="G228" i="10"/>
  <c r="E228" i="10"/>
  <c r="H228" i="10" s="1"/>
  <c r="AR227" i="10"/>
  <c r="V227" i="10"/>
  <c r="U227" i="10"/>
  <c r="E227" i="10"/>
  <c r="V226" i="10"/>
  <c r="U226" i="10"/>
  <c r="E226" i="10"/>
  <c r="V225" i="10"/>
  <c r="U225" i="10"/>
  <c r="E225" i="10"/>
  <c r="V224" i="10"/>
  <c r="U224" i="10"/>
  <c r="E224" i="10"/>
  <c r="AR223" i="10"/>
  <c r="V223" i="10"/>
  <c r="U223" i="10"/>
  <c r="G223" i="10"/>
  <c r="E223" i="10"/>
  <c r="H223" i="10" s="1"/>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H142" i="10"/>
  <c r="G142" i="10"/>
  <c r="E142" i="10"/>
  <c r="V141" i="10"/>
  <c r="U141" i="10"/>
  <c r="H141" i="10"/>
  <c r="G141" i="10"/>
  <c r="E141" i="10"/>
  <c r="V140" i="10"/>
  <c r="U140" i="10"/>
  <c r="H140" i="10"/>
  <c r="G140" i="10"/>
  <c r="E140" i="10"/>
  <c r="V139" i="10"/>
  <c r="U139" i="10"/>
  <c r="H139" i="10"/>
  <c r="G139" i="10"/>
  <c r="E139" i="10"/>
  <c r="V138" i="10"/>
  <c r="U138" i="10"/>
  <c r="H138" i="10"/>
  <c r="G138" i="10"/>
  <c r="E138" i="10"/>
  <c r="V137" i="10"/>
  <c r="U137" i="10"/>
  <c r="H137" i="10"/>
  <c r="G137" i="10"/>
  <c r="E137" i="10"/>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H114" i="10"/>
  <c r="G114" i="10"/>
  <c r="E114" i="10"/>
  <c r="AM113" i="10"/>
  <c r="AL113" i="10"/>
  <c r="X113" i="10"/>
  <c r="V113" i="10"/>
  <c r="U113" i="10"/>
  <c r="G113" i="10"/>
  <c r="E113" i="10"/>
  <c r="H113" i="10" s="1"/>
  <c r="AM112" i="10"/>
  <c r="AL112" i="10"/>
  <c r="X112" i="10"/>
  <c r="V112" i="10"/>
  <c r="U112" i="10"/>
  <c r="E112" i="10"/>
  <c r="AM111" i="10"/>
  <c r="AL111" i="10"/>
  <c r="X111" i="10"/>
  <c r="V111" i="10"/>
  <c r="U111" i="10"/>
  <c r="H111" i="10"/>
  <c r="G111" i="10"/>
  <c r="E111" i="10"/>
  <c r="AM110" i="10"/>
  <c r="AL110" i="10"/>
  <c r="X110" i="10"/>
  <c r="V110" i="10"/>
  <c r="U110" i="10"/>
  <c r="H110" i="10"/>
  <c r="G110" i="10"/>
  <c r="E110" i="10"/>
  <c r="AM109" i="10"/>
  <c r="AL109" i="10"/>
  <c r="X109" i="10"/>
  <c r="V109" i="10"/>
  <c r="U109" i="10"/>
  <c r="E109" i="10"/>
  <c r="H109" i="10" s="1"/>
  <c r="AM108" i="10"/>
  <c r="AL108" i="10"/>
  <c r="X108" i="10"/>
  <c r="V108" i="10"/>
  <c r="U108" i="10"/>
  <c r="E108" i="10"/>
  <c r="G108" i="10" s="1"/>
  <c r="AM107" i="10"/>
  <c r="AL107" i="10"/>
  <c r="X107" i="10"/>
  <c r="V107" i="10"/>
  <c r="U107" i="10"/>
  <c r="H107" i="10"/>
  <c r="G107" i="10"/>
  <c r="E107" i="10"/>
  <c r="AM106" i="10"/>
  <c r="AL106" i="10"/>
  <c r="X106" i="10"/>
  <c r="V106" i="10"/>
  <c r="U106" i="10"/>
  <c r="G106" i="10"/>
  <c r="E106" i="10"/>
  <c r="H106" i="10" s="1"/>
  <c r="AM105" i="10"/>
  <c r="AL105" i="10"/>
  <c r="X105" i="10"/>
  <c r="V105" i="10"/>
  <c r="U105" i="10"/>
  <c r="G105" i="10"/>
  <c r="E105" i="10"/>
  <c r="H105" i="10" s="1"/>
  <c r="AM104" i="10"/>
  <c r="AL104" i="10"/>
  <c r="X104" i="10"/>
  <c r="V104" i="10"/>
  <c r="U104" i="10"/>
  <c r="E104" i="10"/>
  <c r="AM103" i="10"/>
  <c r="AL103" i="10"/>
  <c r="X103" i="10"/>
  <c r="V103" i="10"/>
  <c r="U103" i="10"/>
  <c r="H103" i="10"/>
  <c r="G103" i="10"/>
  <c r="E103" i="10"/>
  <c r="AM102" i="10"/>
  <c r="AL102" i="10"/>
  <c r="X102" i="10"/>
  <c r="V102" i="10"/>
  <c r="U102" i="10"/>
  <c r="H102" i="10"/>
  <c r="G102" i="10"/>
  <c r="E102" i="10"/>
  <c r="AM101" i="10"/>
  <c r="AL101" i="10"/>
  <c r="X101" i="10"/>
  <c r="V101" i="10"/>
  <c r="U101" i="10"/>
  <c r="E101" i="10"/>
  <c r="H101" i="10" s="1"/>
  <c r="AM100" i="10"/>
  <c r="AL100" i="10"/>
  <c r="X100" i="10"/>
  <c r="V100" i="10"/>
  <c r="U100" i="10"/>
  <c r="H100" i="10"/>
  <c r="E100" i="10"/>
  <c r="G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H79" i="10"/>
  <c r="G79" i="10"/>
  <c r="E79" i="10"/>
  <c r="AS78" i="10"/>
  <c r="AO78" i="10"/>
  <c r="V78" i="10"/>
  <c r="U78" i="10"/>
  <c r="E78" i="10"/>
  <c r="AS77" i="10"/>
  <c r="AO77" i="10"/>
  <c r="V77" i="10"/>
  <c r="U77" i="10"/>
  <c r="H77" i="10"/>
  <c r="E77" i="10"/>
  <c r="G77" i="10" s="1"/>
  <c r="AR76" i="10"/>
  <c r="V76" i="10"/>
  <c r="U76" i="10"/>
  <c r="T76" i="10"/>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U72" i="10"/>
  <c r="T72" i="10"/>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H63" i="10"/>
  <c r="G63" i="10"/>
  <c r="E63" i="10"/>
  <c r="AS62" i="10"/>
  <c r="AQ62" i="10"/>
  <c r="V62" i="10"/>
  <c r="U62" i="10"/>
  <c r="G62" i="10"/>
  <c r="E62" i="10"/>
  <c r="H62" i="10" s="1"/>
  <c r="AS61" i="10"/>
  <c r="AQ61" i="10"/>
  <c r="V61" i="10"/>
  <c r="U61" i="10"/>
  <c r="H61" i="10"/>
  <c r="E61" i="10"/>
  <c r="G61" i="10" s="1"/>
  <c r="AS60" i="10"/>
  <c r="AQ60" i="10"/>
  <c r="V60" i="10"/>
  <c r="U60" i="10"/>
  <c r="H60" i="10"/>
  <c r="G60" i="10"/>
  <c r="E60" i="10"/>
  <c r="AS59" i="10"/>
  <c r="AQ59" i="10"/>
  <c r="V59" i="10"/>
  <c r="U59" i="10"/>
  <c r="E59" i="10"/>
  <c r="G59" i="10" s="1"/>
  <c r="AS58" i="10"/>
  <c r="AQ58" i="10"/>
  <c r="V58" i="10"/>
  <c r="U58" i="10"/>
  <c r="E58" i="10"/>
  <c r="H58" i="10" s="1"/>
  <c r="AS57" i="10"/>
  <c r="AQ57" i="10"/>
  <c r="V57" i="10"/>
  <c r="U57" i="10"/>
  <c r="H57" i="10"/>
  <c r="E57" i="10"/>
  <c r="G57" i="10" s="1"/>
  <c r="AS56" i="10"/>
  <c r="AQ56" i="10"/>
  <c r="V56" i="10"/>
  <c r="U56" i="10"/>
  <c r="H56" i="10"/>
  <c r="G56" i="10"/>
  <c r="E56" i="10"/>
  <c r="AS55" i="10"/>
  <c r="AQ55" i="10"/>
  <c r="V55" i="10"/>
  <c r="U55" i="10"/>
  <c r="E55" i="10"/>
  <c r="G55" i="10" s="1"/>
  <c r="AS54" i="10"/>
  <c r="AQ54" i="10"/>
  <c r="V54" i="10"/>
  <c r="U54" i="10"/>
  <c r="E54" i="10"/>
  <c r="H54" i="10" s="1"/>
  <c r="AQ53" i="10"/>
  <c r="V53" i="10"/>
  <c r="U53" i="10"/>
  <c r="S53" i="10"/>
  <c r="H53" i="10"/>
  <c r="G53" i="10"/>
  <c r="AQ52" i="10"/>
  <c r="V52" i="10"/>
  <c r="U52" i="10"/>
  <c r="S52" i="10"/>
  <c r="H52" i="10"/>
  <c r="G52" i="10"/>
  <c r="AQ51" i="10"/>
  <c r="V51" i="10"/>
  <c r="S51" i="10"/>
  <c r="U51" i="10" s="1"/>
  <c r="H51" i="10"/>
  <c r="G51" i="10"/>
  <c r="AQ50" i="10"/>
  <c r="V50" i="10"/>
  <c r="S50" i="10"/>
  <c r="U50" i="10" s="1"/>
  <c r="H50" i="10"/>
  <c r="G50" i="10"/>
  <c r="AQ49" i="10"/>
  <c r="V49" i="10"/>
  <c r="S49" i="10"/>
  <c r="U49" i="10" s="1"/>
  <c r="H49" i="10"/>
  <c r="G49" i="10"/>
  <c r="AQ48" i="10"/>
  <c r="V48" i="10"/>
  <c r="U48" i="10"/>
  <c r="S48" i="10"/>
  <c r="H48" i="10"/>
  <c r="G48" i="10"/>
  <c r="AQ47" i="10"/>
  <c r="V47" i="10"/>
  <c r="S47" i="10"/>
  <c r="U47" i="10" s="1"/>
  <c r="H47" i="10"/>
  <c r="G47" i="10"/>
  <c r="AQ46" i="10"/>
  <c r="V46" i="10"/>
  <c r="U46" i="10"/>
  <c r="S46" i="10"/>
  <c r="H46" i="10"/>
  <c r="G46" i="10"/>
  <c r="AQ45" i="10"/>
  <c r="V45" i="10"/>
  <c r="U45" i="10"/>
  <c r="S45" i="10"/>
  <c r="H45" i="10"/>
  <c r="G45" i="10"/>
  <c r="AQ44" i="10"/>
  <c r="V44" i="10"/>
  <c r="U44" i="10"/>
  <c r="S44" i="10"/>
  <c r="H44" i="10"/>
  <c r="G44" i="10"/>
  <c r="AQ43" i="10"/>
  <c r="V43" i="10"/>
  <c r="S43" i="10"/>
  <c r="U43" i="10" s="1"/>
  <c r="H43" i="10"/>
  <c r="G43" i="10"/>
  <c r="AQ42" i="10"/>
  <c r="V42" i="10"/>
  <c r="S42" i="10"/>
  <c r="U42" i="10" s="1"/>
  <c r="H42" i="10"/>
  <c r="G42" i="10"/>
  <c r="AQ41" i="10"/>
  <c r="V41" i="10"/>
  <c r="S41" i="10"/>
  <c r="U41" i="10" s="1"/>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V34" i="10"/>
  <c r="S34" i="10"/>
  <c r="U34" i="10" s="1"/>
  <c r="H34" i="10"/>
  <c r="G34" i="10"/>
  <c r="AQ33" i="10"/>
  <c r="V33" i="10"/>
  <c r="S33" i="10"/>
  <c r="U33" i="10" s="1"/>
  <c r="H33" i="10"/>
  <c r="G33" i="10"/>
  <c r="AQ32" i="10"/>
  <c r="S32" i="10" s="1"/>
  <c r="U32" i="10" s="1"/>
  <c r="V32" i="10"/>
  <c r="H32" i="10"/>
  <c r="G32" i="10"/>
  <c r="AQ31" i="10"/>
  <c r="S31" i="10" s="1"/>
  <c r="U31" i="10" s="1"/>
  <c r="V31" i="10"/>
  <c r="H31" i="10"/>
  <c r="G31" i="10"/>
  <c r="AQ30" i="10"/>
  <c r="S30" i="10" s="1"/>
  <c r="U30" i="10" s="1"/>
  <c r="V30" i="10"/>
  <c r="H30" i="10"/>
  <c r="G30" i="10"/>
  <c r="AQ29" i="10"/>
  <c r="V29" i="10"/>
  <c r="U29" i="10"/>
  <c r="S29" i="10"/>
  <c r="H29" i="10"/>
  <c r="G29" i="10"/>
  <c r="AQ28" i="10"/>
  <c r="V28" i="10"/>
  <c r="U28" i="10"/>
  <c r="S28" i="10"/>
  <c r="H28" i="10"/>
  <c r="G28" i="10"/>
  <c r="AQ27" i="10"/>
  <c r="V27" i="10"/>
  <c r="S27" i="10"/>
  <c r="U27" i="10" s="1"/>
  <c r="H27" i="10"/>
  <c r="G27" i="10"/>
  <c r="AQ26" i="10"/>
  <c r="V26" i="10"/>
  <c r="S26" i="10"/>
  <c r="U26" i="10" s="1"/>
  <c r="H26" i="10"/>
  <c r="G26" i="10"/>
  <c r="AQ25" i="10"/>
  <c r="V25" i="10"/>
  <c r="S25" i="10"/>
  <c r="U25" i="10" s="1"/>
  <c r="H25" i="10"/>
  <c r="G25" i="10"/>
  <c r="AQ24" i="10"/>
  <c r="V24" i="10"/>
  <c r="U24" i="10"/>
  <c r="S24" i="10"/>
  <c r="H24" i="10"/>
  <c r="G24" i="10"/>
  <c r="AQ23" i="10"/>
  <c r="V23" i="10"/>
  <c r="S23" i="10"/>
  <c r="U23" i="10" s="1"/>
  <c r="H23" i="10"/>
  <c r="G23" i="10"/>
  <c r="AQ22" i="10"/>
  <c r="V22" i="10"/>
  <c r="U22" i="10"/>
  <c r="S22" i="10"/>
  <c r="H22" i="10"/>
  <c r="G22" i="10"/>
  <c r="AQ21" i="10"/>
  <c r="V21" i="10"/>
  <c r="U21" i="10"/>
  <c r="S21" i="10"/>
  <c r="H21" i="10"/>
  <c r="G21" i="10"/>
  <c r="AQ20" i="10"/>
  <c r="V20" i="10"/>
  <c r="S20" i="10"/>
  <c r="U20" i="10" s="1"/>
  <c r="H20" i="10"/>
  <c r="G20" i="10"/>
  <c r="AQ19" i="10"/>
  <c r="V19" i="10"/>
  <c r="S19" i="10"/>
  <c r="U19" i="10" s="1"/>
  <c r="H19" i="10"/>
  <c r="G19" i="10"/>
  <c r="AQ18" i="10"/>
  <c r="V18" i="10"/>
  <c r="S18" i="10"/>
  <c r="U18" i="10" s="1"/>
  <c r="H18" i="10"/>
  <c r="G18" i="10"/>
  <c r="AQ17" i="10"/>
  <c r="V17" i="10"/>
  <c r="S17" i="10"/>
  <c r="U17" i="10" s="1"/>
  <c r="H17" i="10"/>
  <c r="G17" i="10"/>
  <c r="AQ16" i="10"/>
  <c r="S16" i="10" s="1"/>
  <c r="U16" i="10" s="1"/>
  <c r="V16" i="10"/>
  <c r="H16" i="10"/>
  <c r="G16" i="10"/>
  <c r="AQ15" i="10"/>
  <c r="S15" i="10" s="1"/>
  <c r="U15" i="10" s="1"/>
  <c r="V15" i="10"/>
  <c r="H15" i="10"/>
  <c r="G15" i="10"/>
  <c r="AQ14" i="10"/>
  <c r="S14" i="10" s="1"/>
  <c r="U14" i="10" s="1"/>
  <c r="V14" i="10"/>
  <c r="H14" i="10"/>
  <c r="G14" i="10"/>
  <c r="AQ13" i="10"/>
  <c r="S13" i="10" s="1"/>
  <c r="U13" i="10" s="1"/>
  <c r="V13" i="10"/>
  <c r="H13" i="10"/>
  <c r="G13" i="10"/>
  <c r="AQ12" i="10"/>
  <c r="S12" i="10" s="1"/>
  <c r="U12" i="10" s="1"/>
  <c r="V12" i="10"/>
  <c r="H12" i="10"/>
  <c r="G12" i="10"/>
  <c r="AQ11" i="10"/>
  <c r="S11" i="10" s="1"/>
  <c r="U11" i="10" s="1"/>
  <c r="V11" i="10"/>
  <c r="H11" i="10"/>
  <c r="G11" i="10"/>
  <c r="AQ10" i="10"/>
  <c r="V10" i="10"/>
  <c r="S10" i="10"/>
  <c r="U10" i="10" s="1"/>
  <c r="H10" i="10"/>
  <c r="G10" i="10"/>
  <c r="AQ9" i="10"/>
  <c r="V9" i="10"/>
  <c r="S9" i="10"/>
  <c r="U9" i="10" s="1"/>
  <c r="H9" i="10"/>
  <c r="G9" i="10"/>
  <c r="AQ8" i="10"/>
  <c r="S8" i="10" s="1"/>
  <c r="U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I5" i="10" s="1"/>
  <c r="J5" i="10" s="1"/>
  <c r="K5" i="10" s="1"/>
  <c r="H5" i="10"/>
  <c r="G5" i="10"/>
  <c r="F5" i="10"/>
  <c r="E5" i="10"/>
  <c r="X4" i="10"/>
  <c r="V4" i="10"/>
  <c r="U4" i="10"/>
  <c r="I4" i="10"/>
  <c r="J4" i="10" s="1"/>
  <c r="K4" i="10" s="1"/>
  <c r="F4" i="10"/>
  <c r="E4" i="10" s="1"/>
  <c r="X3" i="10"/>
  <c r="V3" i="10"/>
  <c r="U3" i="10"/>
  <c r="I3" i="10" s="1"/>
  <c r="J3" i="10" s="1"/>
  <c r="K3" i="10" s="1"/>
  <c r="F3" i="10"/>
  <c r="E3" i="10"/>
  <c r="H3" i="10" s="1"/>
  <c r="X2" i="10"/>
  <c r="V2" i="10"/>
  <c r="U2" i="10"/>
  <c r="F2" i="10"/>
  <c r="I2" i="10" s="1"/>
  <c r="J2" i="10" s="1"/>
  <c r="K2" i="10" s="1"/>
  <c r="E2" i="10"/>
  <c r="H2" i="10" s="1"/>
  <c r="H76" i="12"/>
  <c r="H4" i="10" l="1"/>
  <c r="G4" i="10"/>
  <c r="G3" i="10"/>
  <c r="H55" i="10"/>
  <c r="H59" i="10"/>
  <c r="H112" i="10"/>
  <c r="G112" i="10"/>
  <c r="H78" i="10"/>
  <c r="G78" i="10"/>
  <c r="G101" i="10"/>
  <c r="H225" i="10"/>
  <c r="G225" i="10"/>
  <c r="H227" i="10"/>
  <c r="G227" i="10"/>
  <c r="G54" i="10"/>
  <c r="G58" i="10"/>
  <c r="G80" i="10"/>
  <c r="H108" i="10"/>
  <c r="G2" i="10"/>
  <c r="G109" i="10"/>
  <c r="H104" i="10"/>
  <c r="G104" i="10"/>
  <c r="H224" i="10"/>
  <c r="G224" i="10"/>
  <c r="H226" i="10"/>
  <c r="G226" i="10"/>
  <c r="AN323" i="10"/>
  <c r="AL326" i="10"/>
  <c r="G333" i="10"/>
  <c r="AK325" i="10"/>
  <c r="AM326" i="10"/>
  <c r="G325" i="10"/>
  <c r="AL325" i="10"/>
  <c r="AN326" i="10"/>
  <c r="G329" i="10"/>
  <c r="G345" i="10"/>
  <c r="AK324" i="10"/>
  <c r="AM325" i="10"/>
  <c r="G324" i="10"/>
  <c r="AL324" i="10"/>
  <c r="AN325" i="10"/>
  <c r="G341" i="10"/>
  <c r="AK323" i="10"/>
  <c r="AM324" i="10"/>
  <c r="AL323" i="10"/>
  <c r="AN324" i="10"/>
  <c r="G337" i="10"/>
  <c r="AM323" i="10"/>
  <c r="H460" i="10"/>
  <c r="G474" i="10"/>
  <c r="G482" i="10"/>
  <c r="H524" i="10"/>
  <c r="G524" i="10"/>
  <c r="F524" i="10"/>
  <c r="G457" i="10"/>
  <c r="G472" i="10"/>
  <c r="G480" i="10"/>
  <c r="G470" i="10"/>
  <c r="G478" i="10"/>
  <c r="G468" i="10"/>
  <c r="G476" i="10"/>
  <c r="H531" i="10"/>
  <c r="G531" i="10"/>
  <c r="G467" i="10"/>
  <c r="G475" i="10"/>
  <c r="H1026" i="10"/>
  <c r="G1026" i="10"/>
  <c r="W534" i="10"/>
  <c r="BL534" i="10" s="1"/>
  <c r="W538" i="10"/>
  <c r="W541" i="10"/>
  <c r="BL541" i="10" s="1"/>
  <c r="H838" i="10"/>
  <c r="G838" i="10"/>
  <c r="X538" i="10"/>
  <c r="G533" i="10"/>
  <c r="G537" i="10"/>
  <c r="H844" i="10"/>
  <c r="H791" i="10"/>
  <c r="G791" i="10"/>
  <c r="G843" i="10"/>
  <c r="H934" i="10"/>
  <c r="G934" i="10"/>
  <c r="H923" i="10"/>
  <c r="G923" i="10"/>
  <c r="G790" i="10"/>
  <c r="G928" i="10"/>
  <c r="H925" i="10"/>
  <c r="G932" i="10"/>
  <c r="G839" i="10"/>
  <c r="G926" i="10"/>
  <c r="H921" i="10"/>
  <c r="G930" i="10"/>
  <c r="H1021" i="10"/>
  <c r="G1021" i="10"/>
  <c r="H1034" i="10"/>
  <c r="G1034" i="10"/>
  <c r="H1039" i="10"/>
  <c r="H1092" i="10"/>
  <c r="G1092" i="10"/>
  <c r="H1102" i="10"/>
  <c r="G1102" i="10"/>
  <c r="H1042" i="10"/>
  <c r="G1042" i="10"/>
  <c r="H1047" i="10"/>
  <c r="G1047" i="10"/>
  <c r="H1097" i="10"/>
  <c r="G1097" i="10"/>
  <c r="G1013" i="10"/>
  <c r="G1033" i="10"/>
  <c r="G1027" i="10"/>
  <c r="G1035" i="10"/>
  <c r="G1043" i="10"/>
  <c r="G109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AN346" i="10" l="1"/>
  <c r="AN344" i="10"/>
  <c r="AN345" i="10"/>
  <c r="AN343" i="10"/>
  <c r="AK344" i="10"/>
  <c r="AK343" i="10"/>
  <c r="AK346" i="10"/>
  <c r="AK345" i="10"/>
  <c r="AM345" i="10"/>
  <c r="AM346" i="10"/>
  <c r="AM344" i="10"/>
  <c r="AM343" i="10"/>
  <c r="BL538" i="10"/>
  <c r="AL343" i="10"/>
  <c r="AL346" i="10"/>
  <c r="AL344" i="10"/>
  <c r="AL345" i="10"/>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119C6755-822A-4D84-8ED1-21151E44E59F}">
      <text>
        <r>
          <rPr>
            <sz val="11"/>
            <color theme="1"/>
            <rFont val="Calibri"/>
            <family val="2"/>
            <scheme val="minor"/>
          </rPr>
          <t>Petr Čala:
Main effect, private returns to schooling</t>
        </r>
      </text>
    </comment>
    <comment ref="E1" authorId="0" shapeId="0" xr:uid="{62E6EF13-FB7C-4FEE-B174-D29AADE63C70}">
      <text>
        <r>
          <rPr>
            <sz val="11"/>
            <color theme="1"/>
            <rFont val="Calibri"/>
            <family val="2"/>
            <scheme val="minor"/>
          </rPr>
          <t>Petr Čala:
Standard error</t>
        </r>
      </text>
    </comment>
    <comment ref="L1" authorId="0" shapeId="0" xr:uid="{A51903FB-6D31-431D-8A44-B72644099166}">
      <text>
        <r>
          <rPr>
            <sz val="11"/>
            <color theme="1"/>
            <rFont val="Calibri"/>
            <family val="2"/>
            <scheme val="minor"/>
          </rPr>
          <t>Petr Čala:
Estimate is a short run type</t>
        </r>
      </text>
    </comment>
    <comment ref="M1" authorId="0" shapeId="0" xr:uid="{7ADFB625-ECE4-4B95-B98C-797FA1F584D5}">
      <text>
        <r>
          <rPr>
            <sz val="11"/>
            <color theme="1"/>
            <rFont val="Calibri"/>
            <family val="2"/>
            <scheme val="minor"/>
          </rPr>
          <t>Petr Čala:
Estimate is a long run type</t>
        </r>
      </text>
    </comment>
    <comment ref="N1" authorId="0" shapeId="0" xr:uid="{6945B7CF-FC23-403F-A14C-BE2055EA1877}">
      <text>
        <r>
          <rPr>
            <sz val="11"/>
            <color theme="1"/>
            <rFont val="Calibri"/>
            <family val="2"/>
            <scheme val="minor"/>
          </rPr>
          <t>Petr Čala:
Estimate can be aggregated on the level of a city</t>
        </r>
      </text>
    </comment>
    <comment ref="O1" authorId="0" shapeId="0" xr:uid="{6EE643F1-AB61-4CF1-A6A7-84199EC4F0B9}">
      <text>
        <r>
          <rPr>
            <sz val="11"/>
            <color theme="1"/>
            <rFont val="Calibri"/>
            <family val="2"/>
            <scheme val="minor"/>
          </rPr>
          <t>Petr Čala:
Estimate can be aggregated on the level of a small region</t>
        </r>
      </text>
    </comment>
    <comment ref="P1" authorId="0" shapeId="0" xr:uid="{E3410119-D172-462A-8B72-41BB6F231054}">
      <text>
        <r>
          <rPr>
            <sz val="11"/>
            <color theme="1"/>
            <rFont val="Calibri"/>
            <family val="2"/>
            <scheme val="minor"/>
          </rPr>
          <t>Petr Čala:
Estimate can be aggregated on the level of a large region of countries</t>
        </r>
      </text>
    </comment>
    <comment ref="Q1" authorId="0" shapeId="0" xr:uid="{97AFD59B-0530-48D9-BB23-5D59EF242DD6}">
      <text>
        <r>
          <rPr>
            <sz val="11"/>
            <color theme="1"/>
            <rFont val="Calibri"/>
            <family val="2"/>
            <scheme val="minor"/>
          </rPr>
          <t>Petr Čala:
Estimate can be aggregated on the level of a country</t>
        </r>
      </text>
    </comment>
    <comment ref="R1" authorId="0" shapeId="0" xr:uid="{07016269-F70D-4C4B-8C23-7D9D15E878E5}">
      <text>
        <r>
          <rPr>
            <sz val="11"/>
            <color theme="1"/>
            <rFont val="Calibri"/>
            <family val="2"/>
            <scheme val="minor"/>
          </rPr>
          <t>Petr Čala:
Estimate can be aggregated on the level of a body of mass larger than a country</t>
        </r>
      </text>
    </comment>
    <comment ref="S1" authorId="0" shapeId="0" xr:uid="{66B821B4-B38F-401F-BF8B-57FCFB4332A8}">
      <text>
        <r>
          <rPr>
            <sz val="11"/>
            <color theme="1"/>
            <rFont val="Calibri"/>
            <family val="2"/>
            <scheme val="minor"/>
          </rPr>
          <t>Petr Čala:
Number of observations used in the estimation (put to log later)</t>
        </r>
      </text>
    </comment>
    <comment ref="T1" authorId="0" shapeId="0" xr:uid="{11954F61-8BBD-4655-81BC-7E22CB968729}">
      <text>
        <r>
          <rPr>
            <sz val="11"/>
            <color theme="1"/>
            <rFont val="Calibri"/>
            <family val="2"/>
            <scheme val="minor"/>
          </rPr>
          <t>Petr Čala:
Number of regressands in the regression</t>
        </r>
      </text>
    </comment>
    <comment ref="U1" authorId="0" shapeId="0" xr:uid="{5EB2AF0A-E041-431C-A190-C04EF430E8A7}">
      <text>
        <r>
          <rPr>
            <sz val="11"/>
            <color theme="1"/>
            <rFont val="Calibri"/>
            <family val="2"/>
            <scheme val="minor"/>
          </rPr>
          <t>Petr Čala:
The number of Degrees of Freedom computed as "n_obs - regressands - 1" for a regression and "n_obs - 1" for means</t>
        </r>
      </text>
    </comment>
    <comment ref="V1" authorId="0" shapeId="0" xr:uid="{46DA2234-0EE4-426E-92F7-66189EB142FC}">
      <text>
        <r>
          <rPr>
            <sz val="11"/>
            <color theme="1"/>
            <rFont val="Calibri"/>
            <family val="2"/>
            <scheme val="minor"/>
          </rPr>
          <t>Petr Čala:
Number of estimates per this study</t>
        </r>
      </text>
    </comment>
    <comment ref="W1" authorId="0" shapeId="0" xr:uid="{7E5D4673-BF81-41F2-99F1-8289D5549DF1}">
      <text>
        <r>
          <rPr>
            <sz val="11"/>
            <color theme="1"/>
            <rFont val="Calibri"/>
            <family val="2"/>
            <scheme val="minor"/>
          </rPr>
          <t>Petr Čala:
Mean years of schooling</t>
        </r>
      </text>
    </comment>
    <comment ref="X1" authorId="0" shapeId="0" xr:uid="{3E9B2C8E-9F75-4F78-BCE2-6506A9BC0667}">
      <text>
        <r>
          <rPr>
            <sz val="11"/>
            <color theme="1"/>
            <rFont val="Calibri"/>
            <family val="2"/>
            <scheme val="minor"/>
          </rPr>
          <t>Petr Čala:
Mean years of experience</t>
        </r>
      </text>
    </comment>
    <comment ref="Y1" authorId="0" shapeId="0" xr:uid="{92CEF213-7943-4F04-83F0-CA43435F42D3}">
      <text>
        <r>
          <rPr>
            <sz val="11"/>
            <color theme="1"/>
            <rFont val="Calibri"/>
            <family val="2"/>
            <scheme val="minor"/>
          </rPr>
          <t>Petr Čala:
The study reports the number of years directly (using years of schooling)</t>
        </r>
      </text>
    </comment>
    <comment ref="Z1" authorId="0" shapeId="0" xr:uid="{26CB1BDE-AAB9-4B1E-BD0D-DD2B4DEBFAB8}">
      <text>
        <r>
          <rPr>
            <sz val="11"/>
            <color theme="1"/>
            <rFont val="Calibri"/>
            <family val="2"/>
            <scheme val="minor"/>
          </rPr>
          <t>Petr Čala:
The study instead uses levels of schooling (primary, sec, …) in the mincer regression</t>
        </r>
      </text>
    </comment>
    <comment ref="AA1" authorId="0" shapeId="0" xr:uid="{BC5FF371-31B8-4F4B-8CCC-BABBC98DD3CE}">
      <text>
        <r>
          <rPr>
            <sz val="11"/>
            <color theme="1"/>
            <rFont val="Calibri"/>
            <family val="2"/>
            <scheme val="minor"/>
          </rPr>
          <t>Petr Čala:
Wage is defined as log hourly</t>
        </r>
      </text>
    </comment>
    <comment ref="AB1" authorId="0" shapeId="0" xr:uid="{A02AA512-BB32-4A5E-97D4-10345FEEFC79}">
      <text>
        <r>
          <rPr>
            <sz val="11"/>
            <color theme="1"/>
            <rFont val="Calibri"/>
            <family val="2"/>
            <scheme val="minor"/>
          </rPr>
          <t xml:space="preserve">Petr Čala:
Daily or weekly wage
</t>
        </r>
      </text>
    </comment>
    <comment ref="AC1" authorId="0" shapeId="0" xr:uid="{7BC7577A-CB54-4F1C-88F0-2CC8CD119193}">
      <text>
        <r>
          <rPr>
            <sz val="11"/>
            <color theme="1"/>
            <rFont val="Calibri"/>
            <family val="2"/>
            <scheme val="minor"/>
          </rPr>
          <t>Petr Čala:
Placeholder for the wage dummy</t>
        </r>
      </text>
    </comment>
    <comment ref="AD1" authorId="0" shapeId="0" xr:uid="{6E4793B2-6DF7-4337-8371-FD5812E17977}">
      <text>
        <r>
          <rPr>
            <sz val="11"/>
            <color theme="1"/>
            <rFont val="Calibri"/>
            <family val="2"/>
            <scheme val="minor"/>
          </rPr>
          <t>Petr Čala:
Wage is defined as mean annual earnings per worker</t>
        </r>
      </text>
    </comment>
    <comment ref="AE1" authorId="0" shapeId="0" xr:uid="{760AA00C-00DA-420F-B960-567AE0D6CFE3}">
      <text>
        <r>
          <rPr>
            <sz val="11"/>
            <color theme="1"/>
            <rFont val="Calibri"/>
            <family val="2"/>
            <scheme val="minor"/>
          </rPr>
          <t>Petr Čala:
Data are input micro data</t>
        </r>
      </text>
    </comment>
    <comment ref="AF1" authorId="0" shapeId="0" xr:uid="{229B1DDC-9904-417A-A66F-19B66F62D8B4}">
      <text>
        <r>
          <rPr>
            <sz val="11"/>
            <color theme="1"/>
            <rFont val="Calibri"/>
            <family val="2"/>
            <scheme val="minor"/>
          </rPr>
          <t>Petr Čala:
Data come from a survey (household or employers, maybe split later)</t>
        </r>
      </text>
    </comment>
    <comment ref="AG1" authorId="0" shapeId="0" xr:uid="{D0549BFE-60C7-4BB7-A7CE-19FE9FEE8678}">
      <text>
        <r>
          <rPr>
            <sz val="11"/>
            <color theme="1"/>
            <rFont val="Calibri"/>
            <family val="2"/>
            <scheme val="minor"/>
          </rPr>
          <t>Petr Čala:
Data come from a national register</t>
        </r>
      </text>
    </comment>
    <comment ref="AH1" authorId="0" shapeId="0" xr:uid="{3D32B746-D78F-4336-8B0D-82BD8B1CF18A}">
      <text>
        <r>
          <rPr>
            <sz val="11"/>
            <color theme="1"/>
            <rFont val="Calibri"/>
            <family val="2"/>
            <scheme val="minor"/>
          </rPr>
          <t>Petr Čala:
Data type = cross-section -&gt; snapshot of the population in a given year</t>
        </r>
      </text>
    </comment>
    <comment ref="AI1" authorId="0" shapeId="0" xr:uid="{E49B6C2E-C729-4F93-A98E-BA0F826321B4}">
      <text>
        <r>
          <rPr>
            <sz val="11"/>
            <color theme="1"/>
            <rFont val="Calibri"/>
            <family val="2"/>
            <scheme val="minor"/>
          </rPr>
          <t>Petr Čala:
Data type = panel -&gt; various countries, groups observed over their life</t>
        </r>
      </text>
    </comment>
    <comment ref="AJ1" authorId="0" shapeId="0" xr:uid="{C778263F-6EC7-4315-A006-83C02536C19A}">
      <text>
        <r>
          <rPr>
            <sz val="11"/>
            <color theme="1"/>
            <rFont val="Calibri"/>
            <family val="2"/>
            <scheme val="minor"/>
          </rPr>
          <t>Petr Čala:
Average original year, DELETE LATER</t>
        </r>
      </text>
    </comment>
    <comment ref="AK1" authorId="0" shapeId="0" xr:uid="{83D67D6B-61A7-47D8-9C79-95DD2F367EFF}">
      <text>
        <r>
          <rPr>
            <sz val="11"/>
            <color theme="1"/>
            <rFont val="Calibri"/>
            <family val="2"/>
            <scheme val="minor"/>
          </rPr>
          <t>Petr Čala:
Percentage of subjects with no education - country aggregated</t>
        </r>
      </text>
    </comment>
    <comment ref="AL1" authorId="0" shapeId="0" xr:uid="{4BF05C4D-BCC7-42ED-B31C-38CC03328C8D}">
      <text>
        <r>
          <rPr>
            <sz val="11"/>
            <color theme="1"/>
            <rFont val="Calibri"/>
            <family val="2"/>
            <scheme val="minor"/>
          </rPr>
          <t>Petr Čala:
Percentage of subjects with primary education - country aggregated</t>
        </r>
      </text>
    </comment>
    <comment ref="AM1" authorId="0" shapeId="0" xr:uid="{00643FE2-139D-4AFE-A3FD-DF2EFB1721AC}">
      <text>
        <r>
          <rPr>
            <sz val="11"/>
            <color theme="1"/>
            <rFont val="Calibri"/>
            <family val="2"/>
            <scheme val="minor"/>
          </rPr>
          <t>Petr Čala:
Percentage of subjects with secondary education</t>
        </r>
      </text>
    </comment>
    <comment ref="AN1" authorId="0" shapeId="0" xr:uid="{2856A353-6CDB-4110-B2A3-09546DABAE64}">
      <text>
        <r>
          <rPr>
            <sz val="11"/>
            <color theme="1"/>
            <rFont val="Calibri"/>
            <family val="2"/>
            <scheme val="minor"/>
          </rPr>
          <t>Petr Čala:
Percentage of subjects with higher education</t>
        </r>
      </text>
    </comment>
    <comment ref="AO1" authorId="0" shapeId="0" xr:uid="{3A87E381-CD27-4265-85DA-B0FAE5E5A6B6}">
      <text>
        <r>
          <rPr>
            <sz val="11"/>
            <color theme="1"/>
            <rFont val="Calibri"/>
            <family val="2"/>
            <scheme val="minor"/>
          </rPr>
          <t>Petr Čala:
Percentage of workers from sample, that are wage earners</t>
        </r>
      </text>
    </comment>
    <comment ref="AP1" authorId="0" shapeId="0" xr:uid="{F19B79E1-6026-40C6-8E47-49005528D9E9}">
      <text>
        <r>
          <rPr>
            <sz val="11"/>
            <color theme="1"/>
            <rFont val="Calibri"/>
            <family val="2"/>
            <scheme val="minor"/>
          </rPr>
          <t>Petr Čala:
Percentage of workers from sample, that are self employed</t>
        </r>
      </text>
    </comment>
    <comment ref="AS1" authorId="0" shapeId="0" xr:uid="{FF3CCAB3-F03E-4682-8A3E-E455B6FB5B12}">
      <text>
        <r>
          <rPr>
            <sz val="11"/>
            <color theme="1"/>
            <rFont val="Calibri"/>
            <family val="2"/>
            <scheme val="minor"/>
          </rPr>
          <t>Petr Čala:
Percentage of workers from sample, that work in the private sector</t>
        </r>
      </text>
    </comment>
    <comment ref="AT1" authorId="0" shapeId="0" xr:uid="{3F5BF822-3C35-4313-BA53-0175DBC4CE98}">
      <text>
        <r>
          <rPr>
            <sz val="11"/>
            <color theme="1"/>
            <rFont val="Calibri"/>
            <family val="2"/>
            <scheme val="minor"/>
          </rPr>
          <t>Petr Čala:
Percentage of workers from sample, that work in the public sector</t>
        </r>
      </text>
    </comment>
    <comment ref="AU1" authorId="0" shapeId="0" xr:uid="{E67D4F93-C94D-43D1-A373-2A04C0838392}">
      <text>
        <r>
          <rPr>
            <sz val="11"/>
            <color theme="1"/>
            <rFont val="Calibri"/>
            <family val="2"/>
            <scheme val="minor"/>
          </rPr>
          <t>Petr Čala:
Caucasion (european ancestry) ethnicity</t>
        </r>
      </text>
    </comment>
    <comment ref="AV1" authorId="0" shapeId="0" xr:uid="{DED2FB10-5369-4CC2-8781-BFD117CC9565}">
      <text>
        <r>
          <rPr>
            <sz val="11"/>
            <color theme="1"/>
            <rFont val="Calibri"/>
            <family val="2"/>
            <scheme val="minor"/>
          </rPr>
          <t>Petr Čala:
Other ethnicity</t>
        </r>
      </text>
    </comment>
    <comment ref="AW1" authorId="0" shapeId="0" xr:uid="{4E87DEF0-9A08-4E9D-8ED0-14ECABA618B4}">
      <text>
        <r>
          <rPr>
            <sz val="11"/>
            <color theme="1"/>
            <rFont val="Calibri"/>
            <family val="2"/>
            <scheme val="minor"/>
          </rPr>
          <t>Petr Čala:
Rural sector</t>
        </r>
      </text>
    </comment>
    <comment ref="AX1" authorId="0" shapeId="0" xr:uid="{D70B9B9D-9EFF-40BD-80CB-27FAB71947BC}">
      <text>
        <r>
          <rPr>
            <sz val="11"/>
            <color theme="1"/>
            <rFont val="Calibri"/>
            <family val="2"/>
            <scheme val="minor"/>
          </rPr>
          <t>Petr Čala:
Urban sector</t>
        </r>
      </text>
    </comment>
    <comment ref="AZ1" authorId="0" shapeId="0" xr:uid="{F87ABCA8-2DA0-4703-B3B1-453D5B93BA65}">
      <text>
        <r>
          <rPr>
            <sz val="11"/>
            <color theme="1"/>
            <rFont val="Calibri"/>
            <family val="2"/>
            <scheme val="minor"/>
          </rPr>
          <t>Petr Čala:
Region - possibly dummify this</t>
        </r>
      </text>
    </comment>
    <comment ref="BJ1" authorId="0" shapeId="0" xr:uid="{4EC5B9E1-2AC9-4F4D-8E39-8DAC224E17B6}">
      <text>
        <r>
          <rPr>
            <sz val="11"/>
            <color theme="1"/>
            <rFont val="Calibri"/>
            <family val="2"/>
            <scheme val="minor"/>
          </rPr>
          <t>Petr Čala:
Logarithm of median monthly expenditure in that country around year 2000</t>
        </r>
      </text>
    </comment>
    <comment ref="BK1" authorId="0" shapeId="0" xr:uid="{BE98A1D8-05F1-4F78-82CE-8CBCAE3E263E}">
      <text>
        <r>
          <rPr>
            <sz val="11"/>
            <color theme="1"/>
            <rFont val="Calibri"/>
            <family val="2"/>
            <scheme val="minor"/>
          </rPr>
          <t>Petr Čala:
Logarithm of the minimal monthly wage in that country around year 2000</t>
        </r>
      </text>
    </comment>
    <comment ref="BL1" authorId="0" shapeId="0" xr:uid="{8E9FBFC6-4D80-404C-BC78-F9C9DFE42E63}">
      <text>
        <r>
          <rPr>
            <sz val="11"/>
            <color theme="1"/>
            <rFont val="Calibri"/>
            <family val="2"/>
            <scheme val="minor"/>
          </rPr>
          <t>Petr Čala:
Mean age of subjects</t>
        </r>
      </text>
    </comment>
    <comment ref="BN1" authorId="0" shapeId="0" xr:uid="{0A24AEB1-6595-41ED-950E-832B57FA8499}">
      <text>
        <r>
          <rPr>
            <sz val="11"/>
            <color theme="1"/>
            <rFont val="Calibri"/>
            <family val="2"/>
            <scheme val="minor"/>
          </rPr>
          <t>Petr Čala:
Double hurdle model</t>
        </r>
      </text>
    </comment>
    <comment ref="BO1" authorId="0" shapeId="0" xr:uid="{6A69854F-BA54-4512-8E71-AF56670EFA49}">
      <text>
        <r>
          <rPr>
            <sz val="11"/>
            <color theme="1"/>
            <rFont val="Calibri"/>
            <family val="2"/>
            <scheme val="minor"/>
          </rPr>
          <t xml:space="preserve">Petr Čala:
Cohort years to average out the individual effect (ability)
If not enough obs, merge with FE
</t>
        </r>
      </text>
    </comment>
    <comment ref="BP1" authorId="0" shapeId="0" xr:uid="{4DBD3111-8DF2-4279-91FD-B614733EFC56}">
      <text>
        <r>
          <rPr>
            <sz val="11"/>
            <color theme="1"/>
            <rFont val="Calibri"/>
            <family val="2"/>
            <scheme val="minor"/>
          </rPr>
          <t xml:space="preserve">Petr Čala:
Fixed or random effects
</t>
        </r>
      </text>
    </comment>
    <comment ref="BR1" authorId="0" shapeId="0" xr:uid="{3F7E76DE-418C-4C6A-BC45-5C613AFFDDAC}">
      <text>
        <r>
          <rPr>
            <sz val="11"/>
            <color theme="1"/>
            <rFont val="Calibri"/>
            <family val="2"/>
            <scheme val="minor"/>
          </rPr>
          <t>Petr Čala:
Heckman regression model</t>
        </r>
      </text>
    </comment>
    <comment ref="BU1" authorId="0" shapeId="0" xr:uid="{75885259-B89F-4073-888A-94596E84B193}">
      <text>
        <r>
          <rPr>
            <sz val="11"/>
            <color theme="1"/>
            <rFont val="Calibri"/>
            <family val="2"/>
            <scheme val="minor"/>
          </rPr>
          <t>Petr Čala:
Ability is measured directly by IQ or other measure</t>
        </r>
      </text>
    </comment>
    <comment ref="BV1" authorId="0" shapeId="0" xr:uid="{D0FF58AA-F669-4F01-9BA4-D71F547155F2}">
      <text>
        <r>
          <rPr>
            <sz val="11"/>
            <color theme="1"/>
            <rFont val="Calibri"/>
            <family val="2"/>
            <scheme val="minor"/>
          </rPr>
          <t>Petr Čala:
Innate ability is not measured in the equation, but a proxy is used to control for ability or ability bias</t>
        </r>
      </text>
    </comment>
    <comment ref="BW1" authorId="0" shapeId="0" xr:uid="{64D18F08-2D4F-4EE9-A5E4-DB5522B95A21}">
      <text>
        <r>
          <rPr>
            <sz val="11"/>
            <color theme="1"/>
            <rFont val="Calibri"/>
            <family val="2"/>
            <scheme val="minor"/>
          </rPr>
          <t>Petr Čala:
Ability or ability bias is not controlled for</t>
        </r>
      </text>
    </comment>
    <comment ref="BX1" authorId="0" shapeId="0" xr:uid="{5EED5302-27CB-454C-944C-30B9D961091E}">
      <text>
        <r>
          <rPr>
            <sz val="11"/>
            <color theme="1"/>
            <rFont val="Calibri"/>
            <family val="2"/>
            <scheme val="minor"/>
          </rPr>
          <t>Petr Čala:
ability bias is not mentioned anywhere in the study</t>
        </r>
      </text>
    </comment>
    <comment ref="BY1" authorId="0" shapeId="0" xr:uid="{7E7793CC-2ADE-45D9-94A0-F2E2BFD96276}">
      <text>
        <r>
          <rPr>
            <sz val="11"/>
            <color theme="1"/>
            <rFont val="Calibri"/>
            <family val="2"/>
            <scheme val="minor"/>
          </rPr>
          <t>Petr Čala:
The study uses parents' education as an instrument for the estimate</t>
        </r>
      </text>
    </comment>
    <comment ref="BZ1" authorId="0" shapeId="0" xr:uid="{B08CF57B-F400-41AD-93E9-92AE87807512}">
      <text>
        <r>
          <rPr>
            <sz val="11"/>
            <color theme="1"/>
            <rFont val="Calibri"/>
            <family val="2"/>
            <scheme val="minor"/>
          </rPr>
          <t>Petr Čala:
Distance to school or school per area</t>
        </r>
      </text>
    </comment>
    <comment ref="CA1" authorId="0" shapeId="0" xr:uid="{D07C9995-7497-4208-88E1-D638717787A2}">
      <text>
        <r>
          <rPr>
            <sz val="11"/>
            <color theme="1"/>
            <rFont val="Calibri"/>
            <family val="2"/>
            <scheme val="minor"/>
          </rPr>
          <t>Petr Čala:
The instrument is a spouse education</t>
        </r>
      </text>
    </comment>
    <comment ref="CB1" authorId="0" shapeId="0" xr:uid="{FE0892D5-C14A-4A6E-8595-CF73E2FBECDA}">
      <text>
        <r>
          <rPr>
            <sz val="11"/>
            <color theme="1"/>
            <rFont val="Calibri"/>
            <family val="2"/>
            <scheme val="minor"/>
          </rPr>
          <t>Petr Čala:
The instrument is a marital status, i.e. whether the individual is married (dummy)</t>
        </r>
      </text>
    </comment>
    <comment ref="CC1" authorId="0" shapeId="0" xr:uid="{CB6DCCF2-B257-4462-96B6-3FFDA4EF8A90}">
      <text>
        <r>
          <rPr>
            <sz val="11"/>
            <color theme="1"/>
            <rFont val="Calibri"/>
            <family val="2"/>
            <scheme val="minor"/>
          </rPr>
          <t>Petr Čala:
The study uses another instrument</t>
        </r>
      </text>
    </comment>
    <comment ref="CD1" authorId="0" shapeId="0" xr:uid="{D58667CE-9AC9-40B9-9CA0-312C8D38E600}">
      <text>
        <r>
          <rPr>
            <sz val="11"/>
            <color theme="1"/>
            <rFont val="Calibri"/>
            <family val="2"/>
            <scheme val="minor"/>
          </rPr>
          <t>Petr Čala:
Age is controlled for in the Mincer equation</t>
        </r>
      </text>
    </comment>
    <comment ref="CE1" authorId="0" shapeId="0" xr:uid="{9C71A868-D415-4869-8D2F-CA13939C0248}">
      <text>
        <r>
          <rPr>
            <sz val="11"/>
            <color theme="1"/>
            <rFont val="Calibri"/>
            <family val="2"/>
            <scheme val="minor"/>
          </rPr>
          <t>Petr Čala:
Squared age is controlled for in the Mincer equation</t>
        </r>
      </text>
    </comment>
    <comment ref="CF1" authorId="0" shapeId="0" xr:uid="{9B568A50-85E5-42D4-8230-BC043F2001C1}">
      <text>
        <r>
          <rPr>
            <sz val="11"/>
            <color theme="1"/>
            <rFont val="Calibri"/>
            <family val="2"/>
            <scheme val="minor"/>
          </rPr>
          <t>Petr Čala:
Experience control in the Mincer equation</t>
        </r>
      </text>
    </comment>
    <comment ref="CG1" authorId="0" shapeId="0" xr:uid="{361D92F3-2103-4565-9556-890A35329DB9}">
      <text>
        <r>
          <rPr>
            <sz val="11"/>
            <color theme="1"/>
            <rFont val="Calibri"/>
            <family val="2"/>
            <scheme val="minor"/>
          </rPr>
          <t>Petr Čala:
Experience squared control</t>
        </r>
      </text>
    </comment>
    <comment ref="CH1" authorId="0" shapeId="0" xr:uid="{B90F7B70-0AF1-4E9D-8BDB-9E058FC702F3}">
      <text>
        <r>
          <rPr>
            <sz val="11"/>
            <color theme="1"/>
            <rFont val="Calibri"/>
            <family val="2"/>
            <scheme val="minor"/>
          </rPr>
          <t>Petr Čala:
Ethnicity control in the Mincer equation</t>
        </r>
      </text>
    </comment>
    <comment ref="CI1" authorId="0" shapeId="0" xr:uid="{BEC80F85-1A42-4DEC-811F-348DC8A8099C}">
      <text>
        <r>
          <rPr>
            <sz val="11"/>
            <color theme="1"/>
            <rFont val="Calibri"/>
            <family val="2"/>
            <scheme val="minor"/>
          </rPr>
          <t>Petr Čala:
Health control in the Mincer equation</t>
        </r>
      </text>
    </comment>
    <comment ref="CJ1" authorId="0" shapeId="0" xr:uid="{4E5D58E5-5199-4C72-BEC4-F406705B2A9C}">
      <text>
        <r>
          <rPr>
            <sz val="11"/>
            <color theme="1"/>
            <rFont val="Calibri"/>
            <family val="2"/>
            <scheme val="minor"/>
          </rPr>
          <t>Petr Čala:
Gender control in the Mincer equation</t>
        </r>
      </text>
    </comment>
    <comment ref="CK1" authorId="0" shapeId="0" xr:uid="{36D4BFFB-AD35-47CC-B1A9-FA847E4B51CE}">
      <text>
        <r>
          <rPr>
            <sz val="11"/>
            <color theme="1"/>
            <rFont val="Calibri"/>
            <family val="2"/>
            <scheme val="minor"/>
          </rPr>
          <t>Petr Čala:
Occupation control in the Mincer equation</t>
        </r>
      </text>
    </comment>
    <comment ref="CL1" authorId="0" shapeId="0" xr:uid="{46842A85-7282-40D9-99BC-F2056B34D75C}">
      <text>
        <r>
          <rPr>
            <sz val="11"/>
            <color theme="1"/>
            <rFont val="Calibri"/>
            <family val="2"/>
            <scheme val="minor"/>
          </rPr>
          <t>Petr Čala:
Firm characteristics control in the Mincer equation</t>
        </r>
      </text>
    </comment>
    <comment ref="CM1" authorId="0" shapeId="0" xr:uid="{6204ADC7-6D64-4FD2-B31D-12C892D8FE31}">
      <text>
        <r>
          <rPr>
            <sz val="11"/>
            <color theme="1"/>
            <rFont val="Calibri"/>
            <family val="2"/>
            <scheme val="minor"/>
          </rPr>
          <t xml:space="preserve">Petr Čala:
Urban/rural control
</t>
        </r>
      </text>
    </comment>
    <comment ref="CN1" authorId="0" shapeId="0" xr:uid="{F025E559-68BD-41BC-A59D-A8EB84B1FB37}">
      <text>
        <r>
          <rPr>
            <sz val="11"/>
            <color theme="1"/>
            <rFont val="Calibri"/>
            <family val="2"/>
            <scheme val="minor"/>
          </rPr>
          <t>Petr Čala:
Macroeconomic variables control in the Mincer equation, such as sector of activity</t>
        </r>
      </text>
    </comment>
    <comment ref="CO1" authorId="0" shapeId="0" xr:uid="{153E801B-25F4-4D68-834E-067DF2D58724}">
      <text>
        <r>
          <rPr>
            <sz val="11"/>
            <color theme="1"/>
            <rFont val="Calibri"/>
            <family val="2"/>
            <scheme val="minor"/>
          </rPr>
          <t>Petr Čala:
Impact factor, via tools</t>
        </r>
      </text>
    </comment>
    <comment ref="CP1" authorId="0" shapeId="0" xr:uid="{07DF0EAA-B37E-419C-89ED-836985B094D9}">
      <text>
        <r>
          <rPr>
            <sz val="11"/>
            <color theme="1"/>
            <rFont val="Calibri"/>
            <family val="2"/>
            <scheme val="minor"/>
          </rPr>
          <t>Petr Čala:
Log number of citations in google scholar</t>
        </r>
      </text>
    </comment>
    <comment ref="CQ1" authorId="0" shapeId="0" xr:uid="{E2930AB2-79E8-4A98-926F-736640ED57AA}">
      <text>
        <r>
          <rPr>
            <sz val="11"/>
            <color theme="1"/>
            <rFont val="Calibri"/>
            <family val="2"/>
            <scheme val="minor"/>
          </rPr>
          <t>Petr Čala:
1 if published in journal, 0 if working/discussion paper</t>
        </r>
      </text>
    </comment>
    <comment ref="CS1" authorId="0" shapeId="0" xr:uid="{05D68A89-BDC2-40EC-BC03-ADB76A1D57F2}">
      <text>
        <r>
          <rPr>
            <sz val="11"/>
            <color theme="1"/>
            <rFont val="Calibri"/>
            <family val="2"/>
            <scheme val="minor"/>
          </rPr>
          <t>Petr Čala:
The year the study was published minus the minimum publication year of the sample</t>
        </r>
      </text>
    </comment>
    <comment ref="CT1" authorId="0" shapeId="0" xr:uid="{51820E9F-1706-4902-9077-03E8163D1EB6}">
      <text>
        <r>
          <rPr>
            <sz val="11"/>
            <color theme="1"/>
            <rFont val="Calibri"/>
            <family val="2"/>
            <scheme val="minor"/>
          </rPr>
          <t>Petr Čala:
placeholder columns, for which data will be added during code preprocessing</t>
        </r>
      </text>
    </comment>
    <comment ref="D2" authorId="0" shapeId="0" xr:uid="{D9FC894C-0245-4087-8399-E8B8A76F199D}">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ECF2216-EFAF-4431-BDF1-C8F80CC7A88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83B3654F-D03D-44F7-849C-2D247D7F5133}">
      <text>
        <r>
          <rPr>
            <sz val="11"/>
            <color theme="1"/>
            <rFont val="Calibri"/>
            <family val="2"/>
            <scheme val="minor"/>
          </rPr>
          <t>Petr Čala:
Base set listed, then dummies, and interaction terms</t>
        </r>
      </text>
    </comment>
    <comment ref="D137" authorId="0" shapeId="0" xr:uid="{F626A3DA-D14A-435D-A40B-FEBAB636D042}">
      <text>
        <r>
          <rPr>
            <sz val="11"/>
            <color theme="1"/>
            <rFont val="Calibri"/>
            <family val="2"/>
            <scheme val="minor"/>
          </rPr>
          <t>Petr Čala:
Calculated as
(exp(prim_ols)-1)/years prim</t>
        </r>
      </text>
    </comment>
    <comment ref="D138" authorId="0" shapeId="0" xr:uid="{1F831892-665C-4085-B028-E2CD06A2DED0}">
      <text>
        <r>
          <rPr>
            <sz val="11"/>
            <color theme="1"/>
            <rFont val="Calibri"/>
            <family val="2"/>
            <scheme val="minor"/>
          </rPr>
          <t>Petr Čala:
Calculated as
(exp(sec_ols) - exp(prim_ols))/(years_sec - years_prim)</t>
        </r>
      </text>
    </comment>
    <comment ref="F138" authorId="0" shapeId="0" xr:uid="{94C4CBEC-2C6B-4412-A9B7-C7EB7E37AAB6}">
      <text>
        <r>
          <rPr>
            <sz val="11"/>
            <color theme="1"/>
            <rFont val="Calibri"/>
            <family val="2"/>
            <scheme val="minor"/>
          </rPr>
          <t>Petr Čala:
SQRT(t_sec^2+t_prim^2)</t>
        </r>
      </text>
    </comment>
    <comment ref="AL175" authorId="0" shapeId="0" xr:uid="{DA534F6A-8780-4E90-996B-10CBC539DEFE}">
      <text>
        <r>
          <rPr>
            <sz val="11"/>
            <color theme="1"/>
            <rFont val="Calibri"/>
            <family val="2"/>
            <scheme val="minor"/>
          </rPr>
          <t>Petr Čala:
Estimate</t>
        </r>
      </text>
    </comment>
    <comment ref="AL191" authorId="0" shapeId="0" xr:uid="{7DDB9D5B-8DCB-4845-AE5D-38FC80744CCD}">
      <text>
        <r>
          <rPr>
            <sz val="11"/>
            <color theme="1"/>
            <rFont val="Calibri"/>
            <family val="2"/>
            <scheme val="minor"/>
          </rPr>
          <t>Petr Čala:
Estimate</t>
        </r>
      </text>
    </comment>
    <comment ref="AL195" authorId="0" shapeId="0" xr:uid="{1B928BBC-5B22-4DEF-9AA7-883077902772}">
      <text>
        <r>
          <rPr>
            <sz val="11"/>
            <color theme="1"/>
            <rFont val="Calibri"/>
            <family val="2"/>
            <scheme val="minor"/>
          </rPr>
          <t>Petr Čala:
Estimate</t>
        </r>
      </text>
    </comment>
    <comment ref="AL311" authorId="0" shapeId="0" xr:uid="{EB8A0A5C-7BB7-41E8-BF24-3D8876B34D17}">
      <text>
        <r>
          <rPr>
            <sz val="11"/>
            <color theme="1"/>
            <rFont val="Calibri"/>
            <family val="2"/>
            <scheme val="minor"/>
          </rPr>
          <t>Petr Čala:
Roughly estimated - only clue is that 56 percent have education primary or less</t>
        </r>
      </text>
    </comment>
    <comment ref="X768" authorId="0" shapeId="0" xr:uid="{3D1F7445-D404-45F8-BF2A-E4255B612817}">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J56" authorId="0" shapeId="0" xr:uid="{06041307-B7B7-490B-9086-05AD9D38BC04}">
      <text>
        <r>
          <rPr>
            <b/>
            <sz val="9"/>
            <color indexed="81"/>
            <rFont val="Tahoma"/>
            <family val="2"/>
            <charset val="238"/>
          </rPr>
          <t>Petr Čala:</t>
        </r>
        <r>
          <rPr>
            <sz val="9"/>
            <color indexed="81"/>
            <rFont val="Tahoma"/>
            <family val="2"/>
            <charset val="238"/>
          </rPr>
          <t xml:space="preserve">
Missing data, change to TRUE in case of available observations</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6D7AE50-EC3B-4C41-8EDF-2CF3FFEAB384}">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2314C1FB-E22B-40DD-8189-975CFFC1C518}">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<sst xmlns="http://schemas.openxmlformats.org/spreadsheetml/2006/main" count="12244" uniqueCount="4077">
  <si>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</si>
  <si>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</si>
  <si>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</si>
  <si>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</si>
  <si>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</si>
  <si>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</si>
  <si>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</si>
  <si>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</si>
  <si>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</si>
  <si>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</si>
  <si>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</si>
  <si>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</si>
  <si>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</si>
  <si>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</si>
  <si>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</si>
  <si>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</si>
  <si>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</si>
  <si>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</si>
  <si>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</si>
  <si>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</si>
  <si>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</si>
  <si>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</si>
  <si>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</si>
  <si>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</si>
  <si>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</si>
  <si>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</si>
  <si>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</si>
  <si>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</si>
  <si>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</si>
  <si>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</si>
  <si>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</si>
  <si>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</si>
  <si>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</si>
  <si>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</si>
  <si>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</si>
  <si>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</si>
  <si>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</si>
  <si>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</si>
  <si>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</si>
  <si>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</si>
  <si>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</si>
  <si>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</si>
  <si>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</si>
  <si>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</si>
  <si>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</si>
  <si>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</si>
  <si>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</si>
  <si>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</si>
  <si>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</si>
  <si>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</si>
  <si>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</si>
  <si>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</si>
  <si>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</si>
  <si>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</si>
  <si>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</si>
  <si>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</si>
  <si>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</si>
  <si>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</si>
  <si>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</si>
  <si>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</si>
  <si>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</si>
  <si>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</si>
  <si>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</si>
  <si>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</si>
  <si>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</si>
  <si>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</si>
  <si>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</si>
  <si>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</si>
  <si>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</si>
  <si>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</si>
  <si>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</si>
  <si>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</si>
  <si>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</si>
  <si>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</si>
  <si>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</si>
  <si>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</si>
  <si>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</si>
  <si>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</si>
  <si>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</si>
  <si>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</si>
  <si>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</si>
  <si>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</si>
  <si>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</si>
  <si>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</si>
  <si>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</si>
  <si>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</si>
  <si>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</si>
  <si>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</si>
  <si>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</si>
  <si>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</si>
  <si>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</si>
  <si>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</si>
  <si>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</si>
  <si>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</si>
  <si>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</si>
  <si>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</si>
  <si>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</si>
  <si>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</si>
  <si>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</si>
  <si>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</si>
  <si>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</si>
  <si>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</si>
  <si>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</si>
  <si>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</si>
  <si>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</si>
  <si>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</si>
  <si>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</si>
  <si>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</si>
  <si>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</si>
  <si>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</si>
  <si>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</si>
  <si>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</si>
  <si>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</si>
  <si>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</si>
  <si>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</si>
  <si>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</si>
  <si>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</si>
  <si>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</si>
  <si>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</si>
  <si>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</si>
  <si>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</si>
  <si>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</si>
  <si>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</si>
  <si>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</si>
  <si>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</si>
  <si>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</si>
  <si>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</si>
  <si>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</si>
  <si>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</si>
  <si>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</si>
  <si>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</si>
  <si>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</si>
  <si>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</si>
  <si>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</si>
  <si>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</si>
  <si>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</si>
  <si>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</si>
  <si>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</si>
  <si>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</si>
  <si>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</si>
  <si>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</si>
  <si>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</si>
  <si>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</si>
  <si>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</si>
  <si>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</si>
  <si>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</si>
  <si>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</si>
  <si>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</si>
  <si>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</si>
  <si>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</si>
  <si>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</si>
  <si>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</si>
  <si>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</si>
  <si>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</si>
  <si>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</si>
  <si>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</si>
  <si>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</si>
  <si>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</si>
  <si>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</si>
  <si>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</si>
  <si>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</si>
  <si>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</si>
  <si>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</si>
  <si>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</si>
  <si>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</si>
  <si>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</si>
  <si>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</si>
  <si>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</si>
  <si>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</si>
  <si>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</si>
  <si>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</si>
  <si>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</si>
  <si>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</si>
  <si>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</si>
  <si>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</si>
  <si>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</si>
  <si>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</si>
  <si>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</si>
  <si>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</si>
  <si>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</si>
  <si>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</si>
  <si>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</si>
  <si>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</si>
  <si>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</si>
  <si>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</si>
  <si>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</si>
  <si>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</si>
  <si>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</si>
  <si>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</si>
  <si>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</si>
  <si>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</si>
  <si>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</si>
  <si>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</si>
  <si>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</si>
  <si>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</si>
  <si>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</si>
  <si>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</si>
  <si>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</si>
  <si>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</si>
  <si>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</si>
  <si>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</si>
  <si>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</si>
  <si>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</si>
  <si>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</si>
  <si>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</si>
  <si>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</si>
  <si>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</si>
  <si>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</si>
  <si>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</si>
  <si>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</si>
  <si>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</si>
  <si>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</si>
  <si>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</si>
  <si>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</si>
  <si>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</si>
  <si>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</si>
  <si>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</si>
  <si>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</si>
  <si>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</si>
  <si>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</si>
  <si>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</si>
  <si>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</si>
  <si>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</si>
  <si>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</si>
  <si>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</si>
  <si>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</si>
  <si>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</si>
  <si>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</si>
  <si>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</si>
  <si>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</si>
  <si>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</si>
  <si>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</si>
  <si>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</si>
  <si>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</si>
  <si>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</si>
  <si>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</si>
  <si>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</si>
  <si>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</si>
  <si>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</si>
  <si>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</si>
  <si>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</si>
  <si>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</si>
  <si>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</si>
  <si>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</si>
  <si>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</si>
  <si>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</si>
  <si>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</si>
  <si>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</si>
  <si>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</si>
  <si>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</si>
  <si>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</si>
  <si>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</si>
  <si>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</si>
  <si>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</si>
  <si>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</si>
  <si>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</si>
  <si>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</si>
  <si>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</si>
  <si>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</si>
  <si>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</si>
  <si>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</si>
  <si>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</si>
  <si>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</si>
  <si>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</si>
  <si>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</si>
  <si>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</si>
  <si>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</si>
  <si>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</si>
  <si>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</si>
  <si>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</si>
  <si>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</si>
  <si>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</si>
  <si>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</si>
  <si>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</si>
  <si>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</si>
  <si>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</si>
  <si>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</si>
  <si>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</si>
  <si>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</si>
  <si>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</si>
  <si>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</si>
  <si>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</si>
  <si>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</si>
  <si>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</si>
  <si>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</si>
  <si>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</si>
  <si>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</si>
  <si>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</si>
  <si>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</si>
  <si>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</si>
  <si>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</si>
  <si>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</si>
  <si>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</si>
  <si>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</si>
  <si>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</si>
  <si>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</si>
  <si>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</si>
  <si>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</si>
  <si>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</si>
  <si>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</si>
  <si>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</si>
  <si>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</si>
  <si>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</si>
  <si>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</si>
  <si>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</si>
  <si>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</si>
  <si>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</si>
  <si>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</si>
  <si>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</si>
  <si>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</si>
  <si>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</si>
  <si>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</si>
  <si>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</si>
  <si>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</si>
  <si>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</si>
  <si>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</si>
  <si>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</si>
  <si>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</si>
  <si>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</si>
  <si>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</si>
  <si>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</si>
  <si>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</si>
  <si>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</si>
  <si>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</si>
  <si>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</si>
  <si>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</si>
  <si>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</si>
  <si>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</si>
  <si>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</si>
  <si>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</si>
  <si>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</si>
  <si>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</si>
  <si>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</si>
  <si>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</si>
  <si>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</si>
  <si>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</si>
  <si>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</si>
  <si>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</si>
  <si>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</si>
  <si>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</si>
  <si>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</si>
  <si>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</si>
  <si>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</si>
  <si>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</si>
  <si>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</si>
  <si>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</si>
  <si>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</si>
  <si>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</si>
  <si>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</si>
  <si>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</si>
  <si>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</si>
  <si>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</si>
  <si>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</si>
  <si>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</si>
  <si>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</si>
  <si>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</si>
  <si>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</si>
  <si>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</si>
  <si>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</si>
  <si>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</si>
  <si>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</si>
  <si>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</si>
  <si>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</si>
  <si>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</si>
  <si>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</si>
  <si>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</si>
  <si>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</si>
  <si>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</si>
  <si>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</si>
  <si>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</si>
  <si>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</si>
  <si>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</si>
  <si>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</si>
  <si>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</si>
  <si>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</si>
  <si>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</si>
  <si>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</si>
  <si>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</si>
  <si>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</si>
  <si>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</si>
  <si>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</si>
  <si>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</si>
  <si>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</si>
  <si>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</si>
  <si>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</si>
  <si>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</si>
  <si>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</si>
  <si>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</si>
  <si>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</si>
  <si>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</si>
  <si>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</si>
  <si>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</si>
  <si>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</si>
  <si>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</si>
  <si>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</si>
  <si>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</si>
  <si>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</si>
  <si>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</si>
  <si>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</si>
  <si>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</si>
  <si>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</si>
  <si>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</si>
  <si>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</si>
  <si>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</si>
  <si>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</si>
  <si>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</si>
  <si>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</si>
  <si>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</si>
  <si>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</si>
  <si>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</si>
  <si>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</si>
  <si>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</si>
  <si>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</si>
  <si>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</si>
  <si>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</si>
  <si>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</si>
  <si>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</si>
  <si>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</si>
  <si>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</si>
  <si>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</si>
  <si>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</si>
  <si>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</si>
  <si>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</si>
  <si>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</si>
  <si>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</si>
  <si>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</si>
  <si>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</si>
  <si>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</si>
  <si>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</si>
  <si>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</si>
  <si>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</si>
  <si>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</si>
  <si>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</si>
  <si>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</si>
  <si>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</si>
  <si>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</si>
  <si>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</si>
  <si>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</si>
  <si>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</si>
  <si>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</si>
  <si>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</si>
  <si>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</si>
  <si>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</si>
  <si>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</si>
  <si>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</si>
  <si>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</si>
  <si>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</si>
  <si>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</si>
  <si>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</si>
  <si>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</si>
  <si>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</si>
  <si>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</si>
  <si>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</si>
  <si>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</si>
  <si>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</si>
  <si>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</si>
  <si>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</si>
  <si>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</si>
  <si>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</si>
  <si>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</si>
  <si>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</si>
  <si>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</si>
  <si>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</si>
  <si>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</si>
  <si>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</si>
  <si>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</si>
  <si>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</si>
  <si>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</si>
  <si>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</si>
  <si>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</si>
  <si>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</si>
  <si>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</si>
  <si>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</si>
  <si>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</si>
  <si>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</si>
  <si>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</si>
  <si>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</si>
  <si>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</si>
  <si>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</si>
  <si>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</si>
  <si>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</si>
  <si>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</si>
  <si>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</si>
  <si>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</si>
  <si>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</si>
  <si>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</si>
  <si>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</si>
  <si>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</si>
  <si>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</si>
  <si>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</si>
  <si>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</si>
  <si>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</si>
  <si>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</si>
  <si>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</si>
  <si>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</si>
  <si>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</si>
  <si>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</si>
  <si>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</si>
  <si>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</si>
  <si>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</si>
  <si>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</si>
  <si>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</si>
  <si>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</si>
  <si>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</si>
  <si>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</si>
  <si>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</si>
  <si>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</si>
  <si>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</si>
  <si>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</si>
  <si>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</si>
  <si>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</si>
  <si>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</si>
  <si>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</si>
  <si>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</si>
  <si>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</si>
  <si>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</si>
  <si>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</si>
  <si>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</si>
  <si>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</si>
  <si>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</si>
  <si>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</si>
  <si>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</si>
  <si>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</si>
  <si>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</si>
  <si>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</si>
  <si>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</si>
  <si>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</si>
  <si>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</si>
  <si>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</si>
  <si>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</si>
  <si>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</si>
  <si>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</si>
  <si>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</si>
  <si>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</si>
  <si>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</si>
  <si>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</si>
  <si>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</si>
  <si>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</si>
  <si>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</si>
  <si>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</si>
  <si>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</si>
  <si>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</si>
  <si>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</si>
  <si>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</si>
  <si>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</si>
  <si>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</si>
  <si>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</si>
  <si>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</si>
  <si>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</si>
  <si>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</si>
  <si>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</si>
  <si>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</si>
  <si>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</si>
  <si>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</si>
  <si>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</si>
  <si>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</si>
  <si>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</si>
  <si>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</si>
  <si>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</si>
  <si>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</si>
  <si>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</si>
  <si>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</si>
  <si>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</si>
  <si>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</si>
  <si>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</si>
  <si>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</si>
  <si>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</si>
  <si>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</si>
  <si>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</si>
  <si>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</si>
  <si>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</si>
  <si>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</si>
  <si>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</si>
  <si>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</si>
  <si>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</si>
  <si>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</si>
  <si>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</si>
  <si>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</si>
  <si>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</si>
  <si>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</si>
  <si>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</si>
  <si>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</si>
  <si>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</si>
  <si>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</si>
  <si>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</si>
  <si>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</si>
  <si>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</si>
  <si>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</si>
  <si>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</si>
  <si>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</si>
  <si>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</si>
  <si>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</si>
  <si>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</si>
  <si>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</si>
  <si>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</si>
  <si>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</si>
  <si>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</si>
  <si>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</si>
  <si>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</si>
  <si>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</si>
  <si>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</si>
  <si>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</si>
  <si>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</si>
  <si>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</si>
  <si>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</si>
  <si>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</si>
  <si>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</si>
  <si>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</si>
  <si>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</si>
  <si>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</si>
  <si>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</si>
  <si>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</si>
  <si>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</si>
  <si>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</si>
  <si>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</si>
  <si>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</si>
  <si>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</si>
  <si>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</si>
  <si>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</si>
  <si>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</si>
  <si>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</si>
  <si>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</si>
  <si>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</si>
  <si>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</si>
  <si>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</si>
  <si>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</si>
  <si>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</si>
  <si>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</si>
  <si>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</si>
  <si>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</si>
  <si>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</si>
  <si>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</si>
  <si>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</si>
  <si>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</si>
  <si>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</si>
  <si>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</si>
  <si>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</si>
  <si>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</si>
  <si>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</si>
  <si>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</si>
  <si>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</si>
  <si>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</si>
  <si>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</si>
  <si>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</si>
  <si>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</si>
  <si>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</si>
  <si>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</si>
  <si>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</si>
  <si>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</si>
  <si>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</si>
  <si>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</si>
  <si>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</si>
  <si>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</si>
  <si>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</si>
  <si>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</si>
  <si>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</si>
  <si>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</si>
  <si>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</si>
  <si>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</si>
  <si>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</si>
  <si>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</si>
  <si>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</si>
  <si>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</si>
  <si>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</si>
  <si>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</si>
  <si>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</si>
  <si>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</si>
  <si>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</si>
  <si>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</si>
  <si>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</si>
  <si>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</si>
  <si>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</si>
  <si>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</si>
  <si>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</si>
  <si>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</si>
  <si>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</si>
  <si>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</si>
  <si>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</si>
  <si>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</si>
  <si>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</si>
  <si>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</si>
  <si>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</si>
  <si>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</si>
  <si>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</si>
  <si>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</si>
  <si>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</si>
  <si>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</si>
  <si>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</si>
  <si>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</si>
  <si>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</si>
  <si>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</si>
  <si>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</si>
  <si>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</si>
  <si>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</si>
  <si>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</si>
  <si>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</si>
  <si>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</si>
  <si>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</si>
  <si>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</si>
  <si>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</si>
  <si>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</si>
  <si>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</si>
  <si>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</si>
  <si>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</si>
  <si>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</si>
  <si>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</si>
  <si>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</si>
  <si>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</si>
  <si>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</si>
  <si>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</si>
  <si>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</si>
  <si>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</si>
  <si>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</si>
  <si>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</si>
  <si>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</si>
  <si>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</si>
  <si>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</si>
  <si>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</si>
  <si>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</si>
  <si>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</si>
  <si>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</si>
  <si>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</si>
  <si>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</si>
  <si>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</si>
  <si>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</si>
  <si>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</si>
  <si>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</si>
  <si>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</si>
  <si>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</si>
  <si>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</si>
  <si>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</si>
  <si>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</si>
  <si>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</si>
  <si>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</si>
  <si>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</si>
  <si>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</si>
  <si>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</si>
  <si>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</si>
  <si>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</si>
  <si>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</si>
  <si>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</si>
  <si>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</si>
  <si>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</si>
  <si>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</si>
  <si>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</si>
  <si>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</si>
  <si>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</si>
  <si>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</si>
  <si>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</si>
  <si>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</si>
  <si>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</si>
  <si>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</si>
  <si>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</si>
  <si>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</si>
  <si>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</si>
  <si>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</si>
  <si>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</si>
  <si>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</si>
  <si>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</si>
  <si>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</si>
  <si>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</si>
  <si>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</si>
  <si>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</si>
  <si>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</si>
  <si>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</si>
  <si>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</si>
  <si>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</si>
  <si>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</si>
  <si>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</si>
  <si>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</si>
  <si>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</si>
  <si>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</si>
  <si>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</si>
  <si>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</si>
  <si>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</si>
  <si>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</si>
  <si>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</si>
  <si>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</si>
  <si>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</si>
  <si>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</si>
  <si>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</si>
  <si>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</si>
  <si>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</si>
  <si>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</si>
  <si>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</si>
  <si>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</si>
  <si>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</si>
  <si>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</si>
  <si>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</si>
  <si>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</si>
  <si>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</si>
  <si>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</si>
  <si>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</si>
  <si>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</si>
  <si>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</si>
  <si>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</si>
  <si>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</si>
  <si>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</si>
  <si>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</si>
  <si>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</si>
  <si>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</si>
  <si>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</si>
  <si>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</si>
  <si>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</si>
  <si>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</si>
  <si>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</si>
  <si>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</si>
  <si>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</si>
  <si>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</si>
  <si>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</si>
  <si>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</si>
  <si>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</si>
  <si>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</si>
  <si>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</si>
  <si>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</si>
  <si>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</si>
  <si>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</si>
  <si>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</si>
  <si>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</si>
  <si>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</si>
  <si>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</si>
  <si>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</si>
  <si>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</si>
  <si>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</si>
  <si>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</si>
  <si>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</si>
  <si>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</si>
  <si>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</si>
  <si>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</si>
  <si>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</si>
  <si>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</si>
  <si>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</si>
  <si>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</si>
  <si>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</si>
  <si>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</si>
  <si>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</si>
  <si>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</si>
  <si>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</si>
  <si>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</si>
  <si>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</si>
  <si>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</si>
  <si>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</si>
  <si>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</si>
  <si>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</si>
  <si>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</si>
  <si>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</si>
  <si>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</si>
  <si>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</si>
  <si>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</si>
  <si>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</si>
  <si>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</si>
  <si>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</si>
  <si>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</si>
  <si>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</si>
  <si>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</si>
  <si>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</si>
  <si>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</si>
  <si>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</si>
  <si>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</si>
  <si>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</si>
  <si>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</si>
  <si>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</si>
  <si>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</si>
  <si>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</si>
  <si>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</si>
  <si>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</si>
  <si>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</si>
  <si>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</si>
  <si>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</si>
  <si>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</si>
  <si>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</si>
  <si>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</si>
  <si>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</si>
  <si>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</si>
  <si>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</si>
  <si>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</si>
  <si>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</si>
  <si>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</si>
  <si>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</si>
  <si>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</si>
  <si>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</si>
  <si>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</si>
  <si>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</si>
  <si>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</si>
  <si>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</si>
  <si>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</si>
  <si>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</si>
  <si>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</si>
  <si>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</si>
  <si>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</si>
  <si>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</si>
  <si>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</si>
  <si>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</si>
  <si>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</si>
  <si>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</si>
  <si>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</si>
  <si>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</si>
  <si>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</si>
  <si>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</si>
  <si>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</si>
  <si>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</si>
  <si>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</si>
  <si>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</si>
  <si>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</si>
  <si>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</si>
  <si>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</si>
  <si>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</si>
  <si>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</si>
  <si>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</si>
  <si>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</si>
  <si>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</si>
  <si>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</si>
  <si>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</si>
  <si>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</si>
  <si>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</si>
  <si>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</si>
  <si>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</si>
  <si>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</si>
  <si>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</si>
  <si>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</si>
  <si>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</si>
  <si>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</si>
  <si>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</si>
  <si>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</si>
  <si>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</si>
  <si>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</si>
  <si>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</si>
  <si>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</si>
  <si>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</si>
  <si>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</si>
  <si>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</si>
  <si>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</si>
  <si>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</si>
  <si>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</si>
  <si>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</si>
  <si>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</si>
  <si>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</si>
  <si>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</si>
  <si>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</si>
  <si>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</si>
  <si>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</si>
  <si>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</si>
  <si>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</si>
  <si>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</si>
  <si>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</si>
  <si>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</si>
  <si>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</si>
  <si>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</si>
  <si>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</si>
  <si>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</si>
  <si>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</si>
  <si>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</si>
  <si>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</si>
  <si>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</si>
  <si>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</si>
  <si>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</si>
  <si>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</si>
  <si>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</si>
  <si>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</si>
  <si>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</si>
  <si>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</si>
  <si>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</si>
  <si>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</si>
  <si>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</si>
  <si>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</si>
  <si>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</si>
  <si>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</si>
  <si>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</si>
  <si>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</si>
  <si>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</si>
  <si>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</si>
  <si>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</si>
  <si>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</si>
  <si>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</si>
  <si>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</si>
  <si>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</si>
  <si>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</si>
  <si>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</si>
  <si>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</si>
  <si>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</si>
  <si>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</si>
  <si>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</si>
  <si>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</si>
  <si>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</si>
  <si>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</si>
  <si>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</si>
  <si>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</si>
  <si>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</si>
  <si>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</si>
  <si>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</si>
  <si>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</si>
  <si>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</si>
  <si>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</si>
  <si>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</si>
  <si>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</si>
  <si>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</si>
  <si>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</si>
  <si>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</si>
  <si>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</si>
  <si>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</si>
  <si>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</si>
  <si>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</si>
  <si>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</si>
  <si>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</si>
  <si>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</si>
  <si>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</si>
  <si>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</si>
  <si>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</si>
  <si>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</si>
  <si>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</si>
  <si>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</si>
  <si>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</si>
  <si>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</si>
  <si>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</si>
  <si>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</si>
  <si>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</si>
  <si>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</si>
  <si>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</si>
  <si>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</si>
  <si>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</si>
  <si>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</si>
  <si>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</si>
  <si>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</si>
  <si>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</si>
  <si>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</si>
  <si>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</si>
  <si>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</si>
  <si>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</si>
  <si>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</si>
  <si>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</si>
  <si>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</si>
  <si>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</si>
  <si>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</si>
  <si>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</si>
  <si>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</si>
  <si>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</si>
  <si>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</si>
  <si>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</si>
  <si>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</si>
  <si>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</si>
  <si>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</si>
  <si>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</si>
  <si>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</si>
  <si>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</si>
  <si>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</si>
  <si>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</si>
  <si>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</si>
  <si>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</si>
  <si>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</si>
  <si>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</si>
  <si>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</si>
  <si>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</si>
  <si>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</si>
  <si>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</si>
  <si>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</si>
  <si>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</si>
  <si>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</si>
  <si>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</si>
  <si>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</si>
  <si>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</si>
  <si>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</si>
  <si>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</si>
  <si>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</si>
  <si>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</si>
  <si>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</si>
  <si>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</si>
  <si>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</si>
  <si>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</si>
  <si>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</si>
  <si>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</si>
  <si>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</si>
  <si>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</si>
  <si>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</si>
  <si>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</si>
  <si>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</si>
  <si>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</si>
  <si>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</si>
  <si>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</si>
  <si>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</si>
  <si>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</si>
  <si>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</si>
  <si>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</si>
  <si>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</si>
  <si>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</si>
  <si>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</si>
  <si>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</si>
  <si>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</si>
  <si>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</si>
  <si>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</si>
  <si>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</si>
  <si>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</si>
  <si>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</si>
  <si>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</si>
  <si>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</si>
  <si>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</si>
  <si>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</si>
  <si>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</si>
  <si>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</si>
  <si>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</si>
  <si>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</si>
  <si>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</si>
  <si>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</si>
  <si>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</si>
  <si>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</si>
  <si>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</si>
  <si>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</si>
  <si>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</si>
  <si>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</si>
  <si>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</si>
  <si>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</si>
  <si>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</si>
  <si>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</si>
  <si>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</si>
  <si>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</si>
  <si>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</si>
  <si>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</si>
  <si>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</si>
  <si>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</si>
  <si>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</si>
  <si>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</si>
  <si>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</si>
  <si>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</si>
  <si>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</si>
  <si>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</si>
  <si>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</si>
  <si>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</si>
  <si>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</si>
  <si>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</si>
  <si>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</si>
  <si>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</si>
  <si>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</si>
  <si>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</si>
  <si>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</si>
  <si>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</si>
  <si>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</si>
  <si>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</si>
  <si>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</si>
  <si>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</si>
  <si>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</si>
  <si>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</si>
  <si>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</si>
  <si>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</si>
  <si>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</si>
  <si>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</si>
  <si>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</si>
  <si>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</si>
  <si>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</si>
  <si>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</si>
  <si>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</si>
  <si>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</si>
  <si>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</si>
  <si>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</si>
  <si>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</si>
  <si>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</si>
  <si>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</si>
  <si>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</si>
  <si>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</si>
  <si>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</si>
  <si>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</si>
  <si>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</si>
  <si>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</si>
  <si>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</si>
  <si>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</si>
  <si>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</si>
  <si>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</si>
  <si>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</si>
  <si>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</si>
  <si>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</si>
  <si>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</si>
  <si>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</si>
  <si>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</si>
  <si>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</si>
  <si>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</si>
  <si>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</si>
  <si>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</si>
  <si>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</si>
  <si>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</si>
  <si>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</si>
  <si>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</si>
  <si>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</si>
  <si>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</si>
  <si>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</si>
  <si>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</si>
  <si>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</si>
  <si>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</si>
  <si>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</si>
  <si>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</si>
  <si>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</si>
  <si>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</si>
  <si>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</si>
  <si>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</si>
  <si>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</si>
  <si>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</si>
  <si>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</si>
  <si>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</si>
  <si>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</si>
  <si>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</si>
  <si>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</si>
  <si>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</si>
  <si>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</si>
  <si>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</si>
  <si>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</si>
  <si>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</si>
  <si>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</si>
  <si>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</si>
  <si>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</si>
  <si>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</si>
  <si>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</si>
  <si>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</si>
  <si>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</si>
  <si>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</si>
  <si>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</si>
  <si>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</si>
  <si>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</si>
  <si>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</si>
  <si>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</si>
  <si>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</si>
  <si>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</si>
  <si>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</si>
  <si>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</si>
  <si>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</si>
  <si>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</si>
  <si>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</si>
  <si>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</si>
  <si>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</si>
  <si>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</si>
  <si>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</si>
  <si>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</si>
  <si>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</si>
  <si>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</si>
  <si>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</si>
  <si>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</si>
  <si>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</si>
  <si>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</si>
  <si>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</si>
  <si>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</si>
  <si>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</si>
  <si>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</si>
  <si>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</si>
  <si>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</si>
  <si>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</si>
  <si>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</si>
  <si>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</si>
  <si>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</si>
  <si>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</si>
  <si>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</si>
  <si>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</si>
  <si>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</si>
  <si>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</si>
  <si>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</si>
  <si>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</si>
  <si>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</si>
  <si>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</si>
  <si>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</si>
  <si>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</si>
  <si>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</si>
  <si>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</si>
  <si>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</si>
  <si>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</si>
  <si>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</si>
  <si>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</si>
  <si>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</si>
  <si>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</si>
  <si>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</si>
  <si>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</si>
  <si>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</si>
  <si>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</si>
  <si>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</si>
  <si>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</si>
  <si>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</si>
  <si>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</si>
  <si>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</si>
  <si>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</si>
  <si>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</si>
  <si>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</si>
  <si>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</si>
  <si>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</si>
  <si>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</si>
  <si>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</si>
  <si>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</si>
  <si>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</si>
  <si>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</si>
  <si>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</si>
  <si>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</si>
  <si>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</si>
  <si>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</si>
  <si>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</si>
  <si>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</si>
  <si>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</si>
  <si>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</si>
  <si>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</si>
  <si>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</si>
  <si>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</si>
  <si>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</si>
  <si>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</si>
  <si>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</si>
  <si>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</si>
  <si>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</si>
  <si>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</si>
  <si>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</si>
  <si>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</si>
  <si>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</si>
  <si>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</si>
  <si>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</si>
  <si>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</si>
  <si>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</si>
  <si>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</si>
  <si>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</si>
  <si>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</si>
  <si>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</si>
  <si>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</si>
  <si>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</si>
  <si>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</si>
  <si>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</si>
  <si>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</si>
  <si>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</si>
  <si>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</si>
  <si>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</si>
  <si>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</si>
  <si>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</si>
  <si>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</si>
  <si>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</si>
  <si>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</si>
  <si>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</si>
  <si>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</si>
  <si>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</si>
  <si>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</si>
  <si>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</si>
  <si>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</si>
  <si>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</si>
  <si>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</si>
  <si>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</si>
  <si>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</si>
  <si>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</si>
  <si>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</si>
  <si>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</si>
  <si>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</si>
  <si>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</si>
  <si>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</si>
  <si>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</si>
  <si>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</si>
  <si>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</si>
  <si>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</si>
  <si>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</si>
  <si>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</si>
  <si>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</si>
  <si>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</si>
  <si>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</si>
  <si>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</si>
  <si>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</si>
  <si>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</si>
  <si>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</si>
  <si>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</si>
  <si>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</si>
  <si>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</si>
  <si>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</si>
  <si>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</si>
  <si>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</si>
  <si>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</si>
  <si>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</si>
  <si>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</si>
  <si>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</si>
  <si>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</si>
  <si>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</si>
  <si>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</si>
  <si>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</si>
  <si>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</si>
  <si>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</si>
  <si>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</si>
  <si>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</si>
  <si>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</si>
  <si>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</si>
  <si>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</si>
  <si>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</si>
  <si>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</si>
  <si>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</si>
  <si>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</si>
  <si>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</si>
  <si>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</si>
  <si>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</si>
  <si>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</si>
  <si>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</si>
  <si>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</si>
  <si>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</si>
  <si>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</si>
  <si>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</si>
  <si>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</si>
  <si>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</si>
  <si>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</si>
  <si>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</si>
  <si>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</si>
  <si>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</si>
  <si>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</si>
  <si>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</si>
  <si>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</si>
  <si>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</si>
  <si>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</si>
  <si>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</si>
  <si>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</si>
  <si>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</si>
  <si>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</si>
  <si>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</si>
  <si>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</si>
  <si>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</si>
  <si>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</si>
  <si>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</si>
  <si>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</si>
  <si>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</si>
  <si>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</si>
  <si>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</si>
  <si>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</si>
  <si>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</si>
  <si>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</si>
  <si>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</si>
  <si>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</si>
  <si>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</si>
  <si>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</si>
  <si>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</si>
  <si>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</si>
  <si>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</si>
  <si>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</si>
  <si>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</si>
  <si>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</si>
  <si>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</si>
  <si>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</si>
  <si>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</si>
  <si>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</si>
  <si>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</si>
  <si>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</si>
  <si>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</si>
  <si>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</si>
  <si>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</si>
  <si>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</si>
  <si>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</si>
  <si>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</si>
  <si>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</si>
  <si>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</si>
  <si>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</si>
  <si>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</si>
  <si>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</si>
  <si>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</si>
  <si>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</si>
  <si>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</si>
  <si>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</si>
  <si>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</si>
  <si>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</si>
  <si>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</si>
  <si>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</si>
  <si>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</si>
  <si>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</si>
  <si>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</si>
  <si>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</si>
  <si>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</si>
  <si>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</si>
  <si>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</si>
  <si>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</si>
  <si>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</si>
  <si>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</si>
  <si>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</si>
  <si>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</si>
  <si>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</si>
  <si>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</si>
  <si>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</si>
  <si>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</si>
  <si>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</si>
  <si>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</si>
  <si>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</si>
  <si>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</si>
  <si>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</si>
  <si>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</si>
  <si>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</si>
  <si>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</si>
  <si>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</si>
  <si>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</si>
  <si>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</si>
  <si>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</si>
  <si>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</si>
  <si>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</si>
  <si>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</si>
  <si>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</si>
  <si>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</si>
  <si>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</si>
  <si>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</si>
  <si>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</si>
  <si>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</si>
  <si>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</si>
  <si>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</si>
  <si>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</si>
  <si>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</si>
  <si>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</si>
  <si>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</si>
  <si>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</si>
  <si>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</si>
  <si>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</si>
  <si>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</si>
  <si>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</si>
  <si>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</si>
  <si>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</si>
  <si>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</si>
  <si>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</si>
  <si>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</si>
  <si>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</si>
  <si>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</si>
  <si>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</si>
  <si>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</si>
  <si>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</si>
  <si>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</si>
  <si>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</si>
  <si>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</si>
  <si>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</si>
  <si>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</si>
  <si>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</si>
  <si>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</si>
  <si>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</si>
  <si>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</si>
  <si>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</si>
  <si>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</si>
  <si>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</si>
  <si>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</si>
  <si>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</si>
  <si>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</si>
  <si>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</si>
  <si>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</si>
  <si>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</si>
  <si>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</si>
  <si>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</si>
  <si>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</si>
  <si>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</si>
  <si>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</si>
  <si>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</si>
  <si>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</si>
  <si>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</si>
  <si>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</si>
  <si>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</si>
  <si>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</si>
  <si>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</si>
  <si>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</si>
  <si>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</si>
  <si>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</si>
  <si>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</si>
  <si>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</si>
  <si>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</si>
  <si>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</si>
  <si>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</si>
  <si>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</si>
  <si>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</si>
  <si>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</si>
  <si>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</si>
  <si>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</si>
  <si>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</si>
  <si>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</si>
  <si>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</si>
  <si>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</si>
  <si>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</si>
  <si>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</si>
  <si>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</si>
  <si>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</si>
  <si>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</si>
  <si>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</si>
  <si>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</si>
  <si>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</si>
  <si>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</si>
  <si>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</si>
  <si>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</si>
  <si>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</si>
  <si>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</si>
  <si>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</si>
  <si>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</si>
  <si>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</si>
  <si>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</si>
  <si>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</si>
  <si>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</si>
  <si>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</si>
  <si>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</si>
  <si>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</si>
  <si>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</si>
  <si>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</si>
  <si>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</si>
  <si>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</si>
  <si>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</si>
  <si>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</si>
  <si>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</si>
  <si>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</si>
  <si>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</si>
  <si>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</si>
  <si>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</si>
  <si>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</si>
  <si>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</si>
  <si>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</si>
  <si>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</si>
  <si>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</si>
  <si>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</si>
  <si>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</si>
  <si>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</si>
  <si>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</si>
  <si>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</si>
  <si>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</si>
  <si>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</si>
  <si>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</si>
  <si>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</si>
  <si>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</si>
  <si>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</si>
  <si>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</si>
  <si>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</si>
  <si>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</si>
  <si>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</si>
  <si>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</si>
  <si>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</si>
  <si>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</si>
  <si>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</si>
  <si>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</si>
  <si>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</si>
  <si>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</si>
  <si>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</si>
  <si>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</si>
  <si>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</si>
  <si>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</si>
  <si>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</si>
  <si>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</si>
  <si>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</si>
  <si>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</si>
  <si>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</si>
  <si>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</si>
  <si>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</si>
  <si>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</si>
  <si>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</si>
  <si>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</si>
  <si>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</si>
  <si>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</si>
  <si>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</si>
  <si>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</si>
  <si>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</si>
  <si>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</si>
  <si>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</si>
  <si>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</si>
  <si>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</si>
  <si>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</si>
  <si>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</si>
  <si>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</si>
  <si>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</si>
  <si>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</si>
  <si>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</si>
  <si>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</si>
  <si>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</si>
  <si>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</si>
  <si>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</si>
  <si>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</si>
  <si>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</si>
  <si>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</si>
  <si>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</si>
  <si>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</si>
  <si>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</si>
  <si>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</si>
  <si>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</si>
  <si>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</si>
  <si>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</si>
  <si>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</si>
  <si>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</si>
  <si>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</si>
  <si>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</si>
  <si>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</si>
  <si>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</si>
  <si>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</si>
  <si>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</si>
  <si>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</si>
  <si>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</si>
  <si>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</si>
  <si>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</si>
  <si>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</si>
  <si>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</si>
  <si>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</si>
  <si>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</si>
  <si>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</si>
  <si>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</si>
  <si>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</si>
  <si>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</si>
  <si>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</si>
  <si>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</si>
  <si>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</si>
  <si>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</si>
  <si>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</si>
  <si>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</si>
  <si>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</si>
  <si>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</si>
  <si>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</si>
  <si>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</si>
  <si>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</si>
  <si>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</si>
  <si>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</si>
  <si>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</si>
  <si>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</si>
  <si>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</si>
  <si>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</si>
  <si>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</si>
  <si>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</si>
  <si>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</si>
  <si>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</si>
  <si>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</si>
  <si>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</si>
  <si>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</si>
  <si>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</si>
  <si>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</si>
  <si>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</si>
  <si>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</si>
  <si>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</si>
  <si>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</si>
  <si>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</si>
  <si>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</si>
  <si>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</si>
  <si>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</si>
  <si>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</si>
  <si>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</si>
  <si>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</si>
  <si>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</si>
  <si>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</si>
  <si>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</si>
  <si>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</si>
  <si>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</si>
  <si>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</si>
  <si>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</si>
  <si>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</si>
  <si>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</si>
  <si>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</si>
  <si>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</si>
  <si>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</si>
  <si>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</si>
  <si>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</si>
  <si>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</si>
  <si>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</si>
  <si>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</si>
  <si>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</si>
  <si>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</si>
  <si>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</si>
  <si>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</si>
  <si>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</si>
  <si>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</si>
  <si>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</si>
  <si>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</si>
  <si>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</si>
  <si>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</si>
  <si>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</si>
  <si>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</si>
  <si>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</si>
  <si>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</si>
  <si>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</si>
  <si>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</si>
  <si>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</si>
  <si>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</si>
  <si>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</si>
  <si>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</si>
  <si>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</si>
  <si>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</si>
  <si>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</si>
  <si>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</si>
  <si>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</si>
  <si>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</si>
  <si>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</si>
  <si>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</si>
  <si>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</si>
  <si>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</si>
  <si>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</si>
  <si>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</si>
  <si>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</si>
  <si>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</si>
  <si>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</si>
  <si>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</si>
  <si>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</si>
  <si>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</si>
  <si>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</si>
  <si>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</si>
  <si>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</si>
  <si>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</si>
  <si>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</si>
  <si>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</si>
  <si>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</si>
  <si>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</si>
  <si>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</si>
  <si>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</si>
  <si>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</si>
  <si>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</si>
  <si>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</si>
  <si>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</si>
  <si>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</si>
  <si>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</si>
  <si>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</si>
  <si>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</si>
  <si>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</si>
  <si>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</si>
  <si>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</si>
  <si>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</si>
  <si>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</si>
  <si>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</si>
  <si>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</si>
  <si>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</si>
  <si>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</si>
  <si>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</si>
  <si>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</si>
  <si>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</si>
  <si>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</si>
  <si>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</si>
  <si>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</si>
  <si>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</si>
  <si>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</si>
  <si>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</si>
  <si>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</si>
  <si>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</si>
  <si>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</si>
  <si>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</si>
  <si>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</si>
  <si>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</si>
  <si>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</si>
  <si>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</si>
  <si>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</si>
  <si>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</si>
  <si>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</si>
  <si>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</si>
  <si>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</si>
  <si>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</si>
  <si>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</si>
  <si>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</si>
  <si>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</si>
  <si>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</si>
  <si>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</si>
  <si>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</si>
  <si>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</si>
  <si>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</si>
  <si>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</si>
  <si>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</si>
  <si>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</si>
  <si>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</si>
  <si>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</si>
  <si>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</si>
  <si>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</si>
  <si>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</si>
  <si>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</si>
  <si>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</si>
  <si>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</si>
  <si>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</si>
  <si>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</si>
  <si>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</si>
  <si>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</si>
  <si>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</si>
  <si>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</si>
  <si>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</si>
  <si>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</si>
  <si>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</si>
  <si>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</si>
  <si>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</si>
  <si>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</si>
  <si>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</si>
  <si>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</si>
  <si>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</si>
  <si>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</si>
  <si>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</si>
  <si>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</si>
  <si>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</si>
  <si>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</si>
  <si>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</si>
  <si>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</si>
  <si>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</si>
  <si>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</si>
  <si>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</si>
  <si>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</si>
  <si>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</si>
  <si>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</si>
  <si>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</si>
  <si>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</si>
  <si>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</si>
  <si>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</si>
  <si>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</si>
  <si>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</si>
  <si>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</si>
  <si>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</si>
  <si>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</si>
  <si>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</si>
  <si>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</si>
  <si>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</si>
  <si>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</si>
  <si>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</si>
  <si>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</si>
  <si>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</si>
  <si>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</si>
  <si>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</si>
  <si>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</si>
  <si>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</si>
  <si>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</si>
  <si>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</si>
  <si>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</si>
  <si>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</si>
  <si>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</si>
  <si>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</si>
  <si>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</si>
  <si>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</si>
  <si>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</si>
  <si>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</si>
  <si>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</si>
  <si>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</si>
  <si>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</si>
  <si>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</si>
  <si>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</si>
  <si>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</si>
  <si>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</si>
  <si>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</si>
  <si>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</si>
  <si>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</si>
  <si>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</si>
  <si>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</si>
  <si>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</si>
  <si>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</si>
  <si>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</si>
  <si>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</si>
  <si>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</si>
  <si>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</si>
  <si>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</si>
  <si>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</si>
  <si>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</si>
  <si>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</si>
  <si>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</si>
  <si>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</si>
  <si>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</si>
  <si>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</si>
  <si>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</si>
  <si>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</si>
  <si>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</si>
  <si>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</si>
  <si>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</si>
  <si>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</si>
  <si>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</si>
  <si>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</si>
  <si>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</si>
  <si>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</si>
  <si>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</si>
  <si>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</si>
  <si>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</si>
  <si>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</si>
  <si>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</si>
  <si>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</si>
  <si>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</si>
  <si>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</si>
  <si>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</si>
  <si>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</si>
  <si>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</si>
  <si>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</si>
  <si>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</si>
  <si>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</si>
  <si>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</si>
  <si>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</si>
  <si>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</si>
  <si>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</si>
  <si>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</si>
  <si>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</si>
  <si>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</si>
  <si>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</si>
  <si>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</si>
  <si>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</si>
  <si>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</si>
  <si>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</si>
  <si>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</si>
  <si>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</si>
  <si>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</si>
  <si>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</si>
  <si>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</si>
  <si>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</si>
  <si>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</si>
  <si>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</si>
  <si>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</si>
  <si>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</si>
  <si>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</si>
  <si>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</si>
  <si>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</si>
  <si>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</si>
  <si>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</si>
  <si>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</si>
  <si>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</si>
  <si>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</si>
  <si>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</si>
  <si>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</si>
  <si>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</si>
  <si>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</si>
  <si>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</si>
  <si>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</si>
  <si>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</si>
  <si>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</si>
  <si>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</si>
  <si>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</si>
  <si>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</si>
  <si>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</si>
  <si>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</si>
  <si>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</si>
  <si>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</si>
  <si>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</si>
  <si>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</si>
  <si>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</si>
  <si>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</si>
  <si>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</si>
  <si>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</si>
  <si>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</si>
  <si>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</si>
  <si>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</si>
  <si>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</si>
  <si>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</si>
  <si>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</si>
  <si>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</si>
  <si>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</si>
  <si>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</si>
  <si>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</si>
  <si>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</si>
  <si>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</si>
  <si>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</si>
  <si>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</si>
  <si>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</si>
  <si>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</si>
  <si>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</si>
  <si>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</si>
  <si>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</si>
  <si>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</si>
  <si>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</si>
  <si>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</si>
  <si>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</si>
  <si>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</si>
  <si>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</si>
  <si>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</si>
  <si>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</si>
  <si>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</si>
  <si>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</si>
  <si>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</si>
  <si>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</si>
  <si>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</si>
  <si>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</si>
  <si>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</si>
  <si>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</si>
  <si>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</si>
  <si>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</si>
  <si>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</si>
  <si>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</si>
  <si>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</si>
  <si>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</si>
  <si>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</si>
  <si>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</si>
  <si>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</si>
  <si>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</si>
  <si>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</si>
  <si>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</si>
  <si>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</si>
  <si>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</si>
  <si>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</si>
  <si>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</si>
  <si>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</si>
  <si>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</si>
  <si>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</si>
  <si>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</si>
  <si>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</si>
  <si>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</si>
  <si>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</si>
  <si>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</si>
  <si>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</si>
  <si>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</si>
  <si>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</si>
  <si>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</si>
  <si>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</si>
  <si>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</si>
  <si>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</si>
  <si>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</si>
  <si>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</si>
  <si>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</si>
  <si>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</si>
  <si>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</si>
  <si>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</si>
  <si>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</si>
  <si>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</si>
  <si>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</si>
  <si>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</si>
  <si>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</si>
  <si>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</si>
  <si>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</si>
  <si>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</si>
  <si>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</si>
  <si>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</si>
  <si>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</si>
  <si>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</si>
  <si>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</si>
  <si>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</si>
  <si>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</si>
  <si>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</si>
  <si>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</si>
  <si>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</si>
  <si>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</si>
  <si>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</si>
  <si>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</si>
  <si>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</si>
  <si>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</si>
  <si>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</si>
  <si>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</si>
  <si>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</si>
  <si>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</si>
  <si>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</si>
  <si>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</si>
  <si>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</si>
  <si>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</si>
  <si>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</si>
  <si>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</si>
  <si>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</si>
  <si>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</si>
  <si>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</si>
  <si>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</si>
  <si>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</si>
  <si>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</si>
  <si>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</si>
  <si>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</si>
  <si>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</si>
  <si>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</si>
  <si>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</si>
  <si>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</si>
  <si>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</si>
  <si>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</si>
  <si>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</si>
  <si>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</si>
  <si>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</si>
  <si>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</si>
  <si>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</si>
  <si>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</si>
  <si>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</si>
  <si>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</si>
  <si>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</si>
  <si>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</si>
  <si>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</si>
  <si>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</si>
  <si>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</si>
  <si>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</si>
  <si>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</si>
  <si>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</si>
  <si>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</si>
  <si>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</si>
  <si>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</si>
  <si>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</si>
  <si>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</si>
  <si>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</si>
  <si>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</si>
  <si>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</si>
  <si>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</si>
  <si>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</si>
  <si>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</si>
  <si>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</si>
  <si>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</si>
  <si>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</si>
  <si>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</si>
  <si>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</si>
  <si>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</si>
  <si>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</si>
  <si>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</si>
  <si>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</si>
  <si>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</si>
  <si>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</si>
  <si>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</si>
  <si>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</si>
  <si>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</si>
  <si>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</si>
  <si>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</si>
  <si>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</si>
  <si>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</si>
  <si>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</si>
  <si>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</si>
  <si>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</si>
  <si>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</si>
  <si>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</si>
  <si>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</si>
  <si>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</si>
  <si>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</si>
  <si>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</si>
  <si>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</si>
  <si>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</si>
  <si>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</si>
  <si>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</si>
  <si>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</si>
  <si>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</si>
  <si>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</si>
  <si>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</si>
  <si>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</si>
  <si>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</si>
  <si>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</si>
  <si>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</si>
  <si>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</si>
  <si>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</si>
  <si>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</si>
  <si>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</si>
  <si>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</si>
  <si>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</si>
  <si>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</si>
  <si>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</si>
  <si>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</si>
  <si>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</si>
  <si>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</si>
  <si>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</si>
  <si>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</si>
  <si>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</si>
  <si>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</si>
  <si>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</si>
  <si>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</si>
  <si>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</si>
  <si>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</si>
  <si>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</si>
  <si>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</si>
  <si>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</si>
  <si>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</si>
  <si>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</si>
  <si>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</si>
  <si>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</si>
  <si>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</si>
  <si>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</si>
  <si>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</si>
  <si>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</si>
  <si>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</si>
  <si>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</si>
  <si>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</si>
  <si>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</si>
  <si>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</si>
  <si>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</si>
  <si>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</si>
  <si>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</si>
  <si>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</si>
  <si>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</si>
  <si>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</si>
  <si>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</si>
  <si>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</si>
  <si>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</si>
  <si>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</si>
  <si>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</si>
  <si>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</si>
  <si>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</si>
  <si>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</si>
  <si>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</si>
  <si>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</si>
  <si>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</si>
  <si>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</si>
  <si>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</si>
  <si>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</si>
  <si>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</si>
  <si>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</si>
  <si>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</si>
  <si>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</si>
  <si>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</si>
  <si>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</si>
  <si>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</si>
  <si>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</si>
  <si>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</si>
  <si>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</si>
  <si>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</si>
  <si>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</si>
  <si>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</si>
  <si>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</si>
  <si>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</si>
  <si>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</si>
  <si>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</si>
  <si>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</si>
  <si>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</si>
  <si>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</si>
  <si>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</si>
  <si>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</si>
  <si>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</si>
  <si>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</si>
  <si>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</si>
  <si>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</si>
  <si>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</si>
  <si>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</si>
  <si>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</si>
  <si>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</si>
  <si>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</si>
  <si>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</si>
  <si>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</si>
  <si>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</si>
  <si>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</si>
  <si>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</si>
  <si>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</si>
  <si>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</si>
  <si>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</si>
  <si>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</si>
  <si>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</si>
  <si>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</si>
  <si>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</si>
  <si>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</si>
  <si>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</si>
  <si>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</si>
  <si>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</si>
  <si>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</si>
  <si>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</si>
  <si>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</si>
  <si>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</si>
  <si>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</si>
  <si>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</si>
  <si>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</si>
  <si>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</si>
  <si>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</si>
  <si>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</si>
  <si>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</si>
  <si>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</si>
  <si>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</si>
  <si>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</si>
  <si>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</si>
  <si>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</si>
  <si>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</si>
  <si>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</si>
  <si>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</si>
  <si>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</si>
  <si>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</si>
  <si>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</si>
  <si>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</si>
  <si>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</si>
  <si>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</si>
  <si>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</si>
  <si>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</si>
  <si>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</si>
  <si>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</si>
  <si>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</si>
  <si>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</si>
  <si>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</si>
  <si>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</si>
  <si>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</si>
  <si>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</si>
  <si>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</si>
  <si>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</si>
  <si>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</si>
  <si>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</si>
  <si>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</si>
  <si>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</si>
  <si>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</si>
  <si>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</si>
  <si>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</si>
  <si>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</si>
  <si>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</si>
  <si>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</si>
  <si>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</si>
  <si>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</si>
  <si>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</si>
  <si>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</si>
  <si>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</si>
  <si>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</si>
  <si>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</si>
  <si>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</si>
  <si>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</si>
  <si>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</si>
  <si>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</si>
  <si>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</si>
  <si>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</si>
  <si>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</si>
  <si>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</si>
  <si>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</si>
  <si>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</si>
  <si>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</si>
  <si>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</si>
  <si>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</si>
  <si>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</si>
  <si>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</si>
  <si>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</si>
  <si>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</si>
  <si>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</si>
  <si>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</si>
  <si>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</si>
  <si>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</si>
  <si>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</si>
  <si>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</si>
  <si>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</si>
  <si>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</si>
  <si>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</si>
  <si>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</si>
  <si>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</si>
  <si>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</si>
  <si>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</si>
  <si>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</si>
  <si>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</si>
  <si>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</si>
  <si>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</si>
  <si>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</si>
  <si>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</si>
  <si>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</si>
  <si>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</si>
  <si>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</si>
  <si>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</si>
  <si>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</si>
  <si>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</si>
  <si>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</si>
  <si>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</si>
  <si>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</si>
  <si>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</si>
  <si>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</si>
  <si>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</si>
  <si>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</si>
  <si>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</si>
  <si>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</si>
  <si>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</si>
  <si>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</si>
  <si>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</si>
  <si>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</si>
  <si>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</si>
  <si>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</si>
  <si>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</si>
  <si>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</si>
  <si>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</si>
  <si>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</si>
  <si>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</si>
  <si>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</si>
  <si>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</si>
  <si>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</si>
  <si>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</si>
  <si>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</si>
  <si>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</si>
  <si>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</si>
  <si>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</si>
  <si>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</si>
  <si>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</si>
  <si>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</si>
  <si>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</si>
  <si>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</si>
  <si>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</si>
  <si>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</si>
  <si>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</si>
  <si>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</si>
  <si>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</si>
  <si>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</si>
  <si>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</si>
  <si>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</si>
  <si>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</si>
  <si>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</si>
  <si>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</si>
  <si>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</si>
  <si>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</si>
  <si>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</si>
  <si>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</si>
  <si>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</si>
  <si>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</si>
  <si>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</si>
  <si>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</si>
  <si>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</si>
  <si>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</si>
  <si>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</si>
  <si>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</si>
  <si>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</si>
  <si>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</si>
  <si>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</si>
  <si>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</si>
  <si>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</si>
  <si>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</si>
  <si>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</si>
  <si>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</si>
  <si>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</si>
  <si>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</si>
  <si>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</si>
  <si>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</si>
  <si>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</si>
  <si>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</si>
  <si>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</si>
  <si>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</si>
  <si>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</si>
  <si>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</si>
  <si>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</si>
  <si>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</si>
  <si>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</si>
  <si>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</si>
  <si>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</si>
  <si>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</si>
  <si>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</si>
  <si>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</si>
  <si>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</si>
  <si>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</si>
  <si>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</si>
  <si>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</si>
  <si>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</si>
  <si>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</si>
  <si>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</si>
  <si>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</si>
  <si>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</si>
  <si>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</si>
  <si>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</si>
  <si>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</si>
  <si>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</si>
  <si>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</si>
  <si>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</si>
  <si>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</si>
  <si>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</si>
  <si>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</si>
  <si>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</si>
  <si>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</si>
  <si>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</si>
  <si>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</si>
  <si>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</si>
  <si>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</si>
  <si>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</si>
  <si>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</si>
  <si>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</si>
  <si>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</si>
  <si>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</si>
  <si>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</si>
  <si>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</si>
  <si>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</si>
  <si>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</si>
  <si>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</si>
  <si>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</si>
  <si>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</si>
  <si>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</si>
  <si>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</si>
  <si>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</si>
  <si>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</si>
  <si>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</si>
  <si>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</si>
  <si>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</si>
  <si>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</si>
  <si>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</si>
  <si>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</si>
  <si>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</si>
  <si>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</si>
  <si>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</si>
  <si>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</si>
  <si>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</si>
  <si>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</si>
  <si>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</si>
  <si>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</si>
  <si>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</si>
  <si>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</si>
  <si>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</si>
  <si>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</si>
  <si>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</si>
  <si>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</si>
  <si>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</si>
  <si>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</si>
  <si>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</si>
  <si>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</si>
  <si>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</si>
  <si>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</si>
  <si>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</si>
  <si>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</si>
  <si>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</si>
  <si>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</si>
  <si>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</si>
  <si>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</si>
  <si>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</si>
  <si>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</si>
  <si>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</si>
  <si>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</si>
  <si>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</si>
  <si>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</si>
  <si>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</si>
  <si>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</si>
  <si>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</si>
  <si>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</si>
  <si>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</si>
  <si>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</si>
  <si>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</si>
  <si>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</si>
  <si>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</si>
  <si>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</si>
  <si>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</si>
  <si>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</si>
  <si>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</si>
  <si>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</si>
  <si>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</si>
  <si>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</si>
  <si>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</si>
  <si>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</si>
  <si>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</si>
  <si>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</si>
  <si>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</si>
  <si>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</si>
  <si>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</si>
  <si>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</si>
  <si>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</si>
  <si>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</si>
  <si>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</si>
  <si>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</si>
  <si>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</si>
  <si>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</si>
  <si>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</si>
  <si>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</si>
  <si>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</si>
  <si>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</si>
  <si>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</si>
  <si>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</si>
  <si>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</si>
  <si>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</si>
  <si>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</si>
  <si>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</si>
  <si>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</si>
  <si>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</si>
  <si>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</si>
  <si>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</si>
  <si>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</si>
  <si>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</si>
  <si>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</si>
  <si>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</si>
  <si>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</si>
  <si>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</si>
  <si>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</si>
  <si>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</si>
  <si>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</si>
  <si>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</si>
  <si>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</si>
  <si>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</si>
  <si>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</si>
  <si>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</si>
  <si>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</si>
  <si>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</si>
  <si>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</si>
  <si>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</si>
  <si>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</si>
  <si>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</si>
  <si>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</si>
  <si>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</si>
  <si>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</si>
  <si>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</si>
  <si>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</si>
  <si>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</si>
  <si>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</si>
  <si>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</si>
  <si>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</si>
  <si>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</si>
  <si>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</si>
  <si>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</si>
  <si>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</si>
  <si>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</si>
  <si>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</si>
  <si>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</si>
  <si>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</si>
  <si>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</si>
  <si>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</si>
  <si>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</si>
  <si>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</si>
  <si>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</si>
  <si>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</si>
  <si>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</si>
  <si>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</si>
  <si>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</si>
  <si>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</si>
  <si>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</si>
  <si>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</si>
  <si>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</si>
  <si>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</si>
  <si>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</si>
  <si>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</si>
  <si>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</si>
  <si>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</si>
  <si>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</si>
  <si>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</si>
  <si>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</si>
  <si>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</si>
  <si>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</si>
  <si>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</si>
  <si>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</si>
  <si>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</si>
  <si>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</si>
  <si>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</si>
  <si>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</si>
  <si>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</si>
  <si>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</si>
  <si>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</si>
  <si>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</si>
  <si>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</si>
  <si>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</si>
  <si>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</si>
  <si>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</si>
  <si>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</si>
  <si>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</si>
  <si>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</si>
  <si>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</si>
  <si>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</si>
  <si>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</si>
  <si>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</si>
  <si>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</si>
  <si>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</si>
  <si>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</si>
  <si>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</si>
  <si>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</si>
  <si>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</si>
  <si>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</si>
  <si>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</si>
  <si>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</si>
  <si>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</si>
  <si>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</si>
  <si>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</si>
  <si>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</si>
  <si>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</si>
  <si>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</si>
  <si>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</si>
  <si>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</si>
  <si>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</si>
  <si>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</si>
  <si>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</si>
  <si>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</si>
  <si>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</si>
  <si>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</si>
  <si>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</si>
  <si>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</si>
  <si>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</si>
  <si>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</si>
  <si>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</si>
  <si>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</si>
  <si>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</si>
  <si>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</si>
  <si>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</si>
  <si>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</si>
  <si>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</si>
  <si>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</si>
  <si>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</si>
  <si>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</si>
  <si>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</si>
  <si>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</si>
  <si>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</si>
  <si>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</si>
  <si>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</si>
  <si>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</si>
  <si>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</si>
  <si>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</si>
  <si>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</si>
  <si>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</si>
  <si>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</si>
  <si>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</si>
  <si>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</si>
  <si>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</si>
  <si>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</si>
  <si>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</si>
  <si>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</si>
  <si>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</si>
  <si>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</si>
  <si>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</si>
  <si>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</si>
  <si>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</si>
  <si>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</si>
  <si>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</si>
  <si>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</si>
  <si>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</si>
  <si>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</si>
  <si>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</si>
  <si>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</si>
  <si>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</si>
  <si>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</si>
  <si>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</si>
  <si>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</si>
  <si>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</si>
  <si>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</si>
  <si>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</si>
  <si>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</si>
  <si>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</si>
  <si>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</si>
  <si>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</si>
  <si>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</si>
  <si>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</si>
  <si>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</si>
  <si>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</si>
  <si>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</si>
  <si>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</si>
  <si>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</si>
  <si>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</si>
  <si>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</si>
  <si>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</si>
  <si>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</si>
  <si>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</si>
  <si>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</si>
  <si>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</si>
  <si>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</si>
  <si>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</si>
  <si>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</si>
  <si>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</si>
  <si>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</si>
  <si>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</si>
  <si>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</si>
  <si>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</si>
  <si>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</si>
  <si>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</si>
  <si>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</si>
  <si>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</si>
  <si>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</si>
  <si>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</si>
  <si>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</si>
  <si>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</si>
  <si>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</si>
  <si>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</si>
  <si>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</si>
  <si>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</si>
  <si>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</si>
  <si>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</si>
  <si>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</si>
  <si>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</si>
  <si>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</si>
  <si>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</si>
  <si>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</si>
  <si>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</si>
  <si>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</si>
  <si>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</si>
  <si>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</si>
  <si>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</si>
  <si>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</si>
  <si>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</si>
  <si>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</si>
  <si>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</si>
  <si>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</si>
  <si>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</si>
  <si>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</si>
  <si>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</si>
  <si>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</si>
  <si>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</si>
  <si>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</si>
  <si>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</si>
  <si>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</si>
  <si>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</si>
  <si>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</si>
  <si>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</si>
  <si>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</si>
  <si>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</si>
  <si>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</si>
  <si>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</si>
  <si>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</si>
  <si>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</si>
  <si>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</si>
  <si>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</si>
  <si>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</si>
  <si>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</si>
  <si>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</si>
  <si>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</si>
  <si>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</si>
  <si>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</si>
  <si>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</si>
  <si>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</si>
  <si>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</si>
  <si>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</si>
  <si>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</si>
  <si>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</si>
  <si>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</si>
  <si>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</si>
  <si>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</si>
  <si>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</si>
  <si>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</si>
  <si>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</si>
  <si>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</si>
  <si>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</si>
  <si>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</si>
  <si>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</si>
  <si>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</si>
  <si>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</si>
  <si>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</si>
  <si>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</si>
  <si>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</si>
  <si>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</si>
  <si>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</si>
  <si>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</si>
  <si>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</si>
  <si>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</si>
  <si>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</si>
  <si>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</si>
  <si>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</si>
  <si>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</si>
  <si>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</si>
  <si>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</si>
  <si>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</si>
  <si>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</si>
  <si>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</si>
  <si>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</si>
  <si>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</si>
  <si>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</si>
  <si>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</si>
  <si>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</si>
  <si>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</si>
  <si>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</si>
  <si>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</si>
  <si>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</si>
  <si>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</si>
  <si>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</si>
  <si>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</si>
  <si>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</si>
  <si>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</si>
  <si>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</si>
  <si>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</si>
  <si>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</si>
  <si>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</si>
  <si>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</si>
  <si>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</si>
  <si>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</si>
  <si>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</si>
  <si>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</si>
  <si>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</si>
  <si>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</si>
  <si>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</si>
  <si>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</si>
  <si>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</si>
  <si>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</si>
  <si>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</si>
  <si>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</si>
  <si>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</si>
  <si>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</si>
  <si>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</si>
  <si>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</si>
  <si>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</si>
  <si>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</si>
  <si>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</si>
  <si>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</si>
  <si>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</si>
  <si>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</si>
  <si>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</si>
  <si>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</si>
  <si>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</si>
  <si>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</si>
  <si>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</si>
  <si>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</si>
  <si>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</si>
  <si>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</si>
  <si>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</si>
  <si>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</si>
  <si>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</si>
  <si>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</si>
  <si>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</si>
  <si>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</si>
  <si>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</si>
  <si>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</si>
  <si>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</si>
  <si>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</si>
  <si>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</si>
  <si>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</si>
  <si>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</si>
  <si>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</si>
  <si>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</si>
  <si>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</si>
  <si>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</si>
  <si>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</si>
  <si>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</si>
  <si>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</si>
  <si>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</si>
  <si>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</si>
  <si>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</si>
  <si>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</si>
  <si>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</si>
  <si>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</si>
  <si>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</si>
  <si>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</si>
  <si>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</si>
  <si>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</si>
  <si>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</si>
  <si>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</si>
  <si>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</si>
  <si>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</si>
  <si>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</si>
  <si>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</si>
  <si>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</si>
  <si>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</si>
  <si>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</si>
  <si>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</si>
  <si>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</si>
  <si>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</si>
  <si>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</si>
  <si>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</si>
  <si>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</si>
  <si>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</si>
  <si>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</si>
  <si>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</si>
  <si>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</si>
  <si>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</si>
  <si>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</si>
  <si>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</si>
  <si>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</si>
  <si>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</si>
  <si>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</si>
  <si>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</si>
  <si>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</si>
  <si>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</si>
  <si>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</si>
  <si>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</si>
  <si>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</si>
  <si>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</si>
  <si>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</si>
  <si>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</si>
  <si>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</si>
  <si>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</si>
  <si>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</si>
  <si>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</si>
  <si>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</si>
  <si>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</si>
  <si>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</si>
  <si>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</si>
  <si>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</si>
  <si>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</si>
  <si>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</si>
  <si>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</si>
  <si>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</si>
  <si>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</si>
  <si>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</si>
  <si>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</si>
  <si>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</si>
  <si>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</si>
  <si>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</si>
  <si>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</si>
  <si>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</si>
  <si>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</si>
  <si>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</si>
  <si>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</si>
  <si>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</si>
  <si>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</si>
  <si>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</si>
  <si>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</si>
  <si>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</si>
  <si>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</si>
  <si>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</si>
  <si>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</si>
  <si>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</si>
  <si>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</si>
  <si>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</si>
  <si>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</si>
  <si>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</si>
  <si>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</si>
  <si>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</si>
  <si>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</si>
  <si>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</si>
  <si>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</si>
  <si>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</si>
  <si>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</si>
  <si>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</si>
  <si>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</si>
  <si>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</si>
  <si>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</si>
  <si>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</si>
  <si>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</si>
  <si>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</si>
  <si>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</si>
  <si>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</si>
  <si>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</si>
  <si>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</si>
  <si>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</si>
  <si>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</si>
  <si>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</si>
  <si>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</si>
  <si>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</si>
  <si>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</si>
  <si>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</si>
  <si>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</si>
  <si>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</si>
  <si>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</si>
  <si>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</si>
  <si>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</si>
  <si>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</si>
  <si>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</si>
  <si>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</si>
  <si>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</si>
  <si>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</si>
  <si>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</si>
  <si>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</si>
  <si>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</si>
  <si>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</si>
  <si>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</si>
  <si>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</si>
  <si>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</si>
  <si>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</si>
  <si>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</si>
  <si>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</si>
  <si>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</si>
  <si>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</si>
  <si>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</si>
  <si>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</si>
  <si>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</si>
  <si>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</si>
  <si>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</si>
  <si>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</si>
  <si>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</si>
  <si>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</si>
  <si>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</si>
  <si>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</si>
  <si>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</si>
  <si>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</si>
  <si>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</si>
  <si>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</si>
  <si>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</si>
  <si>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</si>
  <si>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</si>
  <si>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</si>
  <si>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</si>
  <si>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</si>
  <si>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</si>
  <si>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</si>
  <si>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</si>
  <si>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</si>
  <si>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</si>
  <si>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</si>
  <si>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</si>
  <si>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</si>
  <si>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</si>
  <si>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</si>
  <si>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</si>
  <si>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</si>
  <si>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</si>
  <si>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</si>
  <si>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</si>
  <si>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</si>
  <si>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</si>
  <si>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</si>
  <si>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</si>
  <si>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</si>
  <si>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</si>
  <si>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</si>
  <si>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</si>
  <si>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</si>
  <si>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</si>
  <si>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</si>
  <si>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</si>
  <si>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</si>
  <si>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</si>
  <si>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</si>
  <si>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</si>
  <si>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</si>
  <si>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</si>
  <si>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</si>
  <si>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</si>
  <si>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</si>
  <si>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</si>
  <si>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</si>
  <si>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</si>
  <si>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</si>
  <si>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</si>
  <si>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</si>
  <si>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</si>
  <si>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</si>
  <si>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</si>
  <si>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</si>
  <si>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</si>
  <si>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</si>
  <si>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</si>
  <si>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</si>
  <si>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</si>
  <si>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</si>
  <si>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</si>
  <si>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</si>
  <si>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</si>
  <si>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</si>
  <si>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</si>
  <si>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</si>
  <si>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</si>
  <si>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</si>
  <si>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</si>
  <si>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</si>
  <si>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</si>
  <si>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</si>
  <si>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</si>
  <si>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</si>
  <si>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</si>
  <si>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</si>
  <si>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</si>
  <si>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</si>
  <si>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</si>
  <si>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</si>
  <si>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</si>
  <si>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</si>
  <si>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</si>
  <si>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</si>
  <si>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</si>
  <si>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</si>
  <si>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</si>
  <si>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</si>
  <si>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</si>
  <si>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</si>
  <si>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</si>
  <si>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</si>
  <si>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</si>
  <si>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</si>
  <si>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</si>
  <si>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</si>
  <si>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</si>
  <si>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</si>
  <si>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</si>
  <si>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</si>
  <si>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</si>
  <si>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</si>
  <si>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</si>
  <si>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</si>
  <si>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</si>
  <si>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</si>
  <si>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</si>
  <si>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</si>
  <si>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</si>
  <si>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</si>
  <si>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</si>
  <si>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</si>
  <si>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</si>
  <si>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</si>
  <si>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</si>
  <si>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</si>
  <si>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</si>
  <si>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</si>
  <si>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</si>
  <si>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</si>
  <si>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</si>
  <si>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</si>
  <si>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</si>
  <si>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</si>
  <si>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</si>
  <si>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</si>
  <si>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</si>
  <si>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</si>
  <si>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</si>
  <si>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</si>
  <si>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</si>
  <si>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</si>
  <si>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</si>
  <si>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</si>
  <si>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</si>
  <si>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</si>
  <si>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</si>
  <si>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</si>
  <si>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</si>
  <si>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</si>
  <si>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</si>
  <si>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</si>
  <si>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</si>
  <si>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</si>
  <si>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</si>
  <si>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</si>
  <si>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</si>
  <si>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</si>
  <si>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</si>
  <si>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</si>
  <si>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</si>
  <si>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</si>
  <si>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</si>
  <si>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</si>
  <si>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</si>
  <si>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</si>
  <si>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</si>
  <si>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</si>
  <si>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</si>
  <si>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</si>
  <si>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</si>
  <si>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</si>
  <si>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</si>
  <si>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</si>
  <si>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</si>
  <si>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</si>
  <si>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</si>
  <si>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</si>
  <si>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</si>
  <si>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</si>
  <si>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</si>
  <si>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</si>
  <si>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</si>
  <si>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</si>
  <si>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</si>
  <si>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</si>
  <si>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</si>
  <si>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</si>
  <si>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</si>
  <si>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</si>
  <si>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</si>
  <si>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</si>
  <si>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</si>
  <si>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</si>
  <si>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</si>
  <si>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</si>
  <si>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</si>
  <si>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</si>
  <si>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</si>
  <si>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</si>
  <si>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</si>
  <si>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</si>
  <si>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</si>
  <si>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</si>
  <si>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</si>
  <si>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</si>
  <si>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</si>
  <si>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</si>
  <si>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</si>
  <si>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</si>
  <si>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</si>
  <si>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</si>
  <si>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</si>
  <si>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</si>
  <si>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</si>
  <si>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</si>
  <si>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</si>
  <si>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</si>
  <si>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</si>
  <si>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</si>
  <si>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</si>
  <si>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</si>
  <si>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</si>
  <si>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</si>
  <si>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</si>
  <si>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</si>
  <si>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</si>
  <si>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</si>
  <si>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</si>
  <si>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</si>
  <si>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</si>
  <si>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</si>
  <si>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</si>
  <si>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</si>
  <si>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</si>
  <si>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</si>
  <si>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</si>
  <si>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</si>
  <si>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</si>
  <si>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</si>
  <si>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</si>
  <si>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</si>
  <si>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</si>
  <si>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</si>
  <si>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</si>
  <si>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</si>
  <si>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</si>
  <si>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</si>
  <si>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</si>
  <si>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</si>
  <si>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</si>
  <si>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</si>
  <si>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</si>
  <si>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</si>
  <si>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</si>
  <si>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</si>
  <si>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</si>
  <si>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</si>
  <si>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</si>
  <si>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</si>
  <si>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</si>
  <si>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</si>
  <si>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</si>
  <si>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</si>
  <si>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</si>
  <si>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</si>
  <si>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</si>
  <si>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</si>
  <si>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</si>
  <si>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</si>
  <si>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</si>
  <si>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</si>
  <si>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</si>
  <si>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</si>
  <si>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</si>
  <si>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</si>
  <si>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</si>
  <si>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</si>
  <si>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</si>
  <si>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</si>
  <si>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</si>
  <si>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</si>
  <si>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</si>
  <si>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</si>
  <si>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</si>
  <si>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</si>
  <si>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</si>
  <si>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</si>
  <si>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</si>
  <si>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</si>
  <si>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</si>
  <si>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</si>
  <si>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</si>
  <si>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</si>
  <si>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</si>
  <si>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</si>
  <si>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</si>
  <si>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</si>
  <si>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</si>
  <si>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</si>
  <si>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</si>
  <si>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</si>
  <si>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</si>
  <si>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</si>
  <si>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</si>
  <si>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</si>
  <si>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</si>
  <si>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</si>
  <si>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</si>
  <si>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</si>
  <si>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</si>
  <si>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</si>
  <si>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</si>
  <si>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</si>
  <si>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</si>
  <si>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</si>
  <si>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</si>
  <si>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</si>
  <si>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</si>
  <si>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</si>
  <si>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</si>
  <si>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</si>
  <si>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</si>
  <si>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</si>
  <si>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</si>
  <si>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</si>
  <si>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</si>
  <si>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</si>
  <si>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</si>
  <si>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</si>
  <si>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</si>
  <si>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</si>
  <si>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</si>
  <si>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</si>
  <si>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</si>
  <si>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</si>
  <si>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</si>
  <si>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</si>
  <si>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</si>
  <si>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</si>
  <si>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</si>
  <si>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</si>
  <si>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</si>
  <si>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</si>
  <si>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</si>
  <si>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</si>
  <si>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</si>
  <si>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</si>
  <si>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</si>
  <si>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</si>
  <si>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</si>
  <si>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</si>
  <si>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</si>
  <si>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</si>
  <si>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</si>
  <si>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</si>
  <si>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</si>
  <si>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</si>
  <si>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</si>
  <si>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</si>
  <si>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</si>
  <si>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</si>
  <si>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</si>
  <si>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</si>
  <si>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</si>
  <si>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</si>
  <si>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</si>
  <si>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</si>
  <si>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</si>
  <si>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</si>
  <si>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</si>
  <si>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</si>
  <si>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</si>
  <si>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</si>
  <si>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</si>
  <si>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</si>
  <si>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</si>
  <si>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</si>
  <si>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</si>
  <si>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</si>
  <si>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</si>
  <si>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</si>
  <si>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</si>
  <si>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</si>
  <si>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</si>
  <si>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</si>
  <si>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</si>
  <si>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</si>
  <si>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</si>
  <si>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</si>
  <si>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</si>
  <si>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</si>
  <si>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</si>
  <si>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</si>
  <si>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</si>
  <si>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</si>
  <si>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</si>
  <si>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</si>
  <si>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</si>
  <si>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</si>
  <si>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</si>
  <si>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</si>
  <si>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</si>
  <si>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</si>
  <si>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</si>
  <si>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</si>
  <si>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</si>
  <si>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</si>
  <si>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</si>
  <si>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</si>
  <si>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</si>
  <si>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</si>
  <si>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</si>
  <si>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</si>
  <si>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</si>
  <si>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</si>
  <si>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</si>
  <si>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</si>
  <si>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</si>
  <si>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</si>
  <si>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</si>
  <si>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</si>
  <si>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</si>
  <si>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</si>
  <si>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</si>
  <si>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</si>
  <si>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</si>
  <si>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</si>
  <si>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</si>
  <si>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</si>
  <si>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</si>
  <si>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</si>
  <si>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</si>
  <si>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</si>
  <si>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</si>
  <si>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</si>
  <si>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</si>
  <si>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</si>
  <si>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</si>
  <si>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</si>
  <si>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</si>
  <si>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</si>
  <si>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</si>
  <si>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</si>
  <si>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</si>
  <si>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</si>
  <si>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</si>
  <si>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</si>
  <si>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</si>
  <si>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</si>
  <si>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</si>
  <si>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</si>
  <si>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</si>
  <si>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</si>
  <si>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</si>
  <si>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</si>
  <si>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</si>
  <si>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</si>
  <si>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</si>
  <si>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</si>
  <si>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</si>
  <si>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</si>
  <si>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</si>
  <si>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</si>
  <si>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</si>
  <si>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</si>
  <si>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</si>
  <si>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</si>
  <si>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</si>
  <si>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</si>
  <si>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</si>
  <si>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</si>
  <si>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</si>
  <si>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</si>
  <si>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</si>
  <si>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</si>
  <si>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</si>
  <si>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</si>
  <si>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</si>
  <si>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</si>
  <si>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</si>
  <si>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</si>
  <si>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</si>
  <si>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</si>
  <si>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</si>
  <si>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</si>
  <si>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</si>
  <si>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</si>
  <si>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</si>
  <si>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</si>
  <si>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</si>
  <si>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</si>
  <si>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</si>
  <si>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</si>
  <si>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</si>
  <si>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</si>
  <si>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</si>
  <si>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</si>
  <si>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</si>
  <si>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</si>
  <si>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</si>
  <si>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</si>
  <si>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</si>
  <si>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</si>
  <si>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</si>
  <si>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</si>
  <si>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</si>
  <si>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</si>
  <si>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</si>
  <si>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</si>
  <si>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</si>
  <si>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</si>
  <si>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</si>
  <si>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</si>
  <si>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</si>
  <si>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</si>
  <si>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</si>
  <si>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</si>
  <si>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</si>
  <si>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</si>
  <si>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</si>
  <si>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</si>
  <si>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</si>
  <si>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</si>
  <si>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</si>
  <si>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</si>
  <si>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</si>
  <si>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</si>
  <si>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</si>
  <si>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</si>
  <si>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</si>
  <si>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</si>
  <si>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</si>
  <si>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</si>
  <si>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</si>
  <si>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</si>
  <si>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</si>
  <si>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</si>
  <si>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</si>
  <si>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</si>
  <si>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</si>
  <si>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</si>
  <si>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</si>
  <si>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</si>
  <si>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</si>
  <si>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</si>
  <si>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</si>
  <si>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</si>
  <si>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</si>
  <si>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</si>
  <si>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</si>
  <si>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</si>
  <si>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</si>
  <si>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</si>
  <si>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</si>
  <si>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</si>
  <si>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</si>
  <si>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</si>
  <si>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</si>
  <si>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</si>
  <si>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</si>
  <si>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</si>
  <si>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</si>
  <si>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</si>
  <si>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</si>
  <si>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</si>
  <si>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</si>
  <si>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</si>
  <si>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</si>
  <si>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</si>
  <si>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</si>
  <si>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</si>
  <si>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</si>
  <si>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</si>
  <si>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</si>
  <si>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</si>
  <si>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</si>
  <si>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</si>
  <si>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</si>
  <si>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</si>
  <si>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</si>
  <si>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</si>
  <si>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</si>
  <si>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</si>
  <si>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</si>
  <si>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</si>
  <si>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</si>
  <si>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</si>
  <si>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</si>
  <si>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</si>
  <si>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</si>
  <si>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</si>
  <si>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</si>
  <si>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</si>
  <si>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</si>
  <si>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</si>
  <si>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</si>
  <si>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</si>
  <si>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</si>
  <si>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</si>
  <si>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</si>
  <si>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</si>
  <si>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</si>
  <si>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</si>
  <si>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</si>
  <si>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</si>
  <si>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</si>
  <si>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</si>
  <si>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</si>
  <si>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</si>
  <si>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</si>
  <si>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</si>
  <si>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</si>
  <si>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</si>
  <si>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</si>
  <si>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</si>
  <si>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</si>
  <si>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</si>
  <si>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</si>
  <si>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</si>
  <si>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</si>
  <si>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</si>
  <si>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</si>
  <si>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</si>
  <si>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</si>
  <si>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</si>
  <si>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</si>
  <si>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</si>
  <si>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</si>
  <si>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</si>
  <si>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</si>
  <si>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</si>
  <si>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</si>
  <si>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</si>
  <si>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</si>
  <si>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</si>
  <si>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</si>
  <si>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</si>
  <si>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</si>
  <si>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</si>
  <si>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</si>
  <si>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</si>
  <si>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</si>
  <si>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</si>
  <si>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</si>
  <si>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</si>
  <si>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</si>
  <si>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</si>
  <si>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</si>
  <si>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</si>
  <si>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</si>
  <si>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</si>
  <si>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</si>
  <si>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</si>
  <si>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</si>
  <si>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</si>
  <si>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</si>
  <si>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</si>
  <si>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</si>
  <si>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</si>
  <si>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</si>
  <si>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</si>
  <si>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</si>
  <si>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</si>
  <si>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</si>
  <si>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</si>
  <si>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</si>
  <si>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</si>
  <si>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</si>
  <si>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</si>
  <si>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</si>
  <si>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</si>
  <si>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</si>
  <si>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</si>
  <si>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</si>
  <si>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</si>
  <si>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</si>
  <si>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</si>
  <si>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</si>
  <si>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</si>
  <si>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</si>
  <si>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</si>
  <si>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</si>
  <si>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</si>
  <si>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</si>
  <si>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</si>
  <si>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</si>
  <si>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</si>
  <si>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</si>
  <si>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</si>
  <si>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</si>
  <si>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</si>
  <si>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</si>
  <si>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</si>
  <si>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</si>
  <si>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</si>
  <si>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</si>
  <si>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</si>
  <si>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</si>
  <si>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</si>
  <si>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</si>
  <si>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</si>
  <si>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</si>
  <si>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</si>
  <si>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</si>
  <si>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</si>
  <si>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</si>
  <si>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</si>
  <si>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</si>
  <si>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</si>
  <si>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</si>
  <si>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</si>
  <si>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</si>
  <si>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</si>
  <si>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</si>
  <si>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</si>
  <si>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</si>
  <si>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</si>
  <si>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</si>
  <si>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</si>
  <si>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</si>
  <si>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</si>
  <si>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</si>
  <si>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</si>
  <si>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</si>
  <si>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</si>
  <si>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</si>
  <si>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</si>
  <si>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</si>
  <si>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</si>
  <si>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</si>
  <si>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</si>
  <si>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</si>
  <si>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</si>
  <si>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</si>
  <si>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</si>
  <si>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</si>
  <si>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</si>
  <si>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</si>
  <si>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</si>
  <si>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</si>
  <si>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</si>
  <si>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</si>
  <si>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</si>
  <si>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</si>
  <si>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</si>
  <si>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</si>
  <si>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</si>
  <si>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</si>
  <si>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</si>
  <si>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</si>
  <si>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</si>
  <si>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</si>
  <si>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</si>
  <si>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</si>
  <si>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</si>
  <si>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</si>
  <si>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</si>
  <si>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</si>
  <si>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</si>
  <si>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</si>
  <si>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</si>
  <si>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</si>
  <si>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</si>
  <si>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</si>
  <si>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</si>
  <si>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</si>
  <si>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</si>
  <si>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</si>
  <si>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</si>
  <si>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</si>
  <si>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</si>
  <si>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</si>
  <si>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</si>
  <si>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</si>
  <si>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</si>
  <si>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</si>
  <si>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</si>
  <si>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</si>
  <si>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</si>
  <si>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</si>
  <si>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</si>
  <si>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</si>
  <si>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</si>
  <si>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</si>
  <si>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</si>
  <si>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</si>
  <si>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</si>
  <si>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</si>
  <si>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</si>
  <si>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</si>
  <si>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</si>
  <si>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</si>
  <si>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</si>
  <si>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</si>
  <si>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</si>
  <si>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</si>
  <si>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</si>
  <si>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</si>
  <si>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</si>
  <si>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</si>
  <si>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</si>
  <si>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</si>
  <si>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</si>
  <si>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</si>
  <si>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</si>
  <si>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</si>
  <si>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</si>
  <si>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</si>
  <si>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</si>
  <si>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</si>
  <si>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</si>
  <si>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</si>
  <si>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</si>
  <si>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</si>
  <si>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</si>
  <si>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</si>
  <si>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</si>
  <si>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</si>
  <si>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</si>
  <si>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</si>
  <si>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</si>
  <si>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</si>
  <si>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</si>
  <si>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</si>
  <si>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</si>
  <si>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</si>
  <si>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</si>
  <si>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</si>
  <si>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</si>
  <si>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</si>
  <si>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</si>
  <si>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</si>
  <si>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</si>
  <si>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</si>
  <si>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</si>
  <si>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</si>
  <si>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</si>
  <si>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</si>
  <si>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</si>
  <si>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</si>
  <si>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</si>
  <si>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</si>
  <si>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</si>
  <si>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</si>
  <si>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</si>
  <si>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</si>
  <si>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</si>
  <si>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</si>
  <si>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</si>
  <si>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</si>
  <si>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</si>
  <si>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</si>
  <si>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</si>
  <si>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</si>
  <si>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</si>
  <si>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</si>
  <si>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</si>
  <si>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</si>
  <si>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</si>
  <si>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</si>
  <si>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</si>
  <si>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</si>
  <si>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</si>
  <si>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</si>
  <si>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</si>
  <si>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</si>
  <si>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</si>
  <si>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</si>
  <si>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</si>
  <si>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</si>
  <si>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</si>
  <si>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</si>
  <si>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</si>
  <si>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</si>
  <si>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</si>
  <si>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</si>
  <si>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</si>
  <si>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</si>
  <si>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</si>
  <si>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</si>
  <si>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</si>
  <si>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</si>
  <si>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</si>
  <si>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</si>
  <si>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</si>
  <si>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</si>
  <si>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</si>
  <si>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</si>
  <si>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</si>
  <si>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</si>
  <si>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</si>
  <si>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</si>
  <si>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</si>
  <si>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</si>
  <si>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</si>
  <si>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</si>
  <si>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</si>
  <si>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</si>
  <si>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</si>
  <si>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</si>
  <si>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</si>
  <si>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</si>
  <si>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</si>
  <si>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</si>
  <si>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</si>
  <si>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</si>
  <si>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</si>
  <si>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</si>
  <si>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</si>
  <si>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</si>
  <si>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</si>
  <si>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</si>
  <si>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</si>
  <si>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</si>
  <si>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</si>
  <si>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</si>
  <si>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</si>
  <si>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</si>
  <si>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</si>
  <si>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</si>
  <si>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</si>
  <si>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</si>
  <si>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</si>
  <si>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</si>
  <si>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</si>
  <si>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</si>
  <si>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</si>
  <si>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</si>
  <si>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</si>
  <si>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</si>
  <si>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</si>
  <si>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</si>
  <si>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</si>
  <si>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</si>
  <si>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</si>
  <si>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</si>
  <si>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</si>
  <si>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</si>
  <si>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</si>
  <si>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</si>
  <si>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</si>
  <si>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</si>
  <si>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</si>
  <si>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</si>
  <si>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</si>
  <si>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</si>
  <si>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</si>
  <si>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</si>
  <si>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</si>
  <si>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</si>
  <si>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</si>
  <si>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</si>
  <si>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</si>
  <si>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</si>
  <si>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</si>
  <si>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</si>
  <si>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</si>
  <si>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</si>
  <si>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</si>
  <si>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</si>
  <si>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</si>
  <si>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</si>
  <si>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</si>
  <si>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</si>
  <si>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</si>
  <si>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</si>
  <si>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</si>
  <si>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</si>
  <si>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</si>
  <si>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</si>
  <si>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</si>
  <si>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</si>
  <si>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</si>
  <si>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</si>
  <si>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</si>
  <si>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</si>
  <si>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</si>
  <si>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</si>
  <si>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</si>
  <si>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</si>
  <si>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</si>
  <si>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</si>
  <si>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</si>
  <si>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</si>
  <si>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</si>
  <si>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</si>
  <si>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</si>
  <si>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</si>
  <si>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</si>
  <si>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</si>
  <si>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</si>
  <si>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</si>
  <si>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</si>
  <si>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</si>
  <si>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</si>
  <si>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</si>
  <si>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</si>
  <si>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</si>
  <si>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</si>
  <si>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</si>
  <si>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</si>
  <si>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</si>
  <si>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</si>
  <si>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</si>
  <si>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</si>
  <si>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</si>
  <si>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</si>
  <si>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</si>
  <si>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</si>
  <si>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</si>
  <si>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</si>
  <si>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</si>
  <si>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</si>
  <si>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</si>
  <si>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</si>
  <si>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</si>
  <si>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</si>
  <si>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</si>
  <si>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</si>
  <si>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</si>
  <si>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</si>
  <si>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</si>
  <si>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</si>
  <si>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</si>
  <si>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Region - Latin America and Caribbean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</si>
</sst>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tabSelected="1" zoomScaleNormal="100" workbookViewId="0">
      <pane xSplit="4" ySplit="1" topLeftCell="E1094" activePane="bottomRight" state="frozen"/>
      <selection activeCell="D526" sqref="D526"/>
      <selection pane="topRight" activeCell="D526" sqref="D526"/>
      <selection pane="bottomLeft" activeCell="D526" sqref="D526"/>
      <selection pane="bottomRight" activeCell="H1113" sqref="H1113"/>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3" width="8.7109375" customWidth="1"/>
    <col min="64" max="64" width="8.7109375" style="25" customWidth="1"/>
    <col min="65" max="72" width="8.7109375" customWidth="1"/>
    <col min="73" max="73" width="8.5703125" customWidth="1"/>
    <col min="74" max="97" width="8.7109375" customWidth="1"/>
    <col min="98" max="98" width="9.140625" style="34" hidden="1" customWidth="1"/>
    <col min="99" max="102" width="9.140625" hidden="1" customWidth="1"/>
  </cols>
  <sheetData>
    <row r="1" spans="1:103"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60</v>
      </c>
      <c r="BD1" s="3" t="s">
        <v>61</v>
      </c>
      <c r="BE1" s="3" t="s">
        <v>62</v>
      </c>
      <c r="BF1" s="17" t="s">
        <v>63</v>
      </c>
      <c r="BG1" s="3" t="s">
        <v>56</v>
      </c>
      <c r="BH1" s="3" t="s">
        <v>55</v>
      </c>
      <c r="BI1" s="17" t="s">
        <v>54</v>
      </c>
      <c r="BJ1" s="3" t="s">
        <v>65</v>
      </c>
      <c r="BK1" s="3" t="s">
        <v>66</v>
      </c>
      <c r="BL1" s="24" t="s">
        <v>67</v>
      </c>
      <c r="BM1" s="4" t="s">
        <v>68</v>
      </c>
      <c r="BN1" s="4" t="s">
        <v>231</v>
      </c>
      <c r="BO1" s="4" t="s">
        <v>262</v>
      </c>
      <c r="BP1" s="4" t="s">
        <v>151</v>
      </c>
      <c r="BQ1" s="4" t="s">
        <v>123</v>
      </c>
      <c r="BR1" s="4" t="s">
        <v>133</v>
      </c>
      <c r="BS1" s="4" t="s">
        <v>132</v>
      </c>
      <c r="BT1" s="19" t="s">
        <v>69</v>
      </c>
      <c r="BU1" s="49" t="s">
        <v>70</v>
      </c>
      <c r="BV1" s="49" t="s">
        <v>71</v>
      </c>
      <c r="BW1" s="49" t="s">
        <v>117</v>
      </c>
      <c r="BX1" s="50" t="s">
        <v>118</v>
      </c>
      <c r="BY1" s="4" t="s">
        <v>126</v>
      </c>
      <c r="BZ1" s="4" t="s">
        <v>136</v>
      </c>
      <c r="CA1" s="4" t="s">
        <v>152</v>
      </c>
      <c r="CB1" s="4" t="s">
        <v>479</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3" t="s">
        <v>3888</v>
      </c>
      <c r="CU1" s="124" t="s">
        <v>3890</v>
      </c>
      <c r="CV1" s="124" t="s">
        <v>448</v>
      </c>
      <c r="CW1" s="124" t="s">
        <v>449</v>
      </c>
      <c r="CX1" s="124"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7" si="2">IFERROR(F2/SQRT(F2^2+U2), "X")</f>
        <v>0.12240880647423871</v>
      </c>
      <c r="J2" s="33">
        <f t="shared" ref="J2:J7" si="3">IFERROR(SQRT((1-I2^2)/U2), "X")</f>
        <v>9.291757587153433E-3</v>
      </c>
      <c r="K2" s="33">
        <f t="shared" ref="K2:K7"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v>0</v>
      </c>
      <c r="BF2" s="18">
        <v>0</v>
      </c>
      <c r="BG2">
        <v>1</v>
      </c>
      <c r="BH2">
        <v>0</v>
      </c>
      <c r="BI2" s="18">
        <v>0</v>
      </c>
      <c r="BJ2">
        <v>25844</v>
      </c>
      <c r="BK2">
        <v>22164</v>
      </c>
      <c r="BL2" s="25">
        <v>44.5</v>
      </c>
      <c r="BM2">
        <v>1</v>
      </c>
      <c r="BN2">
        <v>0</v>
      </c>
      <c r="BO2">
        <v>0</v>
      </c>
      <c r="BP2">
        <v>0</v>
      </c>
      <c r="BQ2">
        <v>0</v>
      </c>
      <c r="BR2">
        <v>0</v>
      </c>
      <c r="BS2">
        <v>0</v>
      </c>
      <c r="BT2" s="18">
        <v>0</v>
      </c>
      <c r="BU2">
        <v>0</v>
      </c>
      <c r="BV2">
        <v>1</v>
      </c>
      <c r="BW2">
        <v>0</v>
      </c>
      <c r="BX2" s="18">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v>0</v>
      </c>
      <c r="BF3" s="18">
        <v>0</v>
      </c>
      <c r="BG3">
        <v>1</v>
      </c>
      <c r="BH3">
        <v>0</v>
      </c>
      <c r="BI3" s="18">
        <v>0</v>
      </c>
      <c r="BJ3">
        <v>25844</v>
      </c>
      <c r="BK3">
        <v>22164</v>
      </c>
      <c r="BL3" s="25">
        <v>44.5</v>
      </c>
      <c r="BM3">
        <v>1</v>
      </c>
      <c r="BN3">
        <v>0</v>
      </c>
      <c r="BO3">
        <v>0</v>
      </c>
      <c r="BP3">
        <v>0</v>
      </c>
      <c r="BQ3">
        <v>0</v>
      </c>
      <c r="BR3">
        <v>0</v>
      </c>
      <c r="BS3">
        <v>0</v>
      </c>
      <c r="BT3" s="18">
        <v>0</v>
      </c>
      <c r="BU3">
        <v>0</v>
      </c>
      <c r="BV3">
        <v>1</v>
      </c>
      <c r="BW3">
        <v>0</v>
      </c>
      <c r="BX3" s="18">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v>0</v>
      </c>
      <c r="BF4" s="18">
        <v>0</v>
      </c>
      <c r="BG4">
        <v>1</v>
      </c>
      <c r="BH4">
        <v>0</v>
      </c>
      <c r="BI4" s="18">
        <v>0</v>
      </c>
      <c r="BJ4">
        <v>25844</v>
      </c>
      <c r="BK4">
        <v>22164</v>
      </c>
      <c r="BL4" s="25">
        <v>44.5</v>
      </c>
      <c r="BM4">
        <v>1</v>
      </c>
      <c r="BN4">
        <v>0</v>
      </c>
      <c r="BO4">
        <v>0</v>
      </c>
      <c r="BP4">
        <v>0</v>
      </c>
      <c r="BQ4">
        <v>0</v>
      </c>
      <c r="BR4">
        <v>0</v>
      </c>
      <c r="BS4">
        <v>0</v>
      </c>
      <c r="BT4" s="18">
        <v>0</v>
      </c>
      <c r="BU4">
        <v>0</v>
      </c>
      <c r="BV4">
        <v>1</v>
      </c>
      <c r="BW4">
        <v>0</v>
      </c>
      <c r="BX4" s="18">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v>0</v>
      </c>
      <c r="BF5" s="65">
        <v>0</v>
      </c>
      <c r="BG5">
        <v>1</v>
      </c>
      <c r="BH5">
        <v>0</v>
      </c>
      <c r="BI5" s="65">
        <v>0</v>
      </c>
      <c r="BJ5">
        <v>25844</v>
      </c>
      <c r="BK5">
        <v>22164</v>
      </c>
      <c r="BL5" s="52">
        <v>44.5</v>
      </c>
      <c r="BM5" s="51">
        <v>1</v>
      </c>
      <c r="BN5" s="51">
        <v>0</v>
      </c>
      <c r="BO5" s="51">
        <v>0</v>
      </c>
      <c r="BP5" s="51">
        <v>0</v>
      </c>
      <c r="BQ5" s="51">
        <v>0</v>
      </c>
      <c r="BR5" s="51">
        <v>0</v>
      </c>
      <c r="BS5" s="51">
        <v>0</v>
      </c>
      <c r="BT5" s="65">
        <v>0</v>
      </c>
      <c r="BU5" s="51">
        <v>0</v>
      </c>
      <c r="BV5" s="51">
        <v>1</v>
      </c>
      <c r="BW5" s="51">
        <v>0</v>
      </c>
      <c r="BX5" s="65">
        <v>0</v>
      </c>
      <c r="BY5" s="51">
        <v>0</v>
      </c>
      <c r="BZ5" s="51">
        <v>0</v>
      </c>
      <c r="CA5" s="51">
        <v>0</v>
      </c>
      <c r="CB5" s="51">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v>0</v>
      </c>
      <c r="BF6" s="18">
        <v>0</v>
      </c>
      <c r="BG6">
        <v>1</v>
      </c>
      <c r="BH6">
        <v>0</v>
      </c>
      <c r="BI6" s="18">
        <v>0</v>
      </c>
      <c r="BJ6">
        <v>10169</v>
      </c>
      <c r="BK6">
        <v>11952</v>
      </c>
      <c r="BL6" s="25">
        <v>38.43</v>
      </c>
      <c r="BM6">
        <v>1</v>
      </c>
      <c r="BN6">
        <v>0</v>
      </c>
      <c r="BO6">
        <v>0</v>
      </c>
      <c r="BP6">
        <v>0</v>
      </c>
      <c r="BQ6">
        <v>0</v>
      </c>
      <c r="BR6">
        <v>0</v>
      </c>
      <c r="BS6">
        <v>0</v>
      </c>
      <c r="BT6" s="18">
        <v>0</v>
      </c>
      <c r="BU6">
        <v>0</v>
      </c>
      <c r="BV6">
        <v>0</v>
      </c>
      <c r="BW6">
        <v>1</v>
      </c>
      <c r="BX6" s="18">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v>0</v>
      </c>
      <c r="BF7" s="18">
        <v>0</v>
      </c>
      <c r="BG7">
        <v>1</v>
      </c>
      <c r="BH7">
        <v>0</v>
      </c>
      <c r="BI7" s="18">
        <v>0</v>
      </c>
      <c r="BJ7">
        <v>10169</v>
      </c>
      <c r="BK7">
        <v>11952</v>
      </c>
      <c r="BL7" s="25">
        <v>38.43</v>
      </c>
      <c r="BM7">
        <v>1</v>
      </c>
      <c r="BN7">
        <v>0</v>
      </c>
      <c r="BO7">
        <v>0</v>
      </c>
      <c r="BP7">
        <v>0</v>
      </c>
      <c r="BQ7">
        <v>0</v>
      </c>
      <c r="BR7">
        <v>0</v>
      </c>
      <c r="BS7">
        <v>0</v>
      </c>
      <c r="BT7" s="18">
        <v>0</v>
      </c>
      <c r="BU7">
        <v>0</v>
      </c>
      <c r="BV7">
        <v>0</v>
      </c>
      <c r="BW7">
        <v>1</v>
      </c>
      <c r="BX7" s="18">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ref="I8:I71" si="9">IFERROR(F8/SQRT(F8^2+U8), "X")</f>
        <v>7.3640495346074218E-3</v>
      </c>
      <c r="J8" s="33">
        <f t="shared" ref="J8:J71" si="10">IFERROR(SQRT((1-I8^2)/U8), "X")</f>
        <v>6.1309021669390051E-4</v>
      </c>
      <c r="K8" s="33">
        <f t="shared" ref="K8:K71" si="11">IFERROR(1/J8, "X")</f>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v>0</v>
      </c>
      <c r="BF8" s="18">
        <v>0</v>
      </c>
      <c r="BG8">
        <v>1</v>
      </c>
      <c r="BH8">
        <v>0</v>
      </c>
      <c r="BI8" s="18">
        <v>0</v>
      </c>
      <c r="BJ8">
        <v>10169</v>
      </c>
      <c r="BK8">
        <v>11952</v>
      </c>
      <c r="BL8" s="25">
        <v>38.43</v>
      </c>
      <c r="BM8">
        <v>1</v>
      </c>
      <c r="BN8">
        <v>0</v>
      </c>
      <c r="BO8">
        <v>0</v>
      </c>
      <c r="BP8">
        <v>0</v>
      </c>
      <c r="BQ8">
        <v>0</v>
      </c>
      <c r="BR8">
        <v>0</v>
      </c>
      <c r="BS8">
        <v>0</v>
      </c>
      <c r="BT8" s="18">
        <v>0</v>
      </c>
      <c r="BU8">
        <v>0</v>
      </c>
      <c r="BV8">
        <v>0</v>
      </c>
      <c r="BW8">
        <v>1</v>
      </c>
      <c r="BX8" s="1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9"/>
        <v>2.7220103591425464E-3</v>
      </c>
      <c r="J9" s="33">
        <f t="shared" si="10"/>
        <v>6.1310456971102082E-4</v>
      </c>
      <c r="K9" s="33">
        <f t="shared" si="11"/>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v>0</v>
      </c>
      <c r="BF9" s="18">
        <v>0</v>
      </c>
      <c r="BG9">
        <v>1</v>
      </c>
      <c r="BH9">
        <v>0</v>
      </c>
      <c r="BI9" s="18">
        <v>0</v>
      </c>
      <c r="BJ9">
        <v>10169</v>
      </c>
      <c r="BK9">
        <v>11952</v>
      </c>
      <c r="BL9" s="25">
        <v>38.43</v>
      </c>
      <c r="BM9">
        <v>1</v>
      </c>
      <c r="BN9">
        <v>0</v>
      </c>
      <c r="BO9">
        <v>0</v>
      </c>
      <c r="BP9">
        <v>0</v>
      </c>
      <c r="BQ9">
        <v>0</v>
      </c>
      <c r="BR9">
        <v>0</v>
      </c>
      <c r="BS9">
        <v>0</v>
      </c>
      <c r="BT9" s="18">
        <v>0</v>
      </c>
      <c r="BU9">
        <v>0</v>
      </c>
      <c r="BV9">
        <v>0</v>
      </c>
      <c r="BW9">
        <v>1</v>
      </c>
      <c r="BX9" s="18">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9"/>
        <v>4.8610039505774397E-3</v>
      </c>
      <c r="J10" s="33">
        <f t="shared" si="10"/>
        <v>6.1309959737012752E-4</v>
      </c>
      <c r="K10" s="33">
        <f t="shared" si="11"/>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v>0</v>
      </c>
      <c r="BF10" s="18">
        <v>0</v>
      </c>
      <c r="BG10">
        <v>1</v>
      </c>
      <c r="BH10">
        <v>0</v>
      </c>
      <c r="BI10" s="18">
        <v>0</v>
      </c>
      <c r="BJ10">
        <v>10461</v>
      </c>
      <c r="BK10">
        <v>12348</v>
      </c>
      <c r="BL10" s="25">
        <v>38.43</v>
      </c>
      <c r="BM10">
        <v>1</v>
      </c>
      <c r="BN10">
        <v>0</v>
      </c>
      <c r="BO10">
        <v>0</v>
      </c>
      <c r="BP10">
        <v>0</v>
      </c>
      <c r="BQ10">
        <v>0</v>
      </c>
      <c r="BR10">
        <v>0</v>
      </c>
      <c r="BS10">
        <v>0</v>
      </c>
      <c r="BT10" s="18">
        <v>0</v>
      </c>
      <c r="BU10">
        <v>0</v>
      </c>
      <c r="BV10">
        <v>0</v>
      </c>
      <c r="BW10">
        <v>1</v>
      </c>
      <c r="BX10" s="18">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9"/>
        <v>2.4516902028434182E-2</v>
      </c>
      <c r="J11" s="33">
        <f t="shared" si="10"/>
        <v>6.1292255071085453E-4</v>
      </c>
      <c r="K11" s="33">
        <f t="shared" si="11"/>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v>0</v>
      </c>
      <c r="BF11" s="18">
        <v>0</v>
      </c>
      <c r="BG11">
        <v>1</v>
      </c>
      <c r="BH11">
        <v>0</v>
      </c>
      <c r="BI11" s="18">
        <v>0</v>
      </c>
      <c r="BJ11">
        <v>10461</v>
      </c>
      <c r="BK11">
        <v>12348</v>
      </c>
      <c r="BL11" s="25">
        <v>38.43</v>
      </c>
      <c r="BM11">
        <v>1</v>
      </c>
      <c r="BN11">
        <v>0</v>
      </c>
      <c r="BO11">
        <v>0</v>
      </c>
      <c r="BP11">
        <v>0</v>
      </c>
      <c r="BQ11">
        <v>0</v>
      </c>
      <c r="BR11">
        <v>0</v>
      </c>
      <c r="BS11">
        <v>0</v>
      </c>
      <c r="BT11" s="18">
        <v>0</v>
      </c>
      <c r="BU11">
        <v>0</v>
      </c>
      <c r="BV11">
        <v>0</v>
      </c>
      <c r="BW11">
        <v>1</v>
      </c>
      <c r="BX11" s="18">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9"/>
        <v>1.2074658764142871E-2</v>
      </c>
      <c r="J12" s="33">
        <f t="shared" si="10"/>
        <v>6.1306214475780594E-4</v>
      </c>
      <c r="K12" s="33">
        <f t="shared" si="11"/>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v>0</v>
      </c>
      <c r="BF12" s="18">
        <v>0</v>
      </c>
      <c r="BG12">
        <v>1</v>
      </c>
      <c r="BH12">
        <v>0</v>
      </c>
      <c r="BI12" s="18">
        <v>0</v>
      </c>
      <c r="BJ12">
        <v>10461</v>
      </c>
      <c r="BK12">
        <v>12348</v>
      </c>
      <c r="BL12" s="25">
        <v>38.43</v>
      </c>
      <c r="BM12">
        <v>1</v>
      </c>
      <c r="BN12">
        <v>0</v>
      </c>
      <c r="BO12">
        <v>0</v>
      </c>
      <c r="BP12">
        <v>0</v>
      </c>
      <c r="BQ12">
        <v>0</v>
      </c>
      <c r="BR12">
        <v>0</v>
      </c>
      <c r="BS12">
        <v>0</v>
      </c>
      <c r="BT12" s="18">
        <v>0</v>
      </c>
      <c r="BU12">
        <v>0</v>
      </c>
      <c r="BV12">
        <v>0</v>
      </c>
      <c r="BW12">
        <v>1</v>
      </c>
      <c r="BX12" s="18">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9"/>
        <v>7.143225362542467E-3</v>
      </c>
      <c r="J13" s="33">
        <f t="shared" si="10"/>
        <v>6.1309119878108964E-4</v>
      </c>
      <c r="K13" s="33">
        <f t="shared" si="11"/>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v>0</v>
      </c>
      <c r="BF13" s="18">
        <v>0</v>
      </c>
      <c r="BG13">
        <v>1</v>
      </c>
      <c r="BH13">
        <v>0</v>
      </c>
      <c r="BI13" s="18">
        <v>0</v>
      </c>
      <c r="BJ13">
        <v>10461</v>
      </c>
      <c r="BK13">
        <v>12348</v>
      </c>
      <c r="BL13" s="25">
        <v>38.43</v>
      </c>
      <c r="BM13">
        <v>1</v>
      </c>
      <c r="BN13">
        <v>0</v>
      </c>
      <c r="BO13">
        <v>0</v>
      </c>
      <c r="BP13">
        <v>0</v>
      </c>
      <c r="BQ13">
        <v>0</v>
      </c>
      <c r="BR13">
        <v>0</v>
      </c>
      <c r="BS13">
        <v>0</v>
      </c>
      <c r="BT13" s="18">
        <v>0</v>
      </c>
      <c r="BU13">
        <v>0</v>
      </c>
      <c r="BV13">
        <v>0</v>
      </c>
      <c r="BW13">
        <v>1</v>
      </c>
      <c r="BX13" s="18">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9"/>
        <v>3.7169345478992978E-3</v>
      </c>
      <c r="J14" s="33">
        <f t="shared" si="10"/>
        <v>6.1310260583905939E-4</v>
      </c>
      <c r="K14" s="33">
        <f t="shared" si="11"/>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v>0</v>
      </c>
      <c r="BF14" s="18">
        <v>0</v>
      </c>
      <c r="BG14">
        <v>1</v>
      </c>
      <c r="BH14">
        <v>0</v>
      </c>
      <c r="BI14" s="18">
        <v>0</v>
      </c>
      <c r="BJ14">
        <v>11381</v>
      </c>
      <c r="BK14">
        <v>12488</v>
      </c>
      <c r="BL14" s="25">
        <v>38.43</v>
      </c>
      <c r="BM14">
        <v>1</v>
      </c>
      <c r="BN14">
        <v>0</v>
      </c>
      <c r="BO14">
        <v>0</v>
      </c>
      <c r="BP14">
        <v>0</v>
      </c>
      <c r="BQ14">
        <v>0</v>
      </c>
      <c r="BR14">
        <v>0</v>
      </c>
      <c r="BS14">
        <v>0</v>
      </c>
      <c r="BT14" s="18">
        <v>0</v>
      </c>
      <c r="BU14">
        <v>0</v>
      </c>
      <c r="BV14">
        <v>0</v>
      </c>
      <c r="BW14">
        <v>1</v>
      </c>
      <c r="BX14" s="18">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9"/>
        <v>3.2355092403702469E-2</v>
      </c>
      <c r="J15" s="33">
        <f t="shared" si="10"/>
        <v>6.1278584097921337E-4</v>
      </c>
      <c r="K15" s="33">
        <f t="shared" si="11"/>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v>0</v>
      </c>
      <c r="BF15" s="18">
        <v>0</v>
      </c>
      <c r="BG15">
        <v>1</v>
      </c>
      <c r="BH15">
        <v>0</v>
      </c>
      <c r="BI15" s="18">
        <v>0</v>
      </c>
      <c r="BJ15">
        <v>11381</v>
      </c>
      <c r="BK15">
        <v>12488</v>
      </c>
      <c r="BL15" s="25">
        <v>38.43</v>
      </c>
      <c r="BM15">
        <v>1</v>
      </c>
      <c r="BN15">
        <v>0</v>
      </c>
      <c r="BO15">
        <v>0</v>
      </c>
      <c r="BP15">
        <v>0</v>
      </c>
      <c r="BQ15">
        <v>0</v>
      </c>
      <c r="BR15">
        <v>0</v>
      </c>
      <c r="BS15">
        <v>0</v>
      </c>
      <c r="BT15" s="18">
        <v>0</v>
      </c>
      <c r="BU15">
        <v>0</v>
      </c>
      <c r="BV15">
        <v>0</v>
      </c>
      <c r="BW15">
        <v>1</v>
      </c>
      <c r="BX15" s="18">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9"/>
        <v>1.7164462504784629E-2</v>
      </c>
      <c r="J16" s="33">
        <f t="shared" si="10"/>
        <v>6.1301651802802247E-4</v>
      </c>
      <c r="K16" s="33">
        <f t="shared" si="11"/>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v>0</v>
      </c>
      <c r="BF16" s="18">
        <v>0</v>
      </c>
      <c r="BG16">
        <v>1</v>
      </c>
      <c r="BH16">
        <v>0</v>
      </c>
      <c r="BI16" s="18">
        <v>0</v>
      </c>
      <c r="BJ16">
        <v>11381</v>
      </c>
      <c r="BK16">
        <v>12488</v>
      </c>
      <c r="BL16" s="25">
        <v>38.43</v>
      </c>
      <c r="BM16">
        <v>1</v>
      </c>
      <c r="BN16">
        <v>0</v>
      </c>
      <c r="BO16">
        <v>0</v>
      </c>
      <c r="BP16">
        <v>0</v>
      </c>
      <c r="BQ16">
        <v>0</v>
      </c>
      <c r="BR16">
        <v>0</v>
      </c>
      <c r="BS16">
        <v>0</v>
      </c>
      <c r="BT16" s="18">
        <v>0</v>
      </c>
      <c r="BU16">
        <v>0</v>
      </c>
      <c r="BV16">
        <v>0</v>
      </c>
      <c r="BW16">
        <v>1</v>
      </c>
      <c r="BX16" s="18">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9"/>
        <v>1.3389610361672894E-2</v>
      </c>
      <c r="J17" s="33">
        <f t="shared" si="10"/>
        <v>6.1305187920250516E-4</v>
      </c>
      <c r="K17" s="33">
        <f t="shared" si="11"/>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v>0</v>
      </c>
      <c r="BF17" s="18">
        <v>0</v>
      </c>
      <c r="BG17">
        <v>1</v>
      </c>
      <c r="BH17">
        <v>0</v>
      </c>
      <c r="BI17" s="18">
        <v>0</v>
      </c>
      <c r="BJ17">
        <v>11381</v>
      </c>
      <c r="BK17">
        <v>12488</v>
      </c>
      <c r="BL17" s="25">
        <v>38.43</v>
      </c>
      <c r="BM17">
        <v>1</v>
      </c>
      <c r="BN17">
        <v>0</v>
      </c>
      <c r="BO17">
        <v>0</v>
      </c>
      <c r="BP17">
        <v>0</v>
      </c>
      <c r="BQ17">
        <v>0</v>
      </c>
      <c r="BR17">
        <v>0</v>
      </c>
      <c r="BS17">
        <v>0</v>
      </c>
      <c r="BT17" s="18">
        <v>0</v>
      </c>
      <c r="BU17">
        <v>0</v>
      </c>
      <c r="BV17">
        <v>0</v>
      </c>
      <c r="BW17">
        <v>1</v>
      </c>
      <c r="BX17" s="18">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9"/>
        <v>1.7612813163404189E-3</v>
      </c>
      <c r="J18" s="33">
        <f t="shared" si="10"/>
        <v>6.2822773066919418E-4</v>
      </c>
      <c r="K18" s="33">
        <f t="shared" si="11"/>
        <v>1591.7794633719693</v>
      </c>
      <c r="L18" s="8">
        <v>1</v>
      </c>
      <c r="M18" s="9">
        <v>0</v>
      </c>
      <c r="N18" s="8">
        <v>0</v>
      </c>
      <c r="O18" s="9">
        <v>0</v>
      </c>
      <c r="P18" s="9">
        <v>0</v>
      </c>
      <c r="Q18" s="9">
        <v>1</v>
      </c>
      <c r="R18" s="9">
        <v>0</v>
      </c>
      <c r="S18" s="8">
        <f t="shared" ref="S18:S29" si="12">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v>0</v>
      </c>
      <c r="BF18" s="18">
        <v>0</v>
      </c>
      <c r="BG18">
        <v>1</v>
      </c>
      <c r="BH18">
        <v>0</v>
      </c>
      <c r="BI18" s="18">
        <v>0</v>
      </c>
      <c r="BJ18">
        <v>10169</v>
      </c>
      <c r="BK18">
        <v>11952</v>
      </c>
      <c r="BL18" s="25">
        <v>38.43</v>
      </c>
      <c r="BM18">
        <v>1</v>
      </c>
      <c r="BN18">
        <v>0</v>
      </c>
      <c r="BO18">
        <v>0</v>
      </c>
      <c r="BP18">
        <v>0</v>
      </c>
      <c r="BQ18">
        <v>0</v>
      </c>
      <c r="BR18">
        <v>0</v>
      </c>
      <c r="BS18">
        <v>0</v>
      </c>
      <c r="BT18" s="18">
        <v>0</v>
      </c>
      <c r="BU18">
        <v>0</v>
      </c>
      <c r="BV18">
        <v>0</v>
      </c>
      <c r="BW18">
        <v>1</v>
      </c>
      <c r="BX18" s="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9"/>
        <v>1.5452580913624531E-2</v>
      </c>
      <c r="J19" s="33">
        <f t="shared" si="10"/>
        <v>6.2815369567579388E-4</v>
      </c>
      <c r="K19" s="33">
        <f t="shared" si="11"/>
        <v>1591.9670725238007</v>
      </c>
      <c r="L19" s="8">
        <v>1</v>
      </c>
      <c r="M19" s="9">
        <v>0</v>
      </c>
      <c r="N19" s="8">
        <v>0</v>
      </c>
      <c r="O19" s="9">
        <v>0</v>
      </c>
      <c r="P19" s="9">
        <v>0</v>
      </c>
      <c r="Q19" s="9">
        <v>1</v>
      </c>
      <c r="R19" s="9">
        <v>0</v>
      </c>
      <c r="S19" s="8">
        <f t="shared" si="12"/>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v>0</v>
      </c>
      <c r="BF19" s="18">
        <v>0</v>
      </c>
      <c r="BG19">
        <v>1</v>
      </c>
      <c r="BH19">
        <v>0</v>
      </c>
      <c r="BI19" s="18">
        <v>0</v>
      </c>
      <c r="BJ19">
        <v>10169</v>
      </c>
      <c r="BK19">
        <v>11952</v>
      </c>
      <c r="BL19" s="25">
        <v>38.43</v>
      </c>
      <c r="BM19">
        <v>1</v>
      </c>
      <c r="BN19">
        <v>0</v>
      </c>
      <c r="BO19">
        <v>0</v>
      </c>
      <c r="BP19">
        <v>0</v>
      </c>
      <c r="BQ19">
        <v>0</v>
      </c>
      <c r="BR19">
        <v>0</v>
      </c>
      <c r="BS19">
        <v>0</v>
      </c>
      <c r="BT19" s="18">
        <v>0</v>
      </c>
      <c r="BU19">
        <v>0</v>
      </c>
      <c r="BV19">
        <v>0</v>
      </c>
      <c r="BW19">
        <v>1</v>
      </c>
      <c r="BX19" s="18">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9"/>
        <v>6.5766270255624027E-3</v>
      </c>
      <c r="J20" s="33">
        <f t="shared" si="10"/>
        <v>6.2821511885969216E-4</v>
      </c>
      <c r="K20" s="33">
        <f t="shared" si="11"/>
        <v>1591.8114193353942</v>
      </c>
      <c r="L20" s="8">
        <v>1</v>
      </c>
      <c r="M20" s="9">
        <v>0</v>
      </c>
      <c r="N20" s="8">
        <v>0</v>
      </c>
      <c r="O20" s="9">
        <v>0</v>
      </c>
      <c r="P20" s="9">
        <v>0</v>
      </c>
      <c r="Q20" s="9">
        <v>1</v>
      </c>
      <c r="R20" s="9">
        <v>0</v>
      </c>
      <c r="S20" s="8">
        <f t="shared" si="12"/>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v>0</v>
      </c>
      <c r="BF20" s="18">
        <v>0</v>
      </c>
      <c r="BG20">
        <v>1</v>
      </c>
      <c r="BH20">
        <v>0</v>
      </c>
      <c r="BI20" s="18">
        <v>0</v>
      </c>
      <c r="BJ20">
        <v>10169</v>
      </c>
      <c r="BK20">
        <v>11952</v>
      </c>
      <c r="BL20" s="25">
        <v>38.43</v>
      </c>
      <c r="BM20">
        <v>1</v>
      </c>
      <c r="BN20">
        <v>0</v>
      </c>
      <c r="BO20">
        <v>0</v>
      </c>
      <c r="BP20">
        <v>0</v>
      </c>
      <c r="BQ20">
        <v>0</v>
      </c>
      <c r="BR20">
        <v>0</v>
      </c>
      <c r="BS20">
        <v>0</v>
      </c>
      <c r="BT20" s="18">
        <v>0</v>
      </c>
      <c r="BU20">
        <v>0</v>
      </c>
      <c r="BV20">
        <v>0</v>
      </c>
      <c r="BW20">
        <v>1</v>
      </c>
      <c r="BX20" s="18">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9"/>
        <v>-8.5381552545522757E-4</v>
      </c>
      <c r="J21" s="33">
        <f t="shared" si="10"/>
        <v>6.2822847609810949E-4</v>
      </c>
      <c r="K21" s="33">
        <f t="shared" si="11"/>
        <v>1591.7775746348555</v>
      </c>
      <c r="L21" s="8">
        <v>1</v>
      </c>
      <c r="M21" s="9">
        <v>0</v>
      </c>
      <c r="N21" s="8">
        <v>0</v>
      </c>
      <c r="O21" s="9">
        <v>0</v>
      </c>
      <c r="P21" s="9">
        <v>0</v>
      </c>
      <c r="Q21" s="9">
        <v>1</v>
      </c>
      <c r="R21" s="9">
        <v>0</v>
      </c>
      <c r="S21" s="8">
        <f t="shared" si="12"/>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v>0</v>
      </c>
      <c r="BF21" s="18">
        <v>0</v>
      </c>
      <c r="BG21">
        <v>1</v>
      </c>
      <c r="BH21">
        <v>0</v>
      </c>
      <c r="BI21" s="18">
        <v>0</v>
      </c>
      <c r="BJ21">
        <v>10169</v>
      </c>
      <c r="BK21">
        <v>11952</v>
      </c>
      <c r="BL21" s="25">
        <v>38.43</v>
      </c>
      <c r="BM21">
        <v>1</v>
      </c>
      <c r="BN21">
        <v>0</v>
      </c>
      <c r="BO21">
        <v>0</v>
      </c>
      <c r="BP21">
        <v>0</v>
      </c>
      <c r="BQ21">
        <v>0</v>
      </c>
      <c r="BR21">
        <v>0</v>
      </c>
      <c r="BS21">
        <v>0</v>
      </c>
      <c r="BT21" s="18">
        <v>0</v>
      </c>
      <c r="BU21">
        <v>0</v>
      </c>
      <c r="BV21">
        <v>0</v>
      </c>
      <c r="BW21">
        <v>1</v>
      </c>
      <c r="BX21" s="18">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9"/>
        <v>2.7971025782461555E-3</v>
      </c>
      <c r="J22" s="33">
        <f t="shared" si="10"/>
        <v>6.2822624752052704E-4</v>
      </c>
      <c r="K22" s="33">
        <f t="shared" si="11"/>
        <v>1591.7832213263669</v>
      </c>
      <c r="L22" s="8">
        <v>1</v>
      </c>
      <c r="M22" s="9">
        <v>0</v>
      </c>
      <c r="N22" s="8">
        <v>0</v>
      </c>
      <c r="O22" s="9">
        <v>0</v>
      </c>
      <c r="P22" s="9">
        <v>0</v>
      </c>
      <c r="Q22" s="9">
        <v>1</v>
      </c>
      <c r="R22" s="9">
        <v>0</v>
      </c>
      <c r="S22" s="8">
        <f t="shared" si="12"/>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v>0</v>
      </c>
      <c r="BF22" s="18">
        <v>0</v>
      </c>
      <c r="BG22">
        <v>1</v>
      </c>
      <c r="BH22">
        <v>0</v>
      </c>
      <c r="BI22" s="18">
        <v>0</v>
      </c>
      <c r="BJ22">
        <v>10461</v>
      </c>
      <c r="BK22">
        <v>12348</v>
      </c>
      <c r="BL22" s="25">
        <v>38.43</v>
      </c>
      <c r="BM22">
        <v>1</v>
      </c>
      <c r="BN22">
        <v>0</v>
      </c>
      <c r="BO22">
        <v>0</v>
      </c>
      <c r="BP22">
        <v>0</v>
      </c>
      <c r="BQ22">
        <v>0</v>
      </c>
      <c r="BR22">
        <v>0</v>
      </c>
      <c r="BS22">
        <v>0</v>
      </c>
      <c r="BT22" s="18">
        <v>0</v>
      </c>
      <c r="BU22">
        <v>0</v>
      </c>
      <c r="BV22">
        <v>0</v>
      </c>
      <c r="BW22">
        <v>1</v>
      </c>
      <c r="BX22" s="18">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9"/>
        <v>1.8048164603853674E-2</v>
      </c>
      <c r="J23" s="33">
        <f t="shared" si="10"/>
        <v>6.2812637832437379E-4</v>
      </c>
      <c r="K23" s="33">
        <f t="shared" si="11"/>
        <v>1592.0363075145128</v>
      </c>
      <c r="L23" s="8">
        <v>1</v>
      </c>
      <c r="M23" s="9">
        <v>0</v>
      </c>
      <c r="N23" s="8">
        <v>0</v>
      </c>
      <c r="O23" s="9">
        <v>0</v>
      </c>
      <c r="P23" s="9">
        <v>0</v>
      </c>
      <c r="Q23" s="9">
        <v>1</v>
      </c>
      <c r="R23" s="9">
        <v>0</v>
      </c>
      <c r="S23" s="8">
        <f t="shared" si="12"/>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v>0</v>
      </c>
      <c r="BF23" s="18">
        <v>0</v>
      </c>
      <c r="BG23">
        <v>1</v>
      </c>
      <c r="BH23">
        <v>0</v>
      </c>
      <c r="BI23" s="18">
        <v>0</v>
      </c>
      <c r="BJ23">
        <v>10461</v>
      </c>
      <c r="BK23">
        <v>12348</v>
      </c>
      <c r="BL23" s="25">
        <v>38.43</v>
      </c>
      <c r="BM23">
        <v>1</v>
      </c>
      <c r="BN23">
        <v>0</v>
      </c>
      <c r="BO23">
        <v>0</v>
      </c>
      <c r="BP23">
        <v>0</v>
      </c>
      <c r="BQ23">
        <v>0</v>
      </c>
      <c r="BR23">
        <v>0</v>
      </c>
      <c r="BS23">
        <v>0</v>
      </c>
      <c r="BT23" s="18">
        <v>0</v>
      </c>
      <c r="BU23">
        <v>0</v>
      </c>
      <c r="BV23">
        <v>0</v>
      </c>
      <c r="BW23">
        <v>1</v>
      </c>
      <c r="BX23" s="18">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9"/>
        <v>8.3760888905969871E-3</v>
      </c>
      <c r="J24" s="33">
        <f t="shared" si="10"/>
        <v>6.2820666679477377E-4</v>
      </c>
      <c r="K24" s="33">
        <f t="shared" si="11"/>
        <v>1591.832836003133</v>
      </c>
      <c r="L24" s="8">
        <v>1</v>
      </c>
      <c r="M24" s="9">
        <v>0</v>
      </c>
      <c r="N24" s="8">
        <v>0</v>
      </c>
      <c r="O24" s="9">
        <v>0</v>
      </c>
      <c r="P24" s="9">
        <v>0</v>
      </c>
      <c r="Q24" s="9">
        <v>1</v>
      </c>
      <c r="R24" s="9">
        <v>0</v>
      </c>
      <c r="S24" s="8">
        <f t="shared" si="12"/>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v>0</v>
      </c>
      <c r="BF24" s="18">
        <v>0</v>
      </c>
      <c r="BG24">
        <v>1</v>
      </c>
      <c r="BH24">
        <v>0</v>
      </c>
      <c r="BI24" s="18">
        <v>0</v>
      </c>
      <c r="BJ24">
        <v>10461</v>
      </c>
      <c r="BK24">
        <v>12348</v>
      </c>
      <c r="BL24" s="25">
        <v>38.43</v>
      </c>
      <c r="BM24">
        <v>1</v>
      </c>
      <c r="BN24">
        <v>0</v>
      </c>
      <c r="BO24">
        <v>0</v>
      </c>
      <c r="BP24">
        <v>0</v>
      </c>
      <c r="BQ24">
        <v>0</v>
      </c>
      <c r="BR24">
        <v>0</v>
      </c>
      <c r="BS24">
        <v>0</v>
      </c>
      <c r="BT24" s="18">
        <v>0</v>
      </c>
      <c r="BU24">
        <v>0</v>
      </c>
      <c r="BV24">
        <v>0</v>
      </c>
      <c r="BW24">
        <v>1</v>
      </c>
      <c r="BX24" s="18">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9"/>
        <v>4.2015208506981754E-3</v>
      </c>
      <c r="J25" s="33">
        <f t="shared" si="10"/>
        <v>6.2822316007257967E-4</v>
      </c>
      <c r="K25" s="33">
        <f t="shared" si="11"/>
        <v>1591.7910442596042</v>
      </c>
      <c r="L25" s="8">
        <v>1</v>
      </c>
      <c r="M25" s="9">
        <v>0</v>
      </c>
      <c r="N25" s="8">
        <v>0</v>
      </c>
      <c r="O25" s="9">
        <v>0</v>
      </c>
      <c r="P25" s="9">
        <v>0</v>
      </c>
      <c r="Q25" s="9">
        <v>1</v>
      </c>
      <c r="R25" s="9">
        <v>0</v>
      </c>
      <c r="S25" s="8">
        <f t="shared" si="12"/>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v>0</v>
      </c>
      <c r="BF25" s="18">
        <v>0</v>
      </c>
      <c r="BG25">
        <v>1</v>
      </c>
      <c r="BH25">
        <v>0</v>
      </c>
      <c r="BI25" s="18">
        <v>0</v>
      </c>
      <c r="BJ25">
        <v>10461</v>
      </c>
      <c r="BK25">
        <v>12348</v>
      </c>
      <c r="BL25" s="25">
        <v>38.43</v>
      </c>
      <c r="BM25">
        <v>1</v>
      </c>
      <c r="BN25">
        <v>0</v>
      </c>
      <c r="BO25">
        <v>0</v>
      </c>
      <c r="BP25">
        <v>0</v>
      </c>
      <c r="BQ25">
        <v>0</v>
      </c>
      <c r="BR25">
        <v>0</v>
      </c>
      <c r="BS25">
        <v>0</v>
      </c>
      <c r="BT25" s="18">
        <v>0</v>
      </c>
      <c r="BU25">
        <v>0</v>
      </c>
      <c r="BV25">
        <v>0</v>
      </c>
      <c r="BW25">
        <v>1</v>
      </c>
      <c r="BX25" s="18">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9"/>
        <v>2.5700180332965724E-3</v>
      </c>
      <c r="J26" s="33">
        <f t="shared" si="10"/>
        <v>6.2822663036138425E-4</v>
      </c>
      <c r="K26" s="33">
        <f t="shared" si="11"/>
        <v>1591.7822512948153</v>
      </c>
      <c r="L26" s="8">
        <v>1</v>
      </c>
      <c r="M26" s="9">
        <v>0</v>
      </c>
      <c r="N26" s="8">
        <v>0</v>
      </c>
      <c r="O26" s="9">
        <v>0</v>
      </c>
      <c r="P26" s="9">
        <v>0</v>
      </c>
      <c r="Q26" s="9">
        <v>1</v>
      </c>
      <c r="R26" s="9">
        <v>0</v>
      </c>
      <c r="S26" s="8">
        <f t="shared" si="12"/>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v>0</v>
      </c>
      <c r="BF26" s="18">
        <v>0</v>
      </c>
      <c r="BG26">
        <v>1</v>
      </c>
      <c r="BH26">
        <v>0</v>
      </c>
      <c r="BI26" s="18">
        <v>0</v>
      </c>
      <c r="BJ26">
        <v>11381</v>
      </c>
      <c r="BK26">
        <v>12488</v>
      </c>
      <c r="BL26" s="25">
        <v>38.43</v>
      </c>
      <c r="BM26">
        <v>1</v>
      </c>
      <c r="BN26">
        <v>0</v>
      </c>
      <c r="BO26">
        <v>0</v>
      </c>
      <c r="BP26">
        <v>0</v>
      </c>
      <c r="BQ26">
        <v>0</v>
      </c>
      <c r="BR26">
        <v>0</v>
      </c>
      <c r="BS26">
        <v>0</v>
      </c>
      <c r="BT26" s="18">
        <v>0</v>
      </c>
      <c r="BU26">
        <v>0</v>
      </c>
      <c r="BV26">
        <v>0</v>
      </c>
      <c r="BW26">
        <v>1</v>
      </c>
      <c r="BX26" s="18">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9"/>
        <v>2.238217816477785E-2</v>
      </c>
      <c r="J27" s="33">
        <f t="shared" si="10"/>
        <v>6.2807132605243962E-4</v>
      </c>
      <c r="K27" s="33">
        <f t="shared" si="11"/>
        <v>1592.1758541107272</v>
      </c>
      <c r="L27" s="8">
        <v>1</v>
      </c>
      <c r="M27" s="9">
        <v>0</v>
      </c>
      <c r="N27" s="8">
        <v>0</v>
      </c>
      <c r="O27" s="9">
        <v>0</v>
      </c>
      <c r="P27" s="9">
        <v>0</v>
      </c>
      <c r="Q27" s="9">
        <v>1</v>
      </c>
      <c r="R27" s="9">
        <v>0</v>
      </c>
      <c r="S27" s="8">
        <f t="shared" si="12"/>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v>0</v>
      </c>
      <c r="BF27" s="18">
        <v>0</v>
      </c>
      <c r="BG27">
        <v>1</v>
      </c>
      <c r="BH27">
        <v>0</v>
      </c>
      <c r="BI27" s="18">
        <v>0</v>
      </c>
      <c r="BJ27">
        <v>11381</v>
      </c>
      <c r="BK27">
        <v>12488</v>
      </c>
      <c r="BL27" s="25">
        <v>38.43</v>
      </c>
      <c r="BM27">
        <v>1</v>
      </c>
      <c r="BN27">
        <v>0</v>
      </c>
      <c r="BO27">
        <v>0</v>
      </c>
      <c r="BP27">
        <v>0</v>
      </c>
      <c r="BQ27">
        <v>0</v>
      </c>
      <c r="BR27">
        <v>0</v>
      </c>
      <c r="BS27">
        <v>0</v>
      </c>
      <c r="BT27" s="18">
        <v>0</v>
      </c>
      <c r="BU27">
        <v>0</v>
      </c>
      <c r="BV27">
        <v>0</v>
      </c>
      <c r="BW27">
        <v>1</v>
      </c>
      <c r="BX27" s="18">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9"/>
        <v>1.2504699881534159E-2</v>
      </c>
      <c r="J28" s="33">
        <f t="shared" si="10"/>
        <v>6.2817958588554644E-4</v>
      </c>
      <c r="K28" s="33">
        <f t="shared" si="11"/>
        <v>1591.9014601378638</v>
      </c>
      <c r="L28" s="8">
        <v>1</v>
      </c>
      <c r="M28" s="9">
        <v>0</v>
      </c>
      <c r="N28" s="8">
        <v>0</v>
      </c>
      <c r="O28" s="9">
        <v>0</v>
      </c>
      <c r="P28" s="9">
        <v>0</v>
      </c>
      <c r="Q28" s="9">
        <v>1</v>
      </c>
      <c r="R28" s="9">
        <v>0</v>
      </c>
      <c r="S28" s="8">
        <f t="shared" si="12"/>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v>0</v>
      </c>
      <c r="BF28" s="18">
        <v>0</v>
      </c>
      <c r="BG28">
        <v>1</v>
      </c>
      <c r="BH28">
        <v>0</v>
      </c>
      <c r="BI28" s="18">
        <v>0</v>
      </c>
      <c r="BJ28">
        <v>11381</v>
      </c>
      <c r="BK28">
        <v>12488</v>
      </c>
      <c r="BL28" s="25">
        <v>38.43</v>
      </c>
      <c r="BM28">
        <v>1</v>
      </c>
      <c r="BN28">
        <v>0</v>
      </c>
      <c r="BO28">
        <v>0</v>
      </c>
      <c r="BP28">
        <v>0</v>
      </c>
      <c r="BQ28">
        <v>0</v>
      </c>
      <c r="BR28">
        <v>0</v>
      </c>
      <c r="BS28">
        <v>0</v>
      </c>
      <c r="BT28" s="18">
        <v>0</v>
      </c>
      <c r="BU28">
        <v>0</v>
      </c>
      <c r="BV28">
        <v>0</v>
      </c>
      <c r="BW28">
        <v>1</v>
      </c>
      <c r="BX28" s="1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9"/>
        <v>6.6147340006580835E-3</v>
      </c>
      <c r="J29" s="33">
        <f t="shared" si="10"/>
        <v>6.2821496095635441E-4</v>
      </c>
      <c r="K29" s="33">
        <f t="shared" si="11"/>
        <v>1591.8118194410138</v>
      </c>
      <c r="L29" s="8">
        <v>1</v>
      </c>
      <c r="M29" s="9">
        <v>0</v>
      </c>
      <c r="N29" s="8">
        <v>0</v>
      </c>
      <c r="O29" s="9">
        <v>0</v>
      </c>
      <c r="P29" s="9">
        <v>0</v>
      </c>
      <c r="Q29" s="9">
        <v>1</v>
      </c>
      <c r="R29" s="9">
        <v>0</v>
      </c>
      <c r="S29" s="8">
        <f t="shared" si="12"/>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v>0</v>
      </c>
      <c r="BF29" s="18">
        <v>0</v>
      </c>
      <c r="BG29">
        <v>1</v>
      </c>
      <c r="BH29">
        <v>0</v>
      </c>
      <c r="BI29" s="18">
        <v>0</v>
      </c>
      <c r="BJ29">
        <v>11381</v>
      </c>
      <c r="BK29">
        <v>12488</v>
      </c>
      <c r="BL29" s="25">
        <v>38.43</v>
      </c>
      <c r="BM29">
        <v>1</v>
      </c>
      <c r="BN29">
        <v>0</v>
      </c>
      <c r="BO29">
        <v>0</v>
      </c>
      <c r="BP29">
        <v>0</v>
      </c>
      <c r="BQ29">
        <v>0</v>
      </c>
      <c r="BR29">
        <v>0</v>
      </c>
      <c r="BS29">
        <v>0</v>
      </c>
      <c r="BT29" s="18">
        <v>0</v>
      </c>
      <c r="BU29">
        <v>0</v>
      </c>
      <c r="BV29">
        <v>0</v>
      </c>
      <c r="BW29">
        <v>1</v>
      </c>
      <c r="BX29" s="18">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9"/>
        <v>1.8666842736476272E-2</v>
      </c>
      <c r="J30" s="33">
        <f t="shared" si="10"/>
        <v>3.5200332017355255E-3</v>
      </c>
      <c r="K30" s="33">
        <f t="shared" si="11"/>
        <v>284.08822948231216</v>
      </c>
      <c r="L30" s="8">
        <v>1</v>
      </c>
      <c r="M30" s="9">
        <v>0</v>
      </c>
      <c r="N30" s="8">
        <v>0</v>
      </c>
      <c r="O30" s="9">
        <v>0</v>
      </c>
      <c r="P30" s="9">
        <v>0</v>
      </c>
      <c r="Q30" s="9">
        <v>1</v>
      </c>
      <c r="R30" s="9">
        <v>0</v>
      </c>
      <c r="S30" s="8">
        <f t="shared" ref="S30:S41" si="13">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v>0</v>
      </c>
      <c r="BF30" s="18">
        <v>0</v>
      </c>
      <c r="BG30">
        <v>1</v>
      </c>
      <c r="BH30">
        <v>0</v>
      </c>
      <c r="BI30" s="18">
        <v>0</v>
      </c>
      <c r="BJ30">
        <v>10169</v>
      </c>
      <c r="BK30">
        <v>11952</v>
      </c>
      <c r="BL30" s="25">
        <v>27.56</v>
      </c>
      <c r="BM30">
        <v>1</v>
      </c>
      <c r="BN30">
        <v>0</v>
      </c>
      <c r="BO30">
        <v>0</v>
      </c>
      <c r="BP30">
        <v>0</v>
      </c>
      <c r="BQ30">
        <v>0</v>
      </c>
      <c r="BR30">
        <v>0</v>
      </c>
      <c r="BS30">
        <v>0</v>
      </c>
      <c r="BT30" s="18">
        <v>0</v>
      </c>
      <c r="BU30">
        <v>1</v>
      </c>
      <c r="BV30">
        <v>0</v>
      </c>
      <c r="BW30">
        <v>0</v>
      </c>
      <c r="BX30" s="18">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9"/>
        <v>7.7513693121021063E-2</v>
      </c>
      <c r="J31" s="33">
        <f t="shared" si="10"/>
        <v>3.5100540281217075E-3</v>
      </c>
      <c r="K31" s="33">
        <f t="shared" si="11"/>
        <v>284.89589960389236</v>
      </c>
      <c r="L31" s="8">
        <v>1</v>
      </c>
      <c r="M31" s="9">
        <v>0</v>
      </c>
      <c r="N31" s="8">
        <v>0</v>
      </c>
      <c r="O31" s="9">
        <v>0</v>
      </c>
      <c r="P31" s="9">
        <v>0</v>
      </c>
      <c r="Q31" s="9">
        <v>1</v>
      </c>
      <c r="R31" s="9">
        <v>0</v>
      </c>
      <c r="S31" s="8">
        <f t="shared" si="13"/>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v>0</v>
      </c>
      <c r="BF31" s="18">
        <v>0</v>
      </c>
      <c r="BG31">
        <v>1</v>
      </c>
      <c r="BH31">
        <v>0</v>
      </c>
      <c r="BI31" s="18">
        <v>0</v>
      </c>
      <c r="BJ31">
        <v>10169</v>
      </c>
      <c r="BK31">
        <v>11952</v>
      </c>
      <c r="BL31" s="25">
        <v>27.56</v>
      </c>
      <c r="BM31">
        <v>1</v>
      </c>
      <c r="BN31">
        <v>0</v>
      </c>
      <c r="BO31">
        <v>0</v>
      </c>
      <c r="BP31">
        <v>0</v>
      </c>
      <c r="BQ31">
        <v>0</v>
      </c>
      <c r="BR31">
        <v>0</v>
      </c>
      <c r="BS31">
        <v>0</v>
      </c>
      <c r="BT31" s="18">
        <v>0</v>
      </c>
      <c r="BU31">
        <v>1</v>
      </c>
      <c r="BV31">
        <v>0</v>
      </c>
      <c r="BW31">
        <v>0</v>
      </c>
      <c r="BX31" s="18">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9"/>
        <v>3.7094314294398287E-2</v>
      </c>
      <c r="J32" s="33">
        <f t="shared" si="10"/>
        <v>3.5182236237986022E-3</v>
      </c>
      <c r="K32" s="33">
        <f t="shared" si="11"/>
        <v>284.23434861718846</v>
      </c>
      <c r="L32" s="8">
        <v>1</v>
      </c>
      <c r="M32" s="9">
        <v>0</v>
      </c>
      <c r="N32" s="8">
        <v>0</v>
      </c>
      <c r="O32" s="9">
        <v>0</v>
      </c>
      <c r="P32" s="9">
        <v>0</v>
      </c>
      <c r="Q32" s="9">
        <v>1</v>
      </c>
      <c r="R32" s="9">
        <v>0</v>
      </c>
      <c r="S32" s="8">
        <f t="shared" si="13"/>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v>0</v>
      </c>
      <c r="BF32" s="18">
        <v>0</v>
      </c>
      <c r="BG32">
        <v>1</v>
      </c>
      <c r="BH32">
        <v>0</v>
      </c>
      <c r="BI32" s="18">
        <v>0</v>
      </c>
      <c r="BJ32">
        <v>10169</v>
      </c>
      <c r="BK32">
        <v>11952</v>
      </c>
      <c r="BL32" s="25">
        <v>27.56</v>
      </c>
      <c r="BM32">
        <v>1</v>
      </c>
      <c r="BN32">
        <v>0</v>
      </c>
      <c r="BO32">
        <v>0</v>
      </c>
      <c r="BP32">
        <v>0</v>
      </c>
      <c r="BQ32">
        <v>0</v>
      </c>
      <c r="BR32">
        <v>0</v>
      </c>
      <c r="BS32">
        <v>0</v>
      </c>
      <c r="BT32" s="18">
        <v>0</v>
      </c>
      <c r="BU32">
        <v>1</v>
      </c>
      <c r="BV32">
        <v>0</v>
      </c>
      <c r="BW32">
        <v>0</v>
      </c>
      <c r="BX32" s="18">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9"/>
        <v>1.4130415467976604E-2</v>
      </c>
      <c r="J33" s="33">
        <f t="shared" si="10"/>
        <v>3.5202951427189097E-3</v>
      </c>
      <c r="K33" s="33">
        <f t="shared" si="11"/>
        <v>284.06709081433644</v>
      </c>
      <c r="L33" s="8">
        <v>1</v>
      </c>
      <c r="M33" s="9">
        <v>0</v>
      </c>
      <c r="N33" s="8">
        <v>0</v>
      </c>
      <c r="O33" s="9">
        <v>0</v>
      </c>
      <c r="P33" s="9">
        <v>0</v>
      </c>
      <c r="Q33" s="9">
        <v>1</v>
      </c>
      <c r="R33" s="9">
        <v>0</v>
      </c>
      <c r="S33" s="8">
        <f t="shared" si="13"/>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v>0</v>
      </c>
      <c r="BF33" s="18">
        <v>0</v>
      </c>
      <c r="BG33">
        <v>1</v>
      </c>
      <c r="BH33">
        <v>0</v>
      </c>
      <c r="BI33" s="18">
        <v>0</v>
      </c>
      <c r="BJ33">
        <v>10169</v>
      </c>
      <c r="BK33">
        <v>11952</v>
      </c>
      <c r="BL33" s="25">
        <v>27.56</v>
      </c>
      <c r="BM33">
        <v>1</v>
      </c>
      <c r="BN33">
        <v>0</v>
      </c>
      <c r="BO33">
        <v>0</v>
      </c>
      <c r="BP33">
        <v>0</v>
      </c>
      <c r="BQ33">
        <v>0</v>
      </c>
      <c r="BR33">
        <v>0</v>
      </c>
      <c r="BS33">
        <v>0</v>
      </c>
      <c r="BT33" s="18">
        <v>0</v>
      </c>
      <c r="BU33">
        <v>1</v>
      </c>
      <c r="BV33">
        <v>0</v>
      </c>
      <c r="BW33">
        <v>0</v>
      </c>
      <c r="BX33" s="18">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9"/>
        <v>2.6166280131447194E-2</v>
      </c>
      <c r="J34" s="33">
        <f t="shared" si="10"/>
        <v>3.5194411872706741E-3</v>
      </c>
      <c r="K34" s="33">
        <f t="shared" si="11"/>
        <v>284.13601671107898</v>
      </c>
      <c r="L34" s="8">
        <v>1</v>
      </c>
      <c r="M34" s="9">
        <v>0</v>
      </c>
      <c r="N34" s="8">
        <v>0</v>
      </c>
      <c r="O34" s="9">
        <v>0</v>
      </c>
      <c r="P34" s="9">
        <v>0</v>
      </c>
      <c r="Q34" s="9">
        <v>1</v>
      </c>
      <c r="R34" s="9">
        <v>0</v>
      </c>
      <c r="S34" s="8">
        <f t="shared" si="13"/>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v>0</v>
      </c>
      <c r="BF34" s="18">
        <v>0</v>
      </c>
      <c r="BG34">
        <v>1</v>
      </c>
      <c r="BH34">
        <v>0</v>
      </c>
      <c r="BI34" s="18">
        <v>0</v>
      </c>
      <c r="BJ34">
        <v>10461</v>
      </c>
      <c r="BK34">
        <v>12348</v>
      </c>
      <c r="BL34" s="25">
        <v>27.56</v>
      </c>
      <c r="BM34">
        <v>1</v>
      </c>
      <c r="BN34">
        <v>0</v>
      </c>
      <c r="BO34">
        <v>0</v>
      </c>
      <c r="BP34">
        <v>0</v>
      </c>
      <c r="BQ34">
        <v>0</v>
      </c>
      <c r="BR34">
        <v>0</v>
      </c>
      <c r="BS34">
        <v>0</v>
      </c>
      <c r="BT34" s="18">
        <v>0</v>
      </c>
      <c r="BU34">
        <v>1</v>
      </c>
      <c r="BV34">
        <v>0</v>
      </c>
      <c r="BW34">
        <v>0</v>
      </c>
      <c r="BX34" s="18">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9"/>
        <v>0.1220681841708002</v>
      </c>
      <c r="J35" s="33">
        <f t="shared" si="10"/>
        <v>3.4943182491641274E-3</v>
      </c>
      <c r="K35" s="33">
        <f t="shared" si="11"/>
        <v>286.17885627309676</v>
      </c>
      <c r="L35" s="8">
        <v>1</v>
      </c>
      <c r="M35" s="9">
        <v>0</v>
      </c>
      <c r="N35" s="8">
        <v>0</v>
      </c>
      <c r="O35" s="9">
        <v>0</v>
      </c>
      <c r="P35" s="9">
        <v>0</v>
      </c>
      <c r="Q35" s="9">
        <v>1</v>
      </c>
      <c r="R35" s="9">
        <v>0</v>
      </c>
      <c r="S35" s="8">
        <f t="shared" si="13"/>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v>0</v>
      </c>
      <c r="BF35" s="18">
        <v>0</v>
      </c>
      <c r="BG35">
        <v>1</v>
      </c>
      <c r="BH35">
        <v>0</v>
      </c>
      <c r="BI35" s="18">
        <v>0</v>
      </c>
      <c r="BJ35">
        <v>10461</v>
      </c>
      <c r="BK35">
        <v>12348</v>
      </c>
      <c r="BL35" s="25">
        <v>27.56</v>
      </c>
      <c r="BM35">
        <v>1</v>
      </c>
      <c r="BN35">
        <v>0</v>
      </c>
      <c r="BO35">
        <v>0</v>
      </c>
      <c r="BP35">
        <v>0</v>
      </c>
      <c r="BQ35">
        <v>0</v>
      </c>
      <c r="BR35">
        <v>0</v>
      </c>
      <c r="BS35">
        <v>0</v>
      </c>
      <c r="BT35" s="18">
        <v>0</v>
      </c>
      <c r="BU35">
        <v>1</v>
      </c>
      <c r="BV35">
        <v>0</v>
      </c>
      <c r="BW35">
        <v>0</v>
      </c>
      <c r="BX35" s="18">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9"/>
        <v>6.3468142826239818E-2</v>
      </c>
      <c r="J36" s="33">
        <f t="shared" si="10"/>
        <v>3.5135485427953729E-3</v>
      </c>
      <c r="K36" s="33">
        <f t="shared" si="11"/>
        <v>284.61254706457015</v>
      </c>
      <c r="L36" s="8">
        <v>1</v>
      </c>
      <c r="M36" s="9">
        <v>0</v>
      </c>
      <c r="N36" s="8">
        <v>0</v>
      </c>
      <c r="O36" s="9">
        <v>0</v>
      </c>
      <c r="P36" s="9">
        <v>0</v>
      </c>
      <c r="Q36" s="9">
        <v>1</v>
      </c>
      <c r="R36" s="9">
        <v>0</v>
      </c>
      <c r="S36" s="8">
        <f t="shared" si="13"/>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v>0</v>
      </c>
      <c r="BF36" s="18">
        <v>0</v>
      </c>
      <c r="BG36">
        <v>1</v>
      </c>
      <c r="BH36">
        <v>0</v>
      </c>
      <c r="BI36" s="18">
        <v>0</v>
      </c>
      <c r="BJ36">
        <v>10461</v>
      </c>
      <c r="BK36">
        <v>12348</v>
      </c>
      <c r="BL36" s="25">
        <v>27.56</v>
      </c>
      <c r="BM36">
        <v>1</v>
      </c>
      <c r="BN36">
        <v>0</v>
      </c>
      <c r="BO36">
        <v>0</v>
      </c>
      <c r="BP36">
        <v>0</v>
      </c>
      <c r="BQ36">
        <v>0</v>
      </c>
      <c r="BR36">
        <v>0</v>
      </c>
      <c r="BS36">
        <v>0</v>
      </c>
      <c r="BT36" s="18">
        <v>0</v>
      </c>
      <c r="BU36">
        <v>1</v>
      </c>
      <c r="BV36">
        <v>0</v>
      </c>
      <c r="BW36">
        <v>0</v>
      </c>
      <c r="BX36" s="18">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9"/>
        <v>3.7758599513370919E-2</v>
      </c>
      <c r="J37" s="33">
        <f t="shared" si="10"/>
        <v>3.5181360326651109E-3</v>
      </c>
      <c r="K37" s="33">
        <f t="shared" si="11"/>
        <v>284.24142520790053</v>
      </c>
      <c r="L37" s="8">
        <v>1</v>
      </c>
      <c r="M37" s="9">
        <v>0</v>
      </c>
      <c r="N37" s="8">
        <v>0</v>
      </c>
      <c r="O37" s="9">
        <v>0</v>
      </c>
      <c r="P37" s="9">
        <v>0</v>
      </c>
      <c r="Q37" s="9">
        <v>1</v>
      </c>
      <c r="R37" s="9">
        <v>0</v>
      </c>
      <c r="S37" s="8">
        <f t="shared" si="13"/>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v>0</v>
      </c>
      <c r="BF37" s="18">
        <v>0</v>
      </c>
      <c r="BG37">
        <v>1</v>
      </c>
      <c r="BH37">
        <v>0</v>
      </c>
      <c r="BI37" s="18">
        <v>0</v>
      </c>
      <c r="BJ37">
        <v>10461</v>
      </c>
      <c r="BK37">
        <v>12348</v>
      </c>
      <c r="BL37" s="25">
        <v>27.56</v>
      </c>
      <c r="BM37">
        <v>1</v>
      </c>
      <c r="BN37">
        <v>0</v>
      </c>
      <c r="BO37">
        <v>0</v>
      </c>
      <c r="BP37">
        <v>0</v>
      </c>
      <c r="BQ37">
        <v>0</v>
      </c>
      <c r="BR37">
        <v>0</v>
      </c>
      <c r="BS37">
        <v>0</v>
      </c>
      <c r="BT37" s="18">
        <v>0</v>
      </c>
      <c r="BU37">
        <v>1</v>
      </c>
      <c r="BV37">
        <v>0</v>
      </c>
      <c r="BW37">
        <v>0</v>
      </c>
      <c r="BX37" s="18">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9"/>
        <v>1.9566906583893002E-2</v>
      </c>
      <c r="J38" s="33">
        <f t="shared" si="10"/>
        <v>3.5199726129754604E-3</v>
      </c>
      <c r="K38" s="33">
        <f t="shared" si="11"/>
        <v>284.09311945035051</v>
      </c>
      <c r="L38" s="8">
        <v>1</v>
      </c>
      <c r="M38" s="9">
        <v>0</v>
      </c>
      <c r="N38" s="8">
        <v>0</v>
      </c>
      <c r="O38" s="9">
        <v>0</v>
      </c>
      <c r="P38" s="9">
        <v>0</v>
      </c>
      <c r="Q38" s="9">
        <v>1</v>
      </c>
      <c r="R38" s="9">
        <v>0</v>
      </c>
      <c r="S38" s="8">
        <f t="shared" si="13"/>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v>0</v>
      </c>
      <c r="BF38" s="18">
        <v>0</v>
      </c>
      <c r="BG38">
        <v>1</v>
      </c>
      <c r="BH38">
        <v>0</v>
      </c>
      <c r="BI38" s="18">
        <v>0</v>
      </c>
      <c r="BJ38">
        <v>11381</v>
      </c>
      <c r="BK38">
        <v>12488</v>
      </c>
      <c r="BL38" s="25">
        <v>27.56</v>
      </c>
      <c r="BM38">
        <v>1</v>
      </c>
      <c r="BN38">
        <v>0</v>
      </c>
      <c r="BO38">
        <v>0</v>
      </c>
      <c r="BP38">
        <v>0</v>
      </c>
      <c r="BQ38">
        <v>0</v>
      </c>
      <c r="BR38">
        <v>0</v>
      </c>
      <c r="BS38">
        <v>0</v>
      </c>
      <c r="BT38" s="18">
        <v>0</v>
      </c>
      <c r="BU38">
        <v>1</v>
      </c>
      <c r="BV38">
        <v>0</v>
      </c>
      <c r="BW38">
        <v>0</v>
      </c>
      <c r="BX38" s="1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9"/>
        <v>0.15863499997865846</v>
      </c>
      <c r="J39" s="33">
        <f t="shared" si="10"/>
        <v>3.4760657365841491E-3</v>
      </c>
      <c r="K39" s="33">
        <f t="shared" si="11"/>
        <v>287.68155604061656</v>
      </c>
      <c r="L39" s="8">
        <v>1</v>
      </c>
      <c r="M39" s="9">
        <v>0</v>
      </c>
      <c r="N39" s="8">
        <v>0</v>
      </c>
      <c r="O39" s="9">
        <v>0</v>
      </c>
      <c r="P39" s="9">
        <v>0</v>
      </c>
      <c r="Q39" s="9">
        <v>1</v>
      </c>
      <c r="R39" s="9">
        <v>0</v>
      </c>
      <c r="S39" s="8">
        <f t="shared" si="13"/>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v>0</v>
      </c>
      <c r="BF39" s="18">
        <v>0</v>
      </c>
      <c r="BG39">
        <v>1</v>
      </c>
      <c r="BH39">
        <v>0</v>
      </c>
      <c r="BI39" s="18">
        <v>0</v>
      </c>
      <c r="BJ39">
        <v>11381</v>
      </c>
      <c r="BK39">
        <v>12488</v>
      </c>
      <c r="BL39" s="25">
        <v>27.56</v>
      </c>
      <c r="BM39">
        <v>1</v>
      </c>
      <c r="BN39">
        <v>0</v>
      </c>
      <c r="BO39">
        <v>0</v>
      </c>
      <c r="BP39">
        <v>0</v>
      </c>
      <c r="BQ39">
        <v>0</v>
      </c>
      <c r="BR39">
        <v>0</v>
      </c>
      <c r="BS39">
        <v>0</v>
      </c>
      <c r="BT39" s="18">
        <v>0</v>
      </c>
      <c r="BU39">
        <v>1</v>
      </c>
      <c r="BV39">
        <v>0</v>
      </c>
      <c r="BW39">
        <v>0</v>
      </c>
      <c r="BX39" s="18">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9"/>
        <v>9.3510231611987529E-2</v>
      </c>
      <c r="J40" s="33">
        <f t="shared" si="10"/>
        <v>3.5052202901712372E-3</v>
      </c>
      <c r="K40" s="33">
        <f t="shared" si="11"/>
        <v>285.28877423311616</v>
      </c>
      <c r="L40" s="8">
        <v>1</v>
      </c>
      <c r="M40" s="9">
        <v>0</v>
      </c>
      <c r="N40" s="8">
        <v>0</v>
      </c>
      <c r="O40" s="9">
        <v>0</v>
      </c>
      <c r="P40" s="9">
        <v>0</v>
      </c>
      <c r="Q40" s="9">
        <v>1</v>
      </c>
      <c r="R40" s="9">
        <v>0</v>
      </c>
      <c r="S40" s="8">
        <f t="shared" si="13"/>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v>0</v>
      </c>
      <c r="BF40" s="18">
        <v>0</v>
      </c>
      <c r="BG40">
        <v>1</v>
      </c>
      <c r="BH40">
        <v>0</v>
      </c>
      <c r="BI40" s="18">
        <v>0</v>
      </c>
      <c r="BJ40">
        <v>11381</v>
      </c>
      <c r="BK40">
        <v>12488</v>
      </c>
      <c r="BL40" s="25">
        <v>27.56</v>
      </c>
      <c r="BM40">
        <v>1</v>
      </c>
      <c r="BN40">
        <v>0</v>
      </c>
      <c r="BO40">
        <v>0</v>
      </c>
      <c r="BP40">
        <v>0</v>
      </c>
      <c r="BQ40">
        <v>0</v>
      </c>
      <c r="BR40">
        <v>0</v>
      </c>
      <c r="BS40">
        <v>0</v>
      </c>
      <c r="BT40" s="18">
        <v>0</v>
      </c>
      <c r="BU40">
        <v>1</v>
      </c>
      <c r="BV40">
        <v>0</v>
      </c>
      <c r="BW40">
        <v>0</v>
      </c>
      <c r="BX40" s="18">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9"/>
        <v>7.127141567119534E-2</v>
      </c>
      <c r="J41" s="33">
        <f t="shared" si="10"/>
        <v>3.5116934933175754E-3</v>
      </c>
      <c r="K41" s="33">
        <f t="shared" si="11"/>
        <v>284.76289343102025</v>
      </c>
      <c r="L41" s="8">
        <v>1</v>
      </c>
      <c r="M41" s="9">
        <v>0</v>
      </c>
      <c r="N41" s="8">
        <v>0</v>
      </c>
      <c r="O41" s="9">
        <v>0</v>
      </c>
      <c r="P41" s="9">
        <v>0</v>
      </c>
      <c r="Q41" s="9">
        <v>1</v>
      </c>
      <c r="R41" s="9">
        <v>0</v>
      </c>
      <c r="S41" s="8">
        <f t="shared" si="13"/>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v>0</v>
      </c>
      <c r="BF41" s="18">
        <v>0</v>
      </c>
      <c r="BG41">
        <v>1</v>
      </c>
      <c r="BH41">
        <v>0</v>
      </c>
      <c r="BI41" s="18">
        <v>0</v>
      </c>
      <c r="BJ41">
        <v>11381</v>
      </c>
      <c r="BK41">
        <v>12488</v>
      </c>
      <c r="BL41" s="25">
        <v>27.56</v>
      </c>
      <c r="BM41">
        <v>1</v>
      </c>
      <c r="BN41">
        <v>0</v>
      </c>
      <c r="BO41">
        <v>0</v>
      </c>
      <c r="BP41">
        <v>0</v>
      </c>
      <c r="BQ41">
        <v>0</v>
      </c>
      <c r="BR41">
        <v>0</v>
      </c>
      <c r="BS41">
        <v>0</v>
      </c>
      <c r="BT41" s="18">
        <v>0</v>
      </c>
      <c r="BU41">
        <v>1</v>
      </c>
      <c r="BV41">
        <v>0</v>
      </c>
      <c r="BW41">
        <v>0</v>
      </c>
      <c r="BX41" s="18">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9"/>
        <v>7.5901513821338782E-3</v>
      </c>
      <c r="J42" s="33">
        <f t="shared" si="10"/>
        <v>3.2605579880997655E-3</v>
      </c>
      <c r="K42" s="33">
        <f t="shared" si="11"/>
        <v>306.69597156368758</v>
      </c>
      <c r="L42" s="8">
        <v>1</v>
      </c>
      <c r="M42" s="9">
        <v>0</v>
      </c>
      <c r="N42" s="8">
        <v>0</v>
      </c>
      <c r="O42" s="9">
        <v>0</v>
      </c>
      <c r="P42" s="9">
        <v>0</v>
      </c>
      <c r="Q42" s="9">
        <v>1</v>
      </c>
      <c r="R42" s="9">
        <v>0</v>
      </c>
      <c r="S42" s="8">
        <f t="shared" ref="S42:S53" si="14">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v>0</v>
      </c>
      <c r="BF42" s="18">
        <v>0</v>
      </c>
      <c r="BG42">
        <v>1</v>
      </c>
      <c r="BH42">
        <v>0</v>
      </c>
      <c r="BI42" s="18">
        <v>0</v>
      </c>
      <c r="BJ42">
        <v>10169</v>
      </c>
      <c r="BK42">
        <v>11952</v>
      </c>
      <c r="BL42" s="25">
        <v>27.56</v>
      </c>
      <c r="BM42">
        <v>1</v>
      </c>
      <c r="BN42">
        <v>0</v>
      </c>
      <c r="BO42">
        <v>0</v>
      </c>
      <c r="BP42">
        <v>0</v>
      </c>
      <c r="BQ42">
        <v>0</v>
      </c>
      <c r="BR42">
        <v>0</v>
      </c>
      <c r="BS42">
        <v>0</v>
      </c>
      <c r="BT42" s="18">
        <v>0</v>
      </c>
      <c r="BU42">
        <v>1</v>
      </c>
      <c r="BV42">
        <v>0</v>
      </c>
      <c r="BW42">
        <v>0</v>
      </c>
      <c r="BX42" s="18">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9"/>
        <v>6.3454575830800636E-2</v>
      </c>
      <c r="J43" s="33">
        <f t="shared" si="10"/>
        <v>3.2540808118359296E-3</v>
      </c>
      <c r="K43" s="33">
        <f t="shared" si="11"/>
        <v>307.30644314755261</v>
      </c>
      <c r="L43" s="8">
        <v>1</v>
      </c>
      <c r="M43" s="9">
        <v>0</v>
      </c>
      <c r="N43" s="8">
        <v>0</v>
      </c>
      <c r="O43" s="9">
        <v>0</v>
      </c>
      <c r="P43" s="9">
        <v>0</v>
      </c>
      <c r="Q43" s="9">
        <v>1</v>
      </c>
      <c r="R43" s="9">
        <v>0</v>
      </c>
      <c r="S43" s="8">
        <f t="shared" si="14"/>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v>0</v>
      </c>
      <c r="BF43" s="18">
        <v>0</v>
      </c>
      <c r="BG43">
        <v>1</v>
      </c>
      <c r="BH43">
        <v>0</v>
      </c>
      <c r="BI43" s="18">
        <v>0</v>
      </c>
      <c r="BJ43">
        <v>10169</v>
      </c>
      <c r="BK43">
        <v>11952</v>
      </c>
      <c r="BL43" s="25">
        <v>27.56</v>
      </c>
      <c r="BM43">
        <v>1</v>
      </c>
      <c r="BN43">
        <v>0</v>
      </c>
      <c r="BO43">
        <v>0</v>
      </c>
      <c r="BP43">
        <v>0</v>
      </c>
      <c r="BQ43">
        <v>0</v>
      </c>
      <c r="BR43">
        <v>0</v>
      </c>
      <c r="BS43">
        <v>0</v>
      </c>
      <c r="BT43" s="18">
        <v>0</v>
      </c>
      <c r="BU43">
        <v>1</v>
      </c>
      <c r="BV43">
        <v>0</v>
      </c>
      <c r="BW43">
        <v>0</v>
      </c>
      <c r="BX43" s="18">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9"/>
        <v>3.1321206372090613E-2</v>
      </c>
      <c r="J44" s="33">
        <f t="shared" si="10"/>
        <v>3.2590521416742692E-3</v>
      </c>
      <c r="K44" s="33">
        <f t="shared" si="11"/>
        <v>306.83768056753797</v>
      </c>
      <c r="L44" s="8">
        <v>1</v>
      </c>
      <c r="M44" s="9">
        <v>0</v>
      </c>
      <c r="N44" s="8">
        <v>0</v>
      </c>
      <c r="O44" s="9">
        <v>0</v>
      </c>
      <c r="P44" s="9">
        <v>0</v>
      </c>
      <c r="Q44" s="9">
        <v>1</v>
      </c>
      <c r="R44" s="9">
        <v>0</v>
      </c>
      <c r="S44" s="8">
        <f t="shared" si="14"/>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v>0</v>
      </c>
      <c r="BF44" s="18">
        <v>0</v>
      </c>
      <c r="BG44">
        <v>1</v>
      </c>
      <c r="BH44">
        <v>0</v>
      </c>
      <c r="BI44" s="18">
        <v>0</v>
      </c>
      <c r="BJ44">
        <v>10169</v>
      </c>
      <c r="BK44">
        <v>11952</v>
      </c>
      <c r="BL44" s="25">
        <v>27.56</v>
      </c>
      <c r="BM44">
        <v>1</v>
      </c>
      <c r="BN44">
        <v>0</v>
      </c>
      <c r="BO44">
        <v>0</v>
      </c>
      <c r="BP44">
        <v>0</v>
      </c>
      <c r="BQ44">
        <v>0</v>
      </c>
      <c r="BR44">
        <v>0</v>
      </c>
      <c r="BS44">
        <v>0</v>
      </c>
      <c r="BT44" s="18">
        <v>0</v>
      </c>
      <c r="BU44">
        <v>1</v>
      </c>
      <c r="BV44">
        <v>0</v>
      </c>
      <c r="BW44">
        <v>0</v>
      </c>
      <c r="BX44" s="18">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9"/>
        <v>-4.2263791024517248E-3</v>
      </c>
      <c r="J45" s="33">
        <f t="shared" si="10"/>
        <v>3.2606227917104948E-3</v>
      </c>
      <c r="K45" s="33">
        <f t="shared" si="11"/>
        <v>306.6898761004515</v>
      </c>
      <c r="L45" s="8">
        <v>1</v>
      </c>
      <c r="M45" s="9">
        <v>0</v>
      </c>
      <c r="N45" s="8">
        <v>0</v>
      </c>
      <c r="O45" s="9">
        <v>0</v>
      </c>
      <c r="P45" s="9">
        <v>0</v>
      </c>
      <c r="Q45" s="9">
        <v>1</v>
      </c>
      <c r="R45" s="9">
        <v>0</v>
      </c>
      <c r="S45" s="8">
        <f t="shared" si="14"/>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v>0</v>
      </c>
      <c r="BF45" s="18">
        <v>0</v>
      </c>
      <c r="BG45">
        <v>1</v>
      </c>
      <c r="BH45">
        <v>0</v>
      </c>
      <c r="BI45" s="18">
        <v>0</v>
      </c>
      <c r="BJ45">
        <v>10169</v>
      </c>
      <c r="BK45">
        <v>11952</v>
      </c>
      <c r="BL45" s="25">
        <v>27.56</v>
      </c>
      <c r="BM45">
        <v>1</v>
      </c>
      <c r="BN45">
        <v>0</v>
      </c>
      <c r="BO45">
        <v>0</v>
      </c>
      <c r="BP45">
        <v>0</v>
      </c>
      <c r="BQ45">
        <v>0</v>
      </c>
      <c r="BR45">
        <v>0</v>
      </c>
      <c r="BS45">
        <v>0</v>
      </c>
      <c r="BT45" s="18">
        <v>0</v>
      </c>
      <c r="BU45">
        <v>1</v>
      </c>
      <c r="BV45">
        <v>0</v>
      </c>
      <c r="BW45">
        <v>0</v>
      </c>
      <c r="BX45" s="18">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9"/>
        <v>1.3186378938327706E-2</v>
      </c>
      <c r="J46" s="33">
        <f t="shared" si="10"/>
        <v>3.2603684188172903E-3</v>
      </c>
      <c r="K46" s="33">
        <f t="shared" si="11"/>
        <v>306.71380394573731</v>
      </c>
      <c r="L46" s="8">
        <v>1</v>
      </c>
      <c r="M46" s="9">
        <v>0</v>
      </c>
      <c r="N46" s="8">
        <v>0</v>
      </c>
      <c r="O46" s="9">
        <v>0</v>
      </c>
      <c r="P46" s="9">
        <v>0</v>
      </c>
      <c r="Q46" s="9">
        <v>1</v>
      </c>
      <c r="R46" s="9">
        <v>0</v>
      </c>
      <c r="S46" s="8">
        <f t="shared" si="14"/>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v>0</v>
      </c>
      <c r="BF46" s="18">
        <v>0</v>
      </c>
      <c r="BG46">
        <v>1</v>
      </c>
      <c r="BH46">
        <v>0</v>
      </c>
      <c r="BI46" s="18">
        <v>0</v>
      </c>
      <c r="BJ46">
        <v>10461</v>
      </c>
      <c r="BK46">
        <v>12348</v>
      </c>
      <c r="BL46" s="25">
        <v>27.56</v>
      </c>
      <c r="BM46">
        <v>1</v>
      </c>
      <c r="BN46">
        <v>0</v>
      </c>
      <c r="BO46">
        <v>0</v>
      </c>
      <c r="BP46">
        <v>0</v>
      </c>
      <c r="BQ46">
        <v>0</v>
      </c>
      <c r="BR46">
        <v>0</v>
      </c>
      <c r="BS46">
        <v>0</v>
      </c>
      <c r="BT46" s="18">
        <v>0</v>
      </c>
      <c r="BU46">
        <v>1</v>
      </c>
      <c r="BV46">
        <v>0</v>
      </c>
      <c r="BW46">
        <v>0</v>
      </c>
      <c r="BX46" s="18">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9"/>
        <v>7.5189132720802507E-2</v>
      </c>
      <c r="J47" s="33">
        <f t="shared" si="10"/>
        <v>3.2514219554941621E-3</v>
      </c>
      <c r="K47" s="33">
        <f t="shared" si="11"/>
        <v>307.55774356208303</v>
      </c>
      <c r="L47" s="8">
        <v>1</v>
      </c>
      <c r="M47" s="9">
        <v>0</v>
      </c>
      <c r="N47" s="8">
        <v>0</v>
      </c>
      <c r="O47" s="9">
        <v>0</v>
      </c>
      <c r="P47" s="9">
        <v>0</v>
      </c>
      <c r="Q47" s="9">
        <v>1</v>
      </c>
      <c r="R47" s="9">
        <v>0</v>
      </c>
      <c r="S47" s="8">
        <f t="shared" si="14"/>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v>0</v>
      </c>
      <c r="BF47" s="18">
        <v>0</v>
      </c>
      <c r="BG47">
        <v>1</v>
      </c>
      <c r="BH47">
        <v>0</v>
      </c>
      <c r="BI47" s="18">
        <v>0</v>
      </c>
      <c r="BJ47">
        <v>10461</v>
      </c>
      <c r="BK47">
        <v>12348</v>
      </c>
      <c r="BL47" s="25">
        <v>27.56</v>
      </c>
      <c r="BM47">
        <v>1</v>
      </c>
      <c r="BN47">
        <v>0</v>
      </c>
      <c r="BO47">
        <v>0</v>
      </c>
      <c r="BP47">
        <v>0</v>
      </c>
      <c r="BQ47">
        <v>0</v>
      </c>
      <c r="BR47">
        <v>0</v>
      </c>
      <c r="BS47">
        <v>0</v>
      </c>
      <c r="BT47" s="18">
        <v>0</v>
      </c>
      <c r="BU47">
        <v>1</v>
      </c>
      <c r="BV47">
        <v>0</v>
      </c>
      <c r="BW47">
        <v>0</v>
      </c>
      <c r="BX47" s="18">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9"/>
        <v>3.705645487844917E-2</v>
      </c>
      <c r="J48" s="33">
        <f t="shared" si="10"/>
        <v>3.2584124117257035E-3</v>
      </c>
      <c r="K48" s="33">
        <f t="shared" si="11"/>
        <v>306.89792255928256</v>
      </c>
      <c r="L48" s="8">
        <v>1</v>
      </c>
      <c r="M48" s="9">
        <v>0</v>
      </c>
      <c r="N48" s="8">
        <v>0</v>
      </c>
      <c r="O48" s="9">
        <v>0</v>
      </c>
      <c r="P48" s="9">
        <v>0</v>
      </c>
      <c r="Q48" s="9">
        <v>1</v>
      </c>
      <c r="R48" s="9">
        <v>0</v>
      </c>
      <c r="S48" s="8">
        <f t="shared" si="14"/>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v>0</v>
      </c>
      <c r="BF48" s="18">
        <v>0</v>
      </c>
      <c r="BG48">
        <v>1</v>
      </c>
      <c r="BH48">
        <v>0</v>
      </c>
      <c r="BI48" s="18">
        <v>0</v>
      </c>
      <c r="BJ48">
        <v>10461</v>
      </c>
      <c r="BK48">
        <v>12348</v>
      </c>
      <c r="BL48" s="25">
        <v>27.56</v>
      </c>
      <c r="BM48">
        <v>1</v>
      </c>
      <c r="BN48">
        <v>0</v>
      </c>
      <c r="BO48">
        <v>0</v>
      </c>
      <c r="BP48">
        <v>0</v>
      </c>
      <c r="BQ48">
        <v>0</v>
      </c>
      <c r="BR48">
        <v>0</v>
      </c>
      <c r="BS48">
        <v>0</v>
      </c>
      <c r="BT48" s="18">
        <v>0</v>
      </c>
      <c r="BU48">
        <v>1</v>
      </c>
      <c r="BV48">
        <v>0</v>
      </c>
      <c r="BW48">
        <v>0</v>
      </c>
      <c r="BX48" s="1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9"/>
        <v>0.19447204297233545</v>
      </c>
      <c r="J49" s="33">
        <f t="shared" si="10"/>
        <v>3.198399746363741E-3</v>
      </c>
      <c r="K49" s="33">
        <f t="shared" si="11"/>
        <v>312.6563529580377</v>
      </c>
      <c r="L49" s="8">
        <v>1</v>
      </c>
      <c r="M49" s="9">
        <v>0</v>
      </c>
      <c r="N49" s="8">
        <v>0</v>
      </c>
      <c r="O49" s="9">
        <v>0</v>
      </c>
      <c r="P49" s="9">
        <v>0</v>
      </c>
      <c r="Q49" s="9">
        <v>1</v>
      </c>
      <c r="R49" s="9">
        <v>0</v>
      </c>
      <c r="S49" s="8">
        <f t="shared" si="14"/>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v>0</v>
      </c>
      <c r="BF49" s="18">
        <v>0</v>
      </c>
      <c r="BG49">
        <v>1</v>
      </c>
      <c r="BH49">
        <v>0</v>
      </c>
      <c r="BI49" s="18">
        <v>0</v>
      </c>
      <c r="BJ49">
        <v>10461</v>
      </c>
      <c r="BK49">
        <v>12348</v>
      </c>
      <c r="BL49" s="25">
        <v>27.56</v>
      </c>
      <c r="BM49">
        <v>1</v>
      </c>
      <c r="BN49">
        <v>0</v>
      </c>
      <c r="BO49">
        <v>0</v>
      </c>
      <c r="BP49">
        <v>0</v>
      </c>
      <c r="BQ49">
        <v>0</v>
      </c>
      <c r="BR49">
        <v>0</v>
      </c>
      <c r="BS49">
        <v>0</v>
      </c>
      <c r="BT49" s="18">
        <v>0</v>
      </c>
      <c r="BU49">
        <v>1</v>
      </c>
      <c r="BV49">
        <v>0</v>
      </c>
      <c r="BW49">
        <v>0</v>
      </c>
      <c r="BX49" s="18">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9"/>
        <v>1.286039670303234E-2</v>
      </c>
      <c r="J50" s="33">
        <f t="shared" si="10"/>
        <v>3.2603822627405941E-3</v>
      </c>
      <c r="K50" s="33">
        <f t="shared" si="11"/>
        <v>306.71250160692063</v>
      </c>
      <c r="L50" s="8">
        <v>1</v>
      </c>
      <c r="M50" s="9">
        <v>0</v>
      </c>
      <c r="N50" s="8">
        <v>0</v>
      </c>
      <c r="O50" s="9">
        <v>0</v>
      </c>
      <c r="P50" s="9">
        <v>0</v>
      </c>
      <c r="Q50" s="9">
        <v>1</v>
      </c>
      <c r="R50" s="9">
        <v>0</v>
      </c>
      <c r="S50" s="8">
        <f t="shared" si="14"/>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v>0</v>
      </c>
      <c r="BF50" s="18">
        <v>0</v>
      </c>
      <c r="BG50">
        <v>1</v>
      </c>
      <c r="BH50">
        <v>0</v>
      </c>
      <c r="BI50" s="18">
        <v>0</v>
      </c>
      <c r="BJ50">
        <v>11381</v>
      </c>
      <c r="BK50">
        <v>12488</v>
      </c>
      <c r="BL50" s="25">
        <v>27.56</v>
      </c>
      <c r="BM50">
        <v>1</v>
      </c>
      <c r="BN50">
        <v>0</v>
      </c>
      <c r="BO50">
        <v>0</v>
      </c>
      <c r="BP50">
        <v>0</v>
      </c>
      <c r="BQ50">
        <v>0</v>
      </c>
      <c r="BR50">
        <v>0</v>
      </c>
      <c r="BS50">
        <v>0</v>
      </c>
      <c r="BT50" s="18">
        <v>0</v>
      </c>
      <c r="BU50">
        <v>1</v>
      </c>
      <c r="BV50">
        <v>0</v>
      </c>
      <c r="BW50">
        <v>0</v>
      </c>
      <c r="BX50" s="18">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9"/>
        <v>9.067238931490941E-2</v>
      </c>
      <c r="J51" s="33">
        <f t="shared" si="10"/>
        <v>3.2472205539774723E-3</v>
      </c>
      <c r="K51" s="33">
        <f t="shared" si="11"/>
        <v>307.9556757470985</v>
      </c>
      <c r="L51" s="8">
        <v>1</v>
      </c>
      <c r="M51" s="9">
        <v>0</v>
      </c>
      <c r="N51" s="8">
        <v>0</v>
      </c>
      <c r="O51" s="9">
        <v>0</v>
      </c>
      <c r="P51" s="9">
        <v>0</v>
      </c>
      <c r="Q51" s="9">
        <v>1</v>
      </c>
      <c r="R51" s="9">
        <v>0</v>
      </c>
      <c r="S51" s="8">
        <f t="shared" si="14"/>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v>0</v>
      </c>
      <c r="BF51" s="18">
        <v>0</v>
      </c>
      <c r="BG51">
        <v>1</v>
      </c>
      <c r="BH51">
        <v>0</v>
      </c>
      <c r="BI51" s="18">
        <v>0</v>
      </c>
      <c r="BJ51">
        <v>11381</v>
      </c>
      <c r="BK51">
        <v>12488</v>
      </c>
      <c r="BL51" s="25">
        <v>27.56</v>
      </c>
      <c r="BM51">
        <v>1</v>
      </c>
      <c r="BN51">
        <v>0</v>
      </c>
      <c r="BO51">
        <v>0</v>
      </c>
      <c r="BP51">
        <v>0</v>
      </c>
      <c r="BQ51">
        <v>0</v>
      </c>
      <c r="BR51">
        <v>0</v>
      </c>
      <c r="BS51">
        <v>0</v>
      </c>
      <c r="BT51" s="18">
        <v>0</v>
      </c>
      <c r="BU51">
        <v>1</v>
      </c>
      <c r="BV51">
        <v>0</v>
      </c>
      <c r="BW51">
        <v>0</v>
      </c>
      <c r="BX51" s="18">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9"/>
        <v>5.7411193354901198E-2</v>
      </c>
      <c r="J52" s="33">
        <f t="shared" si="10"/>
        <v>3.2552738500201722E-3</v>
      </c>
      <c r="K52" s="33">
        <f t="shared" si="11"/>
        <v>307.19381719415196</v>
      </c>
      <c r="L52" s="8">
        <v>1</v>
      </c>
      <c r="M52" s="9">
        <v>0</v>
      </c>
      <c r="N52" s="8">
        <v>0</v>
      </c>
      <c r="O52" s="9">
        <v>0</v>
      </c>
      <c r="P52" s="9">
        <v>0</v>
      </c>
      <c r="Q52" s="9">
        <v>1</v>
      </c>
      <c r="R52" s="9">
        <v>0</v>
      </c>
      <c r="S52" s="8">
        <f t="shared" si="14"/>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v>0</v>
      </c>
      <c r="BF52" s="18">
        <v>0</v>
      </c>
      <c r="BG52">
        <v>1</v>
      </c>
      <c r="BH52">
        <v>0</v>
      </c>
      <c r="BI52" s="18">
        <v>0</v>
      </c>
      <c r="BJ52">
        <v>11381</v>
      </c>
      <c r="BK52">
        <v>12488</v>
      </c>
      <c r="BL52" s="25">
        <v>27.56</v>
      </c>
      <c r="BM52">
        <v>1</v>
      </c>
      <c r="BN52">
        <v>0</v>
      </c>
      <c r="BO52">
        <v>0</v>
      </c>
      <c r="BP52">
        <v>0</v>
      </c>
      <c r="BQ52">
        <v>0</v>
      </c>
      <c r="BR52">
        <v>0</v>
      </c>
      <c r="BS52">
        <v>0</v>
      </c>
      <c r="BT52" s="18">
        <v>0</v>
      </c>
      <c r="BU52">
        <v>1</v>
      </c>
      <c r="BV52">
        <v>0</v>
      </c>
      <c r="BW52">
        <v>0</v>
      </c>
      <c r="BX52" s="18">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11">
        <f t="shared" si="9"/>
        <v>3.0865578564325355E-2</v>
      </c>
      <c r="J53" s="33">
        <f t="shared" si="10"/>
        <v>3.2590983577237957E-3</v>
      </c>
      <c r="K53" s="33">
        <f t="shared" si="11"/>
        <v>306.83332941765383</v>
      </c>
      <c r="L53" s="59">
        <v>1</v>
      </c>
      <c r="M53" s="60">
        <v>0</v>
      </c>
      <c r="N53" s="59">
        <v>0</v>
      </c>
      <c r="O53" s="60">
        <v>0</v>
      </c>
      <c r="P53" s="60">
        <v>0</v>
      </c>
      <c r="Q53" s="60">
        <v>1</v>
      </c>
      <c r="R53" s="60">
        <v>0</v>
      </c>
      <c r="S53" s="59">
        <f t="shared" si="14"/>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v>0</v>
      </c>
      <c r="BF53" s="65">
        <v>0</v>
      </c>
      <c r="BG53">
        <v>1</v>
      </c>
      <c r="BH53">
        <v>0</v>
      </c>
      <c r="BI53" s="65">
        <v>0</v>
      </c>
      <c r="BJ53">
        <v>11381</v>
      </c>
      <c r="BK53">
        <v>12488</v>
      </c>
      <c r="BL53" s="52">
        <v>27.56</v>
      </c>
      <c r="BM53" s="51">
        <v>1</v>
      </c>
      <c r="BN53" s="51">
        <v>0</v>
      </c>
      <c r="BO53" s="51">
        <v>0</v>
      </c>
      <c r="BP53" s="51">
        <v>0</v>
      </c>
      <c r="BQ53" s="51">
        <v>0</v>
      </c>
      <c r="BR53" s="51">
        <v>0</v>
      </c>
      <c r="BS53" s="51">
        <v>0</v>
      </c>
      <c r="BT53" s="65">
        <v>0</v>
      </c>
      <c r="BU53" s="51">
        <v>1</v>
      </c>
      <c r="BV53" s="51">
        <v>0</v>
      </c>
      <c r="BW53" s="51">
        <v>0</v>
      </c>
      <c r="BX53" s="65">
        <v>0</v>
      </c>
      <c r="BY53" s="51">
        <v>0</v>
      </c>
      <c r="BZ53" s="51">
        <v>0</v>
      </c>
      <c r="CA53" s="51">
        <v>0</v>
      </c>
      <c r="CB53" s="51">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5">D54/F54</f>
        <v>0.59237178017274328</v>
      </c>
      <c r="F54" s="7">
        <v>13.083</v>
      </c>
      <c r="G54" s="7">
        <f t="shared" si="0"/>
        <v>7.1576282198272567</v>
      </c>
      <c r="H54" s="16">
        <f t="shared" si="1"/>
        <v>8.3423717801727442</v>
      </c>
      <c r="I54" s="11">
        <f t="shared" si="9"/>
        <v>0.33914218547776914</v>
      </c>
      <c r="J54" s="33">
        <f t="shared" si="10"/>
        <v>2.5922356147502035E-2</v>
      </c>
      <c r="K54" s="33">
        <f t="shared" si="11"/>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6">1-AT54</f>
        <v>0.1552</v>
      </c>
      <c r="AT54" s="40">
        <v>0.8448</v>
      </c>
      <c r="AU54">
        <v>1</v>
      </c>
      <c r="AV54" s="18">
        <v>0</v>
      </c>
      <c r="AW54" t="s">
        <v>98</v>
      </c>
      <c r="AX54" s="18" t="s">
        <v>98</v>
      </c>
      <c r="AY54" s="18" t="s">
        <v>26</v>
      </c>
      <c r="AZ54">
        <v>1</v>
      </c>
      <c r="BA54">
        <v>0</v>
      </c>
      <c r="BB54">
        <v>0</v>
      </c>
      <c r="BC54">
        <v>0</v>
      </c>
      <c r="BD54">
        <v>0</v>
      </c>
      <c r="BE54">
        <v>0</v>
      </c>
      <c r="BF54" s="18">
        <v>0</v>
      </c>
      <c r="BG54">
        <v>1</v>
      </c>
      <c r="BH54">
        <v>0</v>
      </c>
      <c r="BI54" s="18">
        <v>0</v>
      </c>
      <c r="BJ54">
        <v>12986</v>
      </c>
      <c r="BK54">
        <v>12942</v>
      </c>
      <c r="BL54" s="25" t="s">
        <v>98</v>
      </c>
      <c r="BM54">
        <v>1</v>
      </c>
      <c r="BN54">
        <v>0</v>
      </c>
      <c r="BO54">
        <v>0</v>
      </c>
      <c r="BP54">
        <v>0</v>
      </c>
      <c r="BQ54">
        <v>0</v>
      </c>
      <c r="BR54">
        <v>0</v>
      </c>
      <c r="BS54">
        <v>0</v>
      </c>
      <c r="BT54" s="18">
        <v>0</v>
      </c>
      <c r="BU54">
        <v>0</v>
      </c>
      <c r="BV54">
        <v>0</v>
      </c>
      <c r="BW54">
        <v>1</v>
      </c>
      <c r="BX54" s="18">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5"/>
        <v>1.8607630979498861</v>
      </c>
      <c r="F55" s="7">
        <v>7.024</v>
      </c>
      <c r="G55" s="7">
        <f t="shared" si="0"/>
        <v>11.209236902050113</v>
      </c>
      <c r="H55" s="16">
        <f t="shared" si="1"/>
        <v>14.930763097949887</v>
      </c>
      <c r="I55" s="11">
        <f t="shared" si="9"/>
        <v>0.19002277488018446</v>
      </c>
      <c r="J55" s="33">
        <f t="shared" si="10"/>
        <v>2.7053356332600295E-2</v>
      </c>
      <c r="K55" s="33">
        <f t="shared" si="11"/>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6"/>
        <v>0.1552</v>
      </c>
      <c r="AT55" s="40">
        <v>0.8448</v>
      </c>
      <c r="AU55">
        <v>1</v>
      </c>
      <c r="AV55" s="18">
        <v>0</v>
      </c>
      <c r="AW55" t="s">
        <v>98</v>
      </c>
      <c r="AX55" s="18" t="s">
        <v>98</v>
      </c>
      <c r="AY55" s="18" t="s">
        <v>26</v>
      </c>
      <c r="AZ55">
        <v>1</v>
      </c>
      <c r="BA55">
        <v>0</v>
      </c>
      <c r="BB55">
        <v>0</v>
      </c>
      <c r="BC55">
        <v>0</v>
      </c>
      <c r="BD55">
        <v>0</v>
      </c>
      <c r="BE55">
        <v>0</v>
      </c>
      <c r="BF55" s="18">
        <v>0</v>
      </c>
      <c r="BG55">
        <v>1</v>
      </c>
      <c r="BH55">
        <v>0</v>
      </c>
      <c r="BI55" s="18">
        <v>0</v>
      </c>
      <c r="BJ55">
        <v>12986</v>
      </c>
      <c r="BK55">
        <v>12942</v>
      </c>
      <c r="BL55" s="25" t="s">
        <v>98</v>
      </c>
      <c r="BM55">
        <v>0</v>
      </c>
      <c r="BN55">
        <v>0</v>
      </c>
      <c r="BO55">
        <v>0</v>
      </c>
      <c r="BP55">
        <v>0</v>
      </c>
      <c r="BQ55">
        <v>1</v>
      </c>
      <c r="BR55">
        <v>0</v>
      </c>
      <c r="BS55">
        <v>0</v>
      </c>
      <c r="BT55" s="18">
        <v>0</v>
      </c>
      <c r="BU55">
        <v>0</v>
      </c>
      <c r="BV55">
        <v>0</v>
      </c>
      <c r="BW55">
        <v>1</v>
      </c>
      <c r="BX55" s="18">
        <v>0</v>
      </c>
      <c r="BY55">
        <v>1</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5"/>
        <v>0.59990001666388937</v>
      </c>
      <c r="F56" s="7">
        <v>12.002000000000001</v>
      </c>
      <c r="G56" s="7">
        <f t="shared" si="0"/>
        <v>6.6000999833361105</v>
      </c>
      <c r="H56" s="16">
        <f t="shared" si="1"/>
        <v>7.7999000166638899</v>
      </c>
      <c r="I56" s="11">
        <f t="shared" si="9"/>
        <v>0.31507412029987036</v>
      </c>
      <c r="J56" s="33">
        <f t="shared" si="10"/>
        <v>2.6251801391423957E-2</v>
      </c>
      <c r="K56" s="33">
        <f t="shared" si="11"/>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6"/>
        <v>0.1552</v>
      </c>
      <c r="AT56" s="40">
        <v>0.8448</v>
      </c>
      <c r="AU56">
        <v>1</v>
      </c>
      <c r="AV56" s="18">
        <v>0</v>
      </c>
      <c r="AW56" t="s">
        <v>98</v>
      </c>
      <c r="AX56" s="18" t="s">
        <v>98</v>
      </c>
      <c r="AY56" s="18" t="s">
        <v>26</v>
      </c>
      <c r="AZ56">
        <v>1</v>
      </c>
      <c r="BA56">
        <v>0</v>
      </c>
      <c r="BB56">
        <v>0</v>
      </c>
      <c r="BC56">
        <v>0</v>
      </c>
      <c r="BD56">
        <v>0</v>
      </c>
      <c r="BE56">
        <v>0</v>
      </c>
      <c r="BF56" s="18">
        <v>0</v>
      </c>
      <c r="BG56">
        <v>1</v>
      </c>
      <c r="BH56">
        <v>0</v>
      </c>
      <c r="BI56" s="18">
        <v>0</v>
      </c>
      <c r="BJ56">
        <v>12986</v>
      </c>
      <c r="BK56">
        <v>12942</v>
      </c>
      <c r="BL56" s="25" t="s">
        <v>98</v>
      </c>
      <c r="BM56">
        <v>1</v>
      </c>
      <c r="BN56">
        <v>0</v>
      </c>
      <c r="BO56">
        <v>0</v>
      </c>
      <c r="BP56">
        <v>0</v>
      </c>
      <c r="BQ56">
        <v>0</v>
      </c>
      <c r="BR56">
        <v>0</v>
      </c>
      <c r="BS56">
        <v>0</v>
      </c>
      <c r="BT56" s="18">
        <v>0</v>
      </c>
      <c r="BU56">
        <v>0</v>
      </c>
      <c r="BV56">
        <v>0</v>
      </c>
      <c r="BW56">
        <v>1</v>
      </c>
      <c r="BX56" s="18">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5"/>
        <v>1.8116268589454709</v>
      </c>
      <c r="F57" s="7">
        <v>6.657</v>
      </c>
      <c r="G57" s="7">
        <f t="shared" si="0"/>
        <v>10.248373141054529</v>
      </c>
      <c r="H57" s="16">
        <f t="shared" si="1"/>
        <v>13.871626858945472</v>
      </c>
      <c r="I57" s="11">
        <f t="shared" si="9"/>
        <v>0.18109237057577759</v>
      </c>
      <c r="J57" s="33">
        <f t="shared" si="10"/>
        <v>2.7203300371905898E-2</v>
      </c>
      <c r="K57" s="33">
        <f t="shared" si="11"/>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6"/>
        <v>0.1552</v>
      </c>
      <c r="AT57" s="40">
        <v>0.8448</v>
      </c>
      <c r="AU57">
        <v>1</v>
      </c>
      <c r="AV57" s="18">
        <v>0</v>
      </c>
      <c r="AW57" t="s">
        <v>98</v>
      </c>
      <c r="AX57" s="18" t="s">
        <v>98</v>
      </c>
      <c r="AY57" s="18" t="s">
        <v>26</v>
      </c>
      <c r="AZ57">
        <v>1</v>
      </c>
      <c r="BA57">
        <v>0</v>
      </c>
      <c r="BB57">
        <v>0</v>
      </c>
      <c r="BC57">
        <v>0</v>
      </c>
      <c r="BD57">
        <v>0</v>
      </c>
      <c r="BE57">
        <v>0</v>
      </c>
      <c r="BF57" s="18">
        <v>0</v>
      </c>
      <c r="BG57">
        <v>1</v>
      </c>
      <c r="BH57">
        <v>0</v>
      </c>
      <c r="BI57" s="18">
        <v>0</v>
      </c>
      <c r="BJ57">
        <v>12986</v>
      </c>
      <c r="BK57">
        <v>12942</v>
      </c>
      <c r="BL57" s="25" t="s">
        <v>98</v>
      </c>
      <c r="BM57">
        <v>0</v>
      </c>
      <c r="BN57">
        <v>0</v>
      </c>
      <c r="BO57">
        <v>0</v>
      </c>
      <c r="BP57">
        <v>0</v>
      </c>
      <c r="BQ57">
        <v>1</v>
      </c>
      <c r="BR57">
        <v>0</v>
      </c>
      <c r="BS57">
        <v>0</v>
      </c>
      <c r="BT57" s="18">
        <v>0</v>
      </c>
      <c r="BU57">
        <v>0</v>
      </c>
      <c r="BV57">
        <v>0</v>
      </c>
      <c r="BW57">
        <v>1</v>
      </c>
      <c r="BX57" s="18">
        <v>0</v>
      </c>
      <c r="BY57">
        <v>1</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5"/>
        <v>0.58240213128098872</v>
      </c>
      <c r="F58" s="7">
        <v>13.513</v>
      </c>
      <c r="G58" s="7">
        <f t="shared" si="0"/>
        <v>7.2875978687190113</v>
      </c>
      <c r="H58" s="16">
        <f t="shared" si="1"/>
        <v>8.4524021312809889</v>
      </c>
      <c r="I58" s="11">
        <f t="shared" si="9"/>
        <v>0.34906695957381573</v>
      </c>
      <c r="J58" s="33">
        <f t="shared" si="10"/>
        <v>2.5831936622053998E-2</v>
      </c>
      <c r="K58" s="33">
        <f t="shared" si="11"/>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6"/>
        <v>0.1552</v>
      </c>
      <c r="AT58" s="40">
        <v>0.8448</v>
      </c>
      <c r="AU58">
        <v>1</v>
      </c>
      <c r="AV58" s="18">
        <v>0</v>
      </c>
      <c r="AW58" t="s">
        <v>98</v>
      </c>
      <c r="AX58" s="18" t="s">
        <v>98</v>
      </c>
      <c r="AY58" s="18" t="s">
        <v>26</v>
      </c>
      <c r="AZ58">
        <v>1</v>
      </c>
      <c r="BA58">
        <v>0</v>
      </c>
      <c r="BB58">
        <v>0</v>
      </c>
      <c r="BC58">
        <v>0</v>
      </c>
      <c r="BD58">
        <v>0</v>
      </c>
      <c r="BE58">
        <v>0</v>
      </c>
      <c r="BF58" s="18">
        <v>0</v>
      </c>
      <c r="BG58">
        <v>1</v>
      </c>
      <c r="BH58">
        <v>0</v>
      </c>
      <c r="BI58" s="18">
        <v>0</v>
      </c>
      <c r="BJ58">
        <v>12986</v>
      </c>
      <c r="BK58">
        <v>12942</v>
      </c>
      <c r="BL58" s="25" t="s">
        <v>98</v>
      </c>
      <c r="BM58">
        <v>1</v>
      </c>
      <c r="BN58">
        <v>0</v>
      </c>
      <c r="BO58">
        <v>0</v>
      </c>
      <c r="BP58">
        <v>0</v>
      </c>
      <c r="BQ58">
        <v>0</v>
      </c>
      <c r="BR58">
        <v>0</v>
      </c>
      <c r="BS58">
        <v>0</v>
      </c>
      <c r="BT58" s="18">
        <v>0</v>
      </c>
      <c r="BU58">
        <v>0</v>
      </c>
      <c r="BV58">
        <v>0</v>
      </c>
      <c r="BW58">
        <v>0</v>
      </c>
      <c r="BX58" s="1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5"/>
        <v>0.59187494911666527</v>
      </c>
      <c r="F59" s="7">
        <v>12.282999999999999</v>
      </c>
      <c r="G59" s="7">
        <f t="shared" si="0"/>
        <v>6.6781250508833345</v>
      </c>
      <c r="H59" s="16">
        <f t="shared" si="1"/>
        <v>7.8618749491166646</v>
      </c>
      <c r="I59" s="11">
        <f t="shared" si="9"/>
        <v>0.32180570593240293</v>
      </c>
      <c r="J59" s="33">
        <f t="shared" si="10"/>
        <v>2.6199275904290723E-2</v>
      </c>
      <c r="K59" s="33">
        <f t="shared" si="11"/>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6"/>
        <v>0.1552</v>
      </c>
      <c r="AT59" s="40">
        <v>0.8448</v>
      </c>
      <c r="AU59">
        <v>1</v>
      </c>
      <c r="AV59" s="18">
        <v>0</v>
      </c>
      <c r="AW59" t="s">
        <v>98</v>
      </c>
      <c r="AX59" s="18" t="s">
        <v>98</v>
      </c>
      <c r="AY59" s="18" t="s">
        <v>26</v>
      </c>
      <c r="AZ59">
        <v>1</v>
      </c>
      <c r="BA59">
        <v>0</v>
      </c>
      <c r="BB59">
        <v>0</v>
      </c>
      <c r="BC59">
        <v>0</v>
      </c>
      <c r="BD59">
        <v>0</v>
      </c>
      <c r="BE59">
        <v>0</v>
      </c>
      <c r="BF59" s="18">
        <v>0</v>
      </c>
      <c r="BG59">
        <v>1</v>
      </c>
      <c r="BH59">
        <v>0</v>
      </c>
      <c r="BI59" s="18">
        <v>0</v>
      </c>
      <c r="BJ59">
        <v>12986</v>
      </c>
      <c r="BK59">
        <v>12942</v>
      </c>
      <c r="BL59" s="25" t="s">
        <v>98</v>
      </c>
      <c r="BM59">
        <v>1</v>
      </c>
      <c r="BN59">
        <v>0</v>
      </c>
      <c r="BO59">
        <v>0</v>
      </c>
      <c r="BP59">
        <v>0</v>
      </c>
      <c r="BQ59">
        <v>0</v>
      </c>
      <c r="BR59">
        <v>0</v>
      </c>
      <c r="BS59">
        <v>0</v>
      </c>
      <c r="BT59" s="18">
        <v>0</v>
      </c>
      <c r="BU59">
        <v>0</v>
      </c>
      <c r="BV59">
        <v>0</v>
      </c>
      <c r="BW59">
        <v>0</v>
      </c>
      <c r="BX59" s="18">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5"/>
        <v>0.60047902341033765</v>
      </c>
      <c r="F60" s="7">
        <v>12.943</v>
      </c>
      <c r="G60" s="7">
        <f t="shared" si="0"/>
        <v>7.1715209765896626</v>
      </c>
      <c r="H60" s="16">
        <f t="shared" si="1"/>
        <v>8.3724790234103388</v>
      </c>
      <c r="I60" s="11">
        <f t="shared" si="9"/>
        <v>0.33603774798577535</v>
      </c>
      <c r="J60" s="33">
        <f t="shared" si="10"/>
        <v>2.5962894845536221E-2</v>
      </c>
      <c r="K60" s="33">
        <f t="shared" si="11"/>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6"/>
        <v>0.1552</v>
      </c>
      <c r="AT60" s="40">
        <v>0.8448</v>
      </c>
      <c r="AU60">
        <v>1</v>
      </c>
      <c r="AV60" s="18">
        <v>0</v>
      </c>
      <c r="AW60" t="s">
        <v>98</v>
      </c>
      <c r="AX60" s="18" t="s">
        <v>98</v>
      </c>
      <c r="AY60" s="18" t="s">
        <v>26</v>
      </c>
      <c r="AZ60">
        <v>1</v>
      </c>
      <c r="BA60">
        <v>0</v>
      </c>
      <c r="BB60">
        <v>0</v>
      </c>
      <c r="BC60">
        <v>0</v>
      </c>
      <c r="BD60">
        <v>0</v>
      </c>
      <c r="BE60">
        <v>0</v>
      </c>
      <c r="BF60" s="18">
        <v>0</v>
      </c>
      <c r="BG60">
        <v>1</v>
      </c>
      <c r="BH60">
        <v>0</v>
      </c>
      <c r="BI60" s="18">
        <v>0</v>
      </c>
      <c r="BJ60">
        <v>12986</v>
      </c>
      <c r="BK60">
        <v>12942</v>
      </c>
      <c r="BL60" s="25" t="s">
        <v>98</v>
      </c>
      <c r="BM60">
        <v>1</v>
      </c>
      <c r="BN60">
        <v>0</v>
      </c>
      <c r="BO60">
        <v>0</v>
      </c>
      <c r="BP60">
        <v>0</v>
      </c>
      <c r="BQ60">
        <v>0</v>
      </c>
      <c r="BR60">
        <v>0</v>
      </c>
      <c r="BS60">
        <v>0</v>
      </c>
      <c r="BT60" s="18">
        <v>0</v>
      </c>
      <c r="BU60">
        <v>0</v>
      </c>
      <c r="BV60">
        <v>1</v>
      </c>
      <c r="BW60">
        <v>0</v>
      </c>
      <c r="BX60" s="18">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5"/>
        <v>1.8861883277543299</v>
      </c>
      <c r="F61" s="7">
        <v>6.8710000000000004</v>
      </c>
      <c r="G61" s="7">
        <f t="shared" si="0"/>
        <v>11.073811672245672</v>
      </c>
      <c r="H61" s="16">
        <f t="shared" si="1"/>
        <v>14.84618832775433</v>
      </c>
      <c r="I61" s="11">
        <f t="shared" si="9"/>
        <v>0.18678295696006994</v>
      </c>
      <c r="J61" s="33">
        <f t="shared" si="10"/>
        <v>2.7184246392092843E-2</v>
      </c>
      <c r="K61" s="33">
        <f t="shared" si="11"/>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6"/>
        <v>0.1552</v>
      </c>
      <c r="AT61" s="40">
        <v>0.8448</v>
      </c>
      <c r="AU61">
        <v>1</v>
      </c>
      <c r="AV61" s="18">
        <v>0</v>
      </c>
      <c r="AW61" t="s">
        <v>98</v>
      </c>
      <c r="AX61" s="18" t="s">
        <v>98</v>
      </c>
      <c r="AY61" s="18" t="s">
        <v>26</v>
      </c>
      <c r="AZ61">
        <v>1</v>
      </c>
      <c r="BA61">
        <v>0</v>
      </c>
      <c r="BB61">
        <v>0</v>
      </c>
      <c r="BC61">
        <v>0</v>
      </c>
      <c r="BD61">
        <v>0</v>
      </c>
      <c r="BE61">
        <v>0</v>
      </c>
      <c r="BF61" s="18">
        <v>0</v>
      </c>
      <c r="BG61">
        <v>1</v>
      </c>
      <c r="BH61">
        <v>0</v>
      </c>
      <c r="BI61" s="18">
        <v>0</v>
      </c>
      <c r="BJ61">
        <v>12986</v>
      </c>
      <c r="BK61">
        <v>12942</v>
      </c>
      <c r="BL61" s="25" t="s">
        <v>98</v>
      </c>
      <c r="BM61">
        <v>0</v>
      </c>
      <c r="BN61">
        <v>0</v>
      </c>
      <c r="BO61">
        <v>0</v>
      </c>
      <c r="BP61">
        <v>0</v>
      </c>
      <c r="BQ61">
        <v>1</v>
      </c>
      <c r="BR61">
        <v>0</v>
      </c>
      <c r="BS61">
        <v>0</v>
      </c>
      <c r="BT61" s="18">
        <v>0</v>
      </c>
      <c r="BU61">
        <v>0</v>
      </c>
      <c r="BV61">
        <v>1</v>
      </c>
      <c r="BW61">
        <v>0</v>
      </c>
      <c r="BX61" s="18">
        <v>0</v>
      </c>
      <c r="BY61">
        <v>1</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5"/>
        <v>0.60224794497567513</v>
      </c>
      <c r="F62" s="7">
        <v>11.922000000000001</v>
      </c>
      <c r="G62" s="7">
        <f t="shared" si="0"/>
        <v>6.5777520550243249</v>
      </c>
      <c r="H62" s="16">
        <f t="shared" si="1"/>
        <v>7.7822479449756745</v>
      </c>
      <c r="I62" s="11">
        <f t="shared" si="9"/>
        <v>0.31221257172325378</v>
      </c>
      <c r="J62" s="33">
        <f t="shared" si="10"/>
        <v>2.6187935893579414E-2</v>
      </c>
      <c r="K62" s="33">
        <f t="shared" si="11"/>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6"/>
        <v>0.1552</v>
      </c>
      <c r="AT62" s="40">
        <v>0.8448</v>
      </c>
      <c r="AU62">
        <v>1</v>
      </c>
      <c r="AV62" s="18">
        <v>0</v>
      </c>
      <c r="AW62" t="s">
        <v>98</v>
      </c>
      <c r="AX62" s="18" t="s">
        <v>98</v>
      </c>
      <c r="AY62" s="18" t="s">
        <v>26</v>
      </c>
      <c r="AZ62">
        <v>1</v>
      </c>
      <c r="BA62">
        <v>0</v>
      </c>
      <c r="BB62">
        <v>0</v>
      </c>
      <c r="BC62">
        <v>0</v>
      </c>
      <c r="BD62">
        <v>0</v>
      </c>
      <c r="BE62">
        <v>0</v>
      </c>
      <c r="BF62" s="18">
        <v>0</v>
      </c>
      <c r="BG62">
        <v>1</v>
      </c>
      <c r="BH62">
        <v>0</v>
      </c>
      <c r="BI62" s="18">
        <v>0</v>
      </c>
      <c r="BJ62">
        <v>12986</v>
      </c>
      <c r="BK62">
        <v>12942</v>
      </c>
      <c r="BL62" s="25" t="s">
        <v>98</v>
      </c>
      <c r="BM62">
        <v>1</v>
      </c>
      <c r="BN62">
        <v>0</v>
      </c>
      <c r="BO62">
        <v>0</v>
      </c>
      <c r="BP62">
        <v>0</v>
      </c>
      <c r="BQ62">
        <v>0</v>
      </c>
      <c r="BR62">
        <v>0</v>
      </c>
      <c r="BS62">
        <v>0</v>
      </c>
      <c r="BT62" s="18">
        <v>0</v>
      </c>
      <c r="BU62">
        <v>0</v>
      </c>
      <c r="BV62">
        <v>1</v>
      </c>
      <c r="BW62">
        <v>0</v>
      </c>
      <c r="BX62" s="18">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5"/>
        <v>1.8274809160305345</v>
      </c>
      <c r="F63" s="55">
        <v>6.55</v>
      </c>
      <c r="G63" s="55">
        <f t="shared" si="0"/>
        <v>10.142519083969466</v>
      </c>
      <c r="H63" s="56">
        <f t="shared" si="1"/>
        <v>13.797480916030535</v>
      </c>
      <c r="I63" s="11">
        <f t="shared" si="9"/>
        <v>0.17834092719289177</v>
      </c>
      <c r="J63" s="33">
        <f t="shared" si="10"/>
        <v>2.7227622472197219E-2</v>
      </c>
      <c r="K63" s="33">
        <f t="shared" si="11"/>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6"/>
        <v>0.1552</v>
      </c>
      <c r="AT63" s="66">
        <v>0.8448</v>
      </c>
      <c r="AU63">
        <v>1</v>
      </c>
      <c r="AV63" s="65">
        <v>0</v>
      </c>
      <c r="AW63" s="51" t="s">
        <v>98</v>
      </c>
      <c r="AX63" s="65" t="s">
        <v>98</v>
      </c>
      <c r="AY63" s="65" t="s">
        <v>26</v>
      </c>
      <c r="AZ63">
        <v>1</v>
      </c>
      <c r="BA63">
        <v>0</v>
      </c>
      <c r="BB63">
        <v>0</v>
      </c>
      <c r="BC63">
        <v>0</v>
      </c>
      <c r="BD63">
        <v>0</v>
      </c>
      <c r="BE63">
        <v>0</v>
      </c>
      <c r="BF63" s="65">
        <v>0</v>
      </c>
      <c r="BG63">
        <v>1</v>
      </c>
      <c r="BH63">
        <v>0</v>
      </c>
      <c r="BI63" s="65">
        <v>0</v>
      </c>
      <c r="BJ63">
        <v>12986</v>
      </c>
      <c r="BK63">
        <v>12942</v>
      </c>
      <c r="BL63" s="52" t="s">
        <v>98</v>
      </c>
      <c r="BM63" s="51">
        <v>0</v>
      </c>
      <c r="BN63" s="51">
        <v>0</v>
      </c>
      <c r="BO63" s="51">
        <v>0</v>
      </c>
      <c r="BP63" s="51">
        <v>0</v>
      </c>
      <c r="BQ63" s="51">
        <v>1</v>
      </c>
      <c r="BR63" s="51">
        <v>0</v>
      </c>
      <c r="BS63" s="51">
        <v>0</v>
      </c>
      <c r="BT63" s="65">
        <v>0</v>
      </c>
      <c r="BU63" s="51">
        <v>0</v>
      </c>
      <c r="BV63" s="51">
        <v>1</v>
      </c>
      <c r="BW63" s="51">
        <v>0</v>
      </c>
      <c r="BX63" s="65">
        <v>0</v>
      </c>
      <c r="BY63" s="51">
        <v>1</v>
      </c>
      <c r="BZ63" s="51">
        <v>0</v>
      </c>
      <c r="CA63" s="51">
        <v>0</v>
      </c>
      <c r="CB63" s="51">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7">D64/E64</f>
        <v>37.777777777777779</v>
      </c>
      <c r="G64" s="7">
        <f t="shared" si="0"/>
        <v>6.62</v>
      </c>
      <c r="H64" s="16">
        <f t="shared" si="1"/>
        <v>6.9799999999999995</v>
      </c>
      <c r="I64" s="11">
        <f t="shared" si="9"/>
        <v>0.26682149061827387</v>
      </c>
      <c r="J64" s="33">
        <f t="shared" si="10"/>
        <v>7.0629218104837199E-3</v>
      </c>
      <c r="K64" s="33">
        <f t="shared" si="11"/>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v>0</v>
      </c>
      <c r="BF64" s="18">
        <v>0</v>
      </c>
      <c r="BG64">
        <v>1</v>
      </c>
      <c r="BH64">
        <v>0</v>
      </c>
      <c r="BI64" s="18">
        <v>0</v>
      </c>
      <c r="BJ64">
        <v>15116</v>
      </c>
      <c r="BK64">
        <v>12548</v>
      </c>
      <c r="BL64" s="25" t="s">
        <v>98</v>
      </c>
      <c r="BM64">
        <v>0</v>
      </c>
      <c r="BN64">
        <v>0</v>
      </c>
      <c r="BO64">
        <v>0</v>
      </c>
      <c r="BP64">
        <v>0</v>
      </c>
      <c r="BQ64">
        <v>0</v>
      </c>
      <c r="BR64">
        <v>0</v>
      </c>
      <c r="BS64">
        <v>0</v>
      </c>
      <c r="BT64" s="18">
        <v>1</v>
      </c>
      <c r="BU64">
        <v>0</v>
      </c>
      <c r="BV64">
        <v>0</v>
      </c>
      <c r="BW64">
        <v>1</v>
      </c>
      <c r="BX64" s="18">
        <v>0</v>
      </c>
      <c r="BY64">
        <v>1</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7"/>
        <v>31.434782608695652</v>
      </c>
      <c r="G65" s="7">
        <f t="shared" si="0"/>
        <v>7</v>
      </c>
      <c r="H65" s="16">
        <f t="shared" si="1"/>
        <v>7.4600000000000009</v>
      </c>
      <c r="I65" s="11">
        <f t="shared" si="9"/>
        <v>0.31722953329131282</v>
      </c>
      <c r="J65" s="33">
        <f t="shared" si="10"/>
        <v>1.0091672566666935E-2</v>
      </c>
      <c r="K65" s="33">
        <f t="shared" si="11"/>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v>0</v>
      </c>
      <c r="BF65" s="18">
        <v>0</v>
      </c>
      <c r="BG65">
        <v>1</v>
      </c>
      <c r="BH65">
        <v>0</v>
      </c>
      <c r="BI65" s="18">
        <v>0</v>
      </c>
      <c r="BJ65">
        <v>15116</v>
      </c>
      <c r="BK65">
        <v>12548</v>
      </c>
      <c r="BL65" s="25" t="s">
        <v>98</v>
      </c>
      <c r="BM65">
        <v>0</v>
      </c>
      <c r="BN65">
        <v>0</v>
      </c>
      <c r="BO65">
        <v>0</v>
      </c>
      <c r="BP65">
        <v>0</v>
      </c>
      <c r="BQ65">
        <v>0</v>
      </c>
      <c r="BR65">
        <v>0</v>
      </c>
      <c r="BS65">
        <v>0</v>
      </c>
      <c r="BT65" s="18">
        <v>1</v>
      </c>
      <c r="BU65">
        <v>0</v>
      </c>
      <c r="BV65">
        <v>0</v>
      </c>
      <c r="BW65">
        <v>1</v>
      </c>
      <c r="BX65" s="18">
        <v>0</v>
      </c>
      <c r="BY65">
        <v>1</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7"/>
        <v>23.703703703703702</v>
      </c>
      <c r="G66" s="7">
        <f t="shared" ref="G66:G129" si="18">D66-E66</f>
        <v>6.1300000000000008</v>
      </c>
      <c r="H66" s="16">
        <f t="shared" ref="H66:H129" si="19">D66+E66</f>
        <v>6.67</v>
      </c>
      <c r="I66" s="11">
        <f t="shared" si="9"/>
        <v>0.23315395335818478</v>
      </c>
      <c r="J66" s="33">
        <f t="shared" si="10"/>
        <v>9.8361824072984213E-3</v>
      </c>
      <c r="K66" s="33">
        <f t="shared" si="11"/>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v>0</v>
      </c>
      <c r="BF66" s="18">
        <v>0</v>
      </c>
      <c r="BG66">
        <v>1</v>
      </c>
      <c r="BH66">
        <v>0</v>
      </c>
      <c r="BI66" s="18">
        <v>0</v>
      </c>
      <c r="BJ66">
        <v>15116</v>
      </c>
      <c r="BK66">
        <v>12548</v>
      </c>
      <c r="BL66" s="25" t="s">
        <v>98</v>
      </c>
      <c r="BM66">
        <v>0</v>
      </c>
      <c r="BN66">
        <v>0</v>
      </c>
      <c r="BO66">
        <v>0</v>
      </c>
      <c r="BP66">
        <v>0</v>
      </c>
      <c r="BQ66">
        <v>0</v>
      </c>
      <c r="BR66">
        <v>0</v>
      </c>
      <c r="BS66">
        <v>0</v>
      </c>
      <c r="BT66" s="18">
        <v>1</v>
      </c>
      <c r="BU66">
        <v>0</v>
      </c>
      <c r="BV66">
        <v>0</v>
      </c>
      <c r="BW66">
        <v>1</v>
      </c>
      <c r="BX66" s="18">
        <v>0</v>
      </c>
      <c r="BY66">
        <v>1</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7"/>
        <v>34.136363636363633</v>
      </c>
      <c r="G67" s="7">
        <f t="shared" si="18"/>
        <v>7.29</v>
      </c>
      <c r="H67" s="16">
        <f t="shared" si="19"/>
        <v>7.7299999999999995</v>
      </c>
      <c r="I67" s="11">
        <f t="shared" si="9"/>
        <v>0.30012044195995219</v>
      </c>
      <c r="J67" s="33">
        <f t="shared" si="10"/>
        <v>8.7918105500918095E-3</v>
      </c>
      <c r="K67" s="33">
        <f t="shared" si="11"/>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v>0</v>
      </c>
      <c r="BF67" s="18">
        <v>0</v>
      </c>
      <c r="BG67">
        <v>1</v>
      </c>
      <c r="BH67">
        <v>0</v>
      </c>
      <c r="BI67" s="18">
        <v>0</v>
      </c>
      <c r="BJ67">
        <v>15116</v>
      </c>
      <c r="BK67">
        <v>12548</v>
      </c>
      <c r="BL67" s="25" t="s">
        <v>98</v>
      </c>
      <c r="BM67">
        <v>0</v>
      </c>
      <c r="BN67">
        <v>0</v>
      </c>
      <c r="BO67">
        <v>0</v>
      </c>
      <c r="BP67">
        <v>0</v>
      </c>
      <c r="BQ67">
        <v>0</v>
      </c>
      <c r="BR67">
        <v>0</v>
      </c>
      <c r="BS67">
        <v>0</v>
      </c>
      <c r="BT67" s="18">
        <v>1</v>
      </c>
      <c r="BU67">
        <v>0</v>
      </c>
      <c r="BV67">
        <v>0</v>
      </c>
      <c r="BW67">
        <v>1</v>
      </c>
      <c r="BX67" s="18">
        <v>0</v>
      </c>
      <c r="BY67">
        <v>1</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7"/>
        <v>20.645161290322584</v>
      </c>
      <c r="G68" s="55">
        <f t="shared" si="18"/>
        <v>6.0900000000000007</v>
      </c>
      <c r="H68" s="56">
        <f t="shared" si="19"/>
        <v>6.71</v>
      </c>
      <c r="I68" s="11">
        <f t="shared" si="9"/>
        <v>0.24231105060910629</v>
      </c>
      <c r="J68" s="33">
        <f t="shared" si="10"/>
        <v>1.1736941513878585E-2</v>
      </c>
      <c r="K68" s="33">
        <f t="shared" si="11"/>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v>0</v>
      </c>
      <c r="BF68" s="65">
        <v>0</v>
      </c>
      <c r="BG68">
        <v>1</v>
      </c>
      <c r="BH68">
        <v>0</v>
      </c>
      <c r="BI68" s="65">
        <v>0</v>
      </c>
      <c r="BJ68">
        <v>15116</v>
      </c>
      <c r="BK68">
        <v>12548</v>
      </c>
      <c r="BL68" s="52" t="s">
        <v>98</v>
      </c>
      <c r="BM68" s="51">
        <v>0</v>
      </c>
      <c r="BN68" s="51">
        <v>0</v>
      </c>
      <c r="BO68" s="51">
        <v>0</v>
      </c>
      <c r="BP68" s="51">
        <v>0</v>
      </c>
      <c r="BQ68" s="51">
        <v>0</v>
      </c>
      <c r="BR68" s="51">
        <v>0</v>
      </c>
      <c r="BS68" s="51">
        <v>0</v>
      </c>
      <c r="BT68" s="65">
        <v>1</v>
      </c>
      <c r="BU68" s="51">
        <v>0</v>
      </c>
      <c r="BV68" s="51">
        <v>0</v>
      </c>
      <c r="BW68" s="51">
        <v>1</v>
      </c>
      <c r="BX68" s="65">
        <v>0</v>
      </c>
      <c r="BY68" s="51">
        <v>1</v>
      </c>
      <c r="BZ68" s="51">
        <v>0</v>
      </c>
      <c r="CA68" s="51">
        <v>0</v>
      </c>
      <c r="CB68" s="51">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7"/>
        <v>115.99999999999997</v>
      </c>
      <c r="G69" s="7">
        <f t="shared" si="18"/>
        <v>8.0499999999999989</v>
      </c>
      <c r="H69" s="16">
        <f t="shared" si="19"/>
        <v>8.19</v>
      </c>
      <c r="I69" s="11">
        <f t="shared" si="9"/>
        <v>0.11732222220965668</v>
      </c>
      <c r="J69" s="33">
        <f t="shared" si="10"/>
        <v>1.0113984673246269E-3</v>
      </c>
      <c r="K69" s="33">
        <f t="shared" si="11"/>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v>0</v>
      </c>
      <c r="BF69" s="18">
        <v>0</v>
      </c>
      <c r="BG69">
        <v>1</v>
      </c>
      <c r="BH69">
        <v>0</v>
      </c>
      <c r="BI69" s="18">
        <v>0</v>
      </c>
      <c r="BJ69">
        <v>5548</v>
      </c>
      <c r="BK69">
        <v>312</v>
      </c>
      <c r="BL69" s="25" t="s">
        <v>98</v>
      </c>
      <c r="BM69">
        <v>1</v>
      </c>
      <c r="BN69">
        <v>0</v>
      </c>
      <c r="BO69">
        <v>0</v>
      </c>
      <c r="BP69">
        <v>0</v>
      </c>
      <c r="BQ69">
        <v>0</v>
      </c>
      <c r="BR69">
        <v>0</v>
      </c>
      <c r="BS69">
        <v>0</v>
      </c>
      <c r="BT69" s="18">
        <v>0</v>
      </c>
      <c r="BU69">
        <v>0</v>
      </c>
      <c r="BV69">
        <v>0</v>
      </c>
      <c r="BW69">
        <v>1</v>
      </c>
      <c r="BX69" s="18">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7"/>
        <v>71.900000000000006</v>
      </c>
      <c r="G70" s="7">
        <f t="shared" si="18"/>
        <v>7.0900000000000007</v>
      </c>
      <c r="H70" s="16">
        <f t="shared" si="19"/>
        <v>7.29</v>
      </c>
      <c r="I70" s="11">
        <f t="shared" si="9"/>
        <v>7.3029759659608812E-2</v>
      </c>
      <c r="J70" s="33">
        <f t="shared" si="10"/>
        <v>1.0157129298972018E-3</v>
      </c>
      <c r="K70" s="33">
        <f t="shared" si="11"/>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v>0</v>
      </c>
      <c r="BF70" s="18">
        <v>0</v>
      </c>
      <c r="BG70">
        <v>1</v>
      </c>
      <c r="BH70">
        <v>0</v>
      </c>
      <c r="BI70" s="18">
        <v>0</v>
      </c>
      <c r="BJ70">
        <v>5548</v>
      </c>
      <c r="BK70">
        <v>312</v>
      </c>
      <c r="BL70" s="25" t="s">
        <v>98</v>
      </c>
      <c r="BM70">
        <v>1</v>
      </c>
      <c r="BN70">
        <v>0</v>
      </c>
      <c r="BO70">
        <v>0</v>
      </c>
      <c r="BP70">
        <v>0</v>
      </c>
      <c r="BQ70">
        <v>0</v>
      </c>
      <c r="BR70">
        <v>0</v>
      </c>
      <c r="BS70">
        <v>0</v>
      </c>
      <c r="BT70" s="18">
        <v>0</v>
      </c>
      <c r="BU70">
        <v>0</v>
      </c>
      <c r="BV70">
        <v>0</v>
      </c>
      <c r="BW70">
        <v>1</v>
      </c>
      <c r="BX70" s="18">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7"/>
        <v>105.71428571428571</v>
      </c>
      <c r="G71" s="7">
        <f t="shared" si="18"/>
        <v>7.33</v>
      </c>
      <c r="H71" s="16">
        <f t="shared" si="19"/>
        <v>7.4700000000000006</v>
      </c>
      <c r="I71" s="11">
        <f t="shared" si="9"/>
        <v>0.1070442492936699</v>
      </c>
      <c r="J71" s="33">
        <f t="shared" si="10"/>
        <v>1.0125807365617423E-3</v>
      </c>
      <c r="K71" s="33">
        <f t="shared" si="11"/>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v>0</v>
      </c>
      <c r="BF71" s="18">
        <v>0</v>
      </c>
      <c r="BG71">
        <v>1</v>
      </c>
      <c r="BH71">
        <v>0</v>
      </c>
      <c r="BI71" s="18">
        <v>0</v>
      </c>
      <c r="BJ71">
        <v>5548</v>
      </c>
      <c r="BK71">
        <v>312</v>
      </c>
      <c r="BL71" s="25" t="s">
        <v>98</v>
      </c>
      <c r="BM71">
        <v>1</v>
      </c>
      <c r="BN71">
        <v>0</v>
      </c>
      <c r="BO71">
        <v>0</v>
      </c>
      <c r="BP71">
        <v>0</v>
      </c>
      <c r="BQ71">
        <v>0</v>
      </c>
      <c r="BR71">
        <v>0</v>
      </c>
      <c r="BS71">
        <v>0</v>
      </c>
      <c r="BT71" s="18">
        <v>0</v>
      </c>
      <c r="BU71">
        <v>0</v>
      </c>
      <c r="BV71">
        <v>0</v>
      </c>
      <c r="BW71">
        <v>1</v>
      </c>
      <c r="BX71" s="18">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7"/>
        <v>64.5</v>
      </c>
      <c r="G72" s="7">
        <f t="shared" si="18"/>
        <v>6.3500000000000005</v>
      </c>
      <c r="H72" s="16">
        <f t="shared" si="19"/>
        <v>6.55</v>
      </c>
      <c r="I72" s="11">
        <f t="shared" ref="I72:I135" si="23">IFERROR(F72/SQRT(F72^2+U72), "X")</f>
        <v>6.554765504121858E-2</v>
      </c>
      <c r="J72" s="33">
        <f t="shared" ref="J72:J135" si="24">IFERROR(SQRT((1-I72^2)/U72), "X")</f>
        <v>1.0162427138173424E-3</v>
      </c>
      <c r="K72" s="33">
        <f t="shared" ref="K72:K135" si="25">IFERROR(1/J72, "X")</f>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v>0</v>
      </c>
      <c r="BF72" s="18">
        <v>0</v>
      </c>
      <c r="BG72">
        <v>1</v>
      </c>
      <c r="BH72">
        <v>0</v>
      </c>
      <c r="BI72" s="18">
        <v>0</v>
      </c>
      <c r="BJ72">
        <v>5548</v>
      </c>
      <c r="BK72">
        <v>312</v>
      </c>
      <c r="BL72" s="25" t="s">
        <v>98</v>
      </c>
      <c r="BM72">
        <v>1</v>
      </c>
      <c r="BN72">
        <v>0</v>
      </c>
      <c r="BO72">
        <v>0</v>
      </c>
      <c r="BP72">
        <v>0</v>
      </c>
      <c r="BQ72">
        <v>0</v>
      </c>
      <c r="BR72">
        <v>0</v>
      </c>
      <c r="BS72">
        <v>0</v>
      </c>
      <c r="BT72" s="18">
        <v>0</v>
      </c>
      <c r="BU72">
        <v>0</v>
      </c>
      <c r="BV72">
        <v>0</v>
      </c>
      <c r="BW72">
        <v>1</v>
      </c>
      <c r="BX72" s="18">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7"/>
        <v>6.8461538461538467</v>
      </c>
      <c r="G73" s="7">
        <f t="shared" si="18"/>
        <v>6.84</v>
      </c>
      <c r="H73" s="16">
        <f t="shared" si="19"/>
        <v>9.18</v>
      </c>
      <c r="I73" s="11">
        <f t="shared" si="23"/>
        <v>6.9447151564347356E-3</v>
      </c>
      <c r="J73" s="33">
        <f t="shared" si="24"/>
        <v>1.0143965958837253E-3</v>
      </c>
      <c r="K73" s="33">
        <f t="shared" si="25"/>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v>0</v>
      </c>
      <c r="BF73" s="18">
        <v>0</v>
      </c>
      <c r="BG73">
        <v>1</v>
      </c>
      <c r="BH73">
        <v>0</v>
      </c>
      <c r="BI73" s="18">
        <v>0</v>
      </c>
      <c r="BJ73">
        <v>5548</v>
      </c>
      <c r="BK73">
        <v>312</v>
      </c>
      <c r="BL73" s="25" t="s">
        <v>98</v>
      </c>
      <c r="BM73">
        <v>1</v>
      </c>
      <c r="BN73">
        <v>0</v>
      </c>
      <c r="BO73">
        <v>0</v>
      </c>
      <c r="BP73">
        <v>0</v>
      </c>
      <c r="BQ73">
        <v>0</v>
      </c>
      <c r="BR73">
        <v>0</v>
      </c>
      <c r="BS73">
        <v>0</v>
      </c>
      <c r="BT73" s="18">
        <v>0</v>
      </c>
      <c r="BU73">
        <v>0</v>
      </c>
      <c r="BV73">
        <v>0</v>
      </c>
      <c r="BW73">
        <v>1</v>
      </c>
      <c r="BX73" s="18">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7"/>
        <v>8.3411764705882359</v>
      </c>
      <c r="G74" s="7">
        <f t="shared" si="18"/>
        <v>6.24</v>
      </c>
      <c r="H74" s="16">
        <f t="shared" si="19"/>
        <v>7.9399999999999995</v>
      </c>
      <c r="I74" s="11">
        <f t="shared" si="23"/>
        <v>8.4946221700158073E-3</v>
      </c>
      <c r="J74" s="33">
        <f t="shared" si="24"/>
        <v>1.01839616988906E-3</v>
      </c>
      <c r="K74" s="33">
        <f t="shared" si="25"/>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v>0</v>
      </c>
      <c r="BF74" s="18">
        <v>0</v>
      </c>
      <c r="BG74">
        <v>1</v>
      </c>
      <c r="BH74">
        <v>0</v>
      </c>
      <c r="BI74" s="18">
        <v>0</v>
      </c>
      <c r="BJ74">
        <v>5548</v>
      </c>
      <c r="BK74">
        <v>312</v>
      </c>
      <c r="BL74" s="25" t="s">
        <v>98</v>
      </c>
      <c r="BM74">
        <v>1</v>
      </c>
      <c r="BN74">
        <v>0</v>
      </c>
      <c r="BO74">
        <v>0</v>
      </c>
      <c r="BP74">
        <v>0</v>
      </c>
      <c r="BQ74">
        <v>0</v>
      </c>
      <c r="BR74">
        <v>0</v>
      </c>
      <c r="BS74">
        <v>0</v>
      </c>
      <c r="BT74" s="18">
        <v>0</v>
      </c>
      <c r="BU74">
        <v>0</v>
      </c>
      <c r="BV74">
        <v>0</v>
      </c>
      <c r="BW74">
        <v>1</v>
      </c>
      <c r="BX74" s="18">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7"/>
        <v>8.329411764705883</v>
      </c>
      <c r="G75" s="7">
        <f t="shared" si="18"/>
        <v>6.23</v>
      </c>
      <c r="H75" s="16">
        <f t="shared" si="19"/>
        <v>7.93</v>
      </c>
      <c r="I75" s="11">
        <f t="shared" si="23"/>
        <v>8.4826463001277368E-3</v>
      </c>
      <c r="J75" s="33">
        <f t="shared" si="24"/>
        <v>1.018396801569008E-3</v>
      </c>
      <c r="K75" s="33">
        <f t="shared" si="25"/>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v>0</v>
      </c>
      <c r="BF75" s="18">
        <v>0</v>
      </c>
      <c r="BG75">
        <v>1</v>
      </c>
      <c r="BH75">
        <v>0</v>
      </c>
      <c r="BI75" s="18">
        <v>0</v>
      </c>
      <c r="BJ75">
        <v>5548</v>
      </c>
      <c r="BK75">
        <v>312</v>
      </c>
      <c r="BL75" s="25" t="s">
        <v>98</v>
      </c>
      <c r="BM75">
        <v>1</v>
      </c>
      <c r="BN75">
        <v>0</v>
      </c>
      <c r="BO75">
        <v>0</v>
      </c>
      <c r="BP75">
        <v>0</v>
      </c>
      <c r="BQ75">
        <v>0</v>
      </c>
      <c r="BR75">
        <v>0</v>
      </c>
      <c r="BS75">
        <v>0</v>
      </c>
      <c r="BT75" s="18">
        <v>0</v>
      </c>
      <c r="BU75">
        <v>0</v>
      </c>
      <c r="BV75">
        <v>0</v>
      </c>
      <c r="BW75">
        <v>1</v>
      </c>
      <c r="BX75" s="18">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7"/>
        <v>6.9111111111111105</v>
      </c>
      <c r="G76" s="55">
        <f t="shared" si="18"/>
        <v>5.3199999999999994</v>
      </c>
      <c r="H76" s="56">
        <f t="shared" si="19"/>
        <v>7.12</v>
      </c>
      <c r="I76" s="11">
        <f t="shared" si="23"/>
        <v>7.0383359948511404E-3</v>
      </c>
      <c r="J76" s="33">
        <f t="shared" si="24"/>
        <v>1.0184087452356956E-3</v>
      </c>
      <c r="K76" s="33">
        <f t="shared" si="25"/>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v>0</v>
      </c>
      <c r="BF76" s="65">
        <v>0</v>
      </c>
      <c r="BG76">
        <v>1</v>
      </c>
      <c r="BH76">
        <v>0</v>
      </c>
      <c r="BI76" s="65">
        <v>0</v>
      </c>
      <c r="BJ76">
        <v>5548</v>
      </c>
      <c r="BK76">
        <v>312</v>
      </c>
      <c r="BL76" s="52" t="s">
        <v>98</v>
      </c>
      <c r="BM76" s="51">
        <v>1</v>
      </c>
      <c r="BN76" s="51">
        <v>0</v>
      </c>
      <c r="BO76" s="51">
        <v>0</v>
      </c>
      <c r="BP76" s="51">
        <v>0</v>
      </c>
      <c r="BQ76" s="51">
        <v>0</v>
      </c>
      <c r="BR76" s="51">
        <v>0</v>
      </c>
      <c r="BS76" s="51">
        <v>0</v>
      </c>
      <c r="BT76" s="65">
        <v>0</v>
      </c>
      <c r="BU76" s="51">
        <v>0</v>
      </c>
      <c r="BV76" s="51">
        <v>0</v>
      </c>
      <c r="BW76" s="51">
        <v>1</v>
      </c>
      <c r="BX76" s="65">
        <v>0</v>
      </c>
      <c r="BY76" s="51">
        <v>0</v>
      </c>
      <c r="BZ76" s="51">
        <v>0</v>
      </c>
      <c r="CA76" s="51">
        <v>0</v>
      </c>
      <c r="CB76" s="51">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D77/F77</f>
        <v>2.5330082639394611</v>
      </c>
      <c r="F77" s="7">
        <v>0.63166</v>
      </c>
      <c r="G77" s="7">
        <f t="shared" si="18"/>
        <v>-0.93300826393946101</v>
      </c>
      <c r="H77" s="16">
        <f t="shared" si="19"/>
        <v>4.1330082639394607</v>
      </c>
      <c r="I77" s="11">
        <f t="shared" si="23"/>
        <v>2.1204298527480476E-2</v>
      </c>
      <c r="J77" s="33">
        <f t="shared" si="24"/>
        <v>3.3569164625717123E-2</v>
      </c>
      <c r="K77" s="33">
        <f t="shared" si="25"/>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v>0</v>
      </c>
      <c r="BF77" s="18">
        <v>1</v>
      </c>
      <c r="BG77">
        <v>0</v>
      </c>
      <c r="BH77">
        <v>1</v>
      </c>
      <c r="BI77" s="18">
        <v>0</v>
      </c>
      <c r="BJ77">
        <v>994</v>
      </c>
      <c r="BK77">
        <v>44</v>
      </c>
      <c r="BL77" s="25">
        <v>30</v>
      </c>
      <c r="BM77">
        <v>1</v>
      </c>
      <c r="BN77">
        <v>0</v>
      </c>
      <c r="BO77">
        <v>0</v>
      </c>
      <c r="BP77">
        <v>0</v>
      </c>
      <c r="BQ77">
        <v>0</v>
      </c>
      <c r="BR77">
        <v>0</v>
      </c>
      <c r="BS77">
        <v>0</v>
      </c>
      <c r="BT77" s="18">
        <v>0</v>
      </c>
      <c r="BU77">
        <v>0</v>
      </c>
      <c r="BV77">
        <v>0</v>
      </c>
      <c r="BW77">
        <v>0</v>
      </c>
      <c r="BX77" s="18">
        <v>1</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D78/F78</f>
        <v>2.2898561177022105</v>
      </c>
      <c r="F78" s="7">
        <v>5.5461999999999998</v>
      </c>
      <c r="G78" s="7">
        <f t="shared" si="18"/>
        <v>10.410143882297788</v>
      </c>
      <c r="H78" s="16">
        <f t="shared" si="19"/>
        <v>14.98985611770221</v>
      </c>
      <c r="I78" s="11">
        <f t="shared" si="23"/>
        <v>0.18307577644744008</v>
      </c>
      <c r="J78" s="33">
        <f t="shared" si="24"/>
        <v>3.3009227299311251E-2</v>
      </c>
      <c r="K78" s="33">
        <f t="shared" si="25"/>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v>0</v>
      </c>
      <c r="BF78" s="18">
        <v>1</v>
      </c>
      <c r="BG78">
        <v>0</v>
      </c>
      <c r="BH78">
        <v>1</v>
      </c>
      <c r="BI78" s="18">
        <v>0</v>
      </c>
      <c r="BJ78">
        <v>994</v>
      </c>
      <c r="BK78">
        <v>44</v>
      </c>
      <c r="BL78" s="25">
        <v>37.799999999999997</v>
      </c>
      <c r="BM78">
        <v>1</v>
      </c>
      <c r="BN78">
        <v>0</v>
      </c>
      <c r="BO78">
        <v>0</v>
      </c>
      <c r="BP78">
        <v>0</v>
      </c>
      <c r="BQ78">
        <v>0</v>
      </c>
      <c r="BR78">
        <v>0</v>
      </c>
      <c r="BS78">
        <v>0</v>
      </c>
      <c r="BT78" s="18">
        <v>0</v>
      </c>
      <c r="BU78">
        <v>0</v>
      </c>
      <c r="BV78">
        <v>0</v>
      </c>
      <c r="BW78">
        <v>0</v>
      </c>
      <c r="BX78" s="18">
        <v>1</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D79/F79</f>
        <v>0.82090468299269626</v>
      </c>
      <c r="F79" s="7">
        <v>13.0344</v>
      </c>
      <c r="G79" s="7">
        <f t="shared" si="18"/>
        <v>9.8790953170073035</v>
      </c>
      <c r="H79" s="16">
        <f t="shared" si="19"/>
        <v>11.520904682992695</v>
      </c>
      <c r="I79" s="11">
        <f t="shared" si="23"/>
        <v>0.40093595358979528</v>
      </c>
      <c r="J79" s="33">
        <f t="shared" si="24"/>
        <v>3.0759831951589284E-2</v>
      </c>
      <c r="K79" s="33">
        <f t="shared" si="25"/>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v>0</v>
      </c>
      <c r="BF79" s="18">
        <v>1</v>
      </c>
      <c r="BG79">
        <v>0</v>
      </c>
      <c r="BH79">
        <v>1</v>
      </c>
      <c r="BI79" s="18">
        <v>0</v>
      </c>
      <c r="BJ79">
        <v>994</v>
      </c>
      <c r="BK79">
        <v>44</v>
      </c>
      <c r="BL79" s="25">
        <v>37.799999999999997</v>
      </c>
      <c r="BM79">
        <v>1</v>
      </c>
      <c r="BN79">
        <v>0</v>
      </c>
      <c r="BO79">
        <v>0</v>
      </c>
      <c r="BP79">
        <v>0</v>
      </c>
      <c r="BQ79">
        <v>0</v>
      </c>
      <c r="BR79">
        <v>0</v>
      </c>
      <c r="BS79">
        <v>0</v>
      </c>
      <c r="BT79" s="18">
        <v>0</v>
      </c>
      <c r="BU79">
        <v>0</v>
      </c>
      <c r="BV79">
        <v>0</v>
      </c>
      <c r="BW79">
        <v>0</v>
      </c>
      <c r="BX79" s="18">
        <v>1</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D80/F80</f>
        <v>0.82927798192471935</v>
      </c>
      <c r="F80" s="55">
        <v>20.138000000000002</v>
      </c>
      <c r="G80" s="55">
        <f t="shared" si="18"/>
        <v>15.870722018075281</v>
      </c>
      <c r="H80" s="56">
        <f t="shared" si="19"/>
        <v>17.529277981924718</v>
      </c>
      <c r="I80" s="11">
        <f t="shared" si="23"/>
        <v>0.56013730963505137</v>
      </c>
      <c r="J80" s="33">
        <f t="shared" si="24"/>
        <v>2.7814942379335152E-2</v>
      </c>
      <c r="K80" s="33">
        <f t="shared" si="25"/>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v>0</v>
      </c>
      <c r="BF80" s="65">
        <v>1</v>
      </c>
      <c r="BG80">
        <v>0</v>
      </c>
      <c r="BH80">
        <v>1</v>
      </c>
      <c r="BI80" s="65">
        <v>0</v>
      </c>
      <c r="BJ80">
        <v>994</v>
      </c>
      <c r="BK80">
        <v>44</v>
      </c>
      <c r="BL80" s="52">
        <v>37.799999999999997</v>
      </c>
      <c r="BM80" s="51">
        <v>1</v>
      </c>
      <c r="BN80" s="51">
        <v>0</v>
      </c>
      <c r="BO80" s="51">
        <v>0</v>
      </c>
      <c r="BP80" s="51">
        <v>0</v>
      </c>
      <c r="BQ80" s="51">
        <v>0</v>
      </c>
      <c r="BR80" s="51">
        <v>0</v>
      </c>
      <c r="BS80" s="51">
        <v>0</v>
      </c>
      <c r="BT80" s="65">
        <v>0</v>
      </c>
      <c r="BU80" s="51">
        <v>0</v>
      </c>
      <c r="BV80" s="51">
        <v>0</v>
      </c>
      <c r="BW80" s="51">
        <v>0</v>
      </c>
      <c r="BX80" s="65">
        <v>1</v>
      </c>
      <c r="BY80" s="51">
        <v>0</v>
      </c>
      <c r="BZ80" s="51">
        <v>0</v>
      </c>
      <c r="CA80" s="51">
        <v>0</v>
      </c>
      <c r="CB80" s="51">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8"/>
        <v>4.541455380602736</v>
      </c>
      <c r="H81" s="16">
        <f t="shared" si="19"/>
        <v>4.6641974179163235</v>
      </c>
      <c r="I81" s="11">
        <f t="shared" si="23"/>
        <v>0.28534648402565804</v>
      </c>
      <c r="J81" s="33">
        <f t="shared" si="24"/>
        <v>3.8046197870087737E-3</v>
      </c>
      <c r="K81" s="33">
        <f t="shared" si="25"/>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v>0</v>
      </c>
      <c r="BF81" s="18">
        <v>0</v>
      </c>
      <c r="BG81">
        <v>1</v>
      </c>
      <c r="BH81">
        <v>0</v>
      </c>
      <c r="BI81" s="18">
        <v>0</v>
      </c>
      <c r="BJ81">
        <v>17971</v>
      </c>
      <c r="BK81">
        <v>1451</v>
      </c>
      <c r="BL81" s="25">
        <v>34.975000000000001</v>
      </c>
      <c r="BM81">
        <v>1</v>
      </c>
      <c r="BN81">
        <v>0</v>
      </c>
      <c r="BO81">
        <v>0</v>
      </c>
      <c r="BP81">
        <v>0</v>
      </c>
      <c r="BQ81">
        <v>0</v>
      </c>
      <c r="BR81">
        <v>0</v>
      </c>
      <c r="BS81">
        <v>0</v>
      </c>
      <c r="BT81" s="18">
        <v>0</v>
      </c>
      <c r="BU81">
        <v>0</v>
      </c>
      <c r="BV81">
        <v>0</v>
      </c>
      <c r="BW81">
        <v>1</v>
      </c>
      <c r="BX81" s="18">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59.2</v>
      </c>
      <c r="G82" s="7">
        <f t="shared" si="18"/>
        <v>4.525075953326092</v>
      </c>
      <c r="H82" s="16">
        <f t="shared" si="19"/>
        <v>4.6805768451929675</v>
      </c>
      <c r="I82" s="11">
        <f t="shared" si="23"/>
        <v>0.28123074336448528</v>
      </c>
      <c r="J82" s="33">
        <f t="shared" si="24"/>
        <v>4.7505193135892777E-3</v>
      </c>
      <c r="K82" s="33">
        <f t="shared" si="25"/>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v>0</v>
      </c>
      <c r="BF82" s="18">
        <v>0</v>
      </c>
      <c r="BG82">
        <v>1</v>
      </c>
      <c r="BH82">
        <v>0</v>
      </c>
      <c r="BI82" s="18">
        <v>0</v>
      </c>
      <c r="BJ82">
        <v>17971</v>
      </c>
      <c r="BK82">
        <v>1451</v>
      </c>
      <c r="BL82" s="25">
        <v>34.975000000000001</v>
      </c>
      <c r="BM82">
        <v>1</v>
      </c>
      <c r="BN82">
        <v>0</v>
      </c>
      <c r="BO82">
        <v>0</v>
      </c>
      <c r="BP82">
        <v>0</v>
      </c>
      <c r="BQ82">
        <v>0</v>
      </c>
      <c r="BR82">
        <v>0</v>
      </c>
      <c r="BS82">
        <v>0</v>
      </c>
      <c r="BT82" s="18">
        <v>0</v>
      </c>
      <c r="BU82">
        <v>0</v>
      </c>
      <c r="BV82">
        <v>0</v>
      </c>
      <c r="BW82">
        <v>1</v>
      </c>
      <c r="BX82" s="18">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49.916666666666657</v>
      </c>
      <c r="G83" s="55">
        <f t="shared" si="18"/>
        <v>4.5106161875882202</v>
      </c>
      <c r="H83" s="56">
        <f t="shared" si="19"/>
        <v>4.6950366109308392</v>
      </c>
      <c r="I83" s="11">
        <f t="shared" si="23"/>
        <v>0.31487260047577154</v>
      </c>
      <c r="J83" s="33">
        <f t="shared" si="24"/>
        <v>6.3079652849904163E-3</v>
      </c>
      <c r="K83" s="33">
        <f t="shared" si="25"/>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v>0</v>
      </c>
      <c r="BF83" s="65">
        <v>0</v>
      </c>
      <c r="BG83">
        <v>1</v>
      </c>
      <c r="BH83">
        <v>0</v>
      </c>
      <c r="BI83" s="65">
        <v>0</v>
      </c>
      <c r="BJ83">
        <v>17971</v>
      </c>
      <c r="BK83">
        <v>1451</v>
      </c>
      <c r="BL83" s="52">
        <v>34.975000000000001</v>
      </c>
      <c r="BM83" s="51">
        <v>1</v>
      </c>
      <c r="BN83" s="51">
        <v>0</v>
      </c>
      <c r="BO83" s="51">
        <v>0</v>
      </c>
      <c r="BP83" s="51">
        <v>0</v>
      </c>
      <c r="BQ83" s="51">
        <v>0</v>
      </c>
      <c r="BR83" s="51">
        <v>0</v>
      </c>
      <c r="BS83" s="51">
        <v>0</v>
      </c>
      <c r="BT83" s="65">
        <v>0</v>
      </c>
      <c r="BU83" s="51">
        <v>0</v>
      </c>
      <c r="BV83" s="51">
        <v>0</v>
      </c>
      <c r="BW83" s="51">
        <v>1</v>
      </c>
      <c r="BX83" s="65">
        <v>0</v>
      </c>
      <c r="BY83" s="51">
        <v>0</v>
      </c>
      <c r="BZ83" s="51">
        <v>0</v>
      </c>
      <c r="CA83" s="51">
        <v>0</v>
      </c>
      <c r="CB83" s="51">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6">D84/E84</f>
        <v>120.99999999999999</v>
      </c>
      <c r="G84" s="7">
        <f t="shared" si="18"/>
        <v>12</v>
      </c>
      <c r="H84" s="16">
        <f t="shared" si="19"/>
        <v>12.2</v>
      </c>
      <c r="I84" s="11">
        <f t="shared" si="23"/>
        <v>0.53580225874082865</v>
      </c>
      <c r="J84" s="33">
        <f t="shared" si="24"/>
        <v>4.428117840833295E-3</v>
      </c>
      <c r="K84" s="33">
        <f t="shared" si="25"/>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7">1-AW84</f>
        <v>0.41849999999999998</v>
      </c>
      <c r="AY84" s="18" t="s">
        <v>16</v>
      </c>
      <c r="AZ84">
        <v>0</v>
      </c>
      <c r="BA84">
        <v>1</v>
      </c>
      <c r="BB84">
        <v>0</v>
      </c>
      <c r="BC84">
        <v>0</v>
      </c>
      <c r="BD84">
        <v>0</v>
      </c>
      <c r="BE84">
        <v>0</v>
      </c>
      <c r="BF84" s="18">
        <v>0</v>
      </c>
      <c r="BG84">
        <v>0</v>
      </c>
      <c r="BH84">
        <v>1</v>
      </c>
      <c r="BI84" s="18">
        <v>0</v>
      </c>
      <c r="BJ84">
        <v>3648</v>
      </c>
      <c r="BK84">
        <v>236</v>
      </c>
      <c r="BL84" s="25">
        <v>37</v>
      </c>
      <c r="BM84">
        <v>1</v>
      </c>
      <c r="BN84">
        <v>0</v>
      </c>
      <c r="BO84">
        <v>0</v>
      </c>
      <c r="BP84">
        <v>0</v>
      </c>
      <c r="BQ84">
        <v>0</v>
      </c>
      <c r="BR84">
        <v>0</v>
      </c>
      <c r="BS84">
        <v>0</v>
      </c>
      <c r="BT84" s="18">
        <v>0</v>
      </c>
      <c r="BU84">
        <v>0</v>
      </c>
      <c r="BV84">
        <v>0</v>
      </c>
      <c r="BW84">
        <v>1</v>
      </c>
      <c r="BX84" s="18">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6"/>
        <v>72.5</v>
      </c>
      <c r="G85" s="7">
        <f t="shared" si="18"/>
        <v>14.3</v>
      </c>
      <c r="H85" s="16">
        <f t="shared" si="19"/>
        <v>14.7</v>
      </c>
      <c r="I85" s="11">
        <f t="shared" si="23"/>
        <v>0.46997485226817143</v>
      </c>
      <c r="J85" s="33">
        <f t="shared" si="24"/>
        <v>6.4824117554230553E-3</v>
      </c>
      <c r="K85" s="33">
        <f t="shared" si="25"/>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7"/>
        <v>0.41849999999999998</v>
      </c>
      <c r="AY85" s="18" t="s">
        <v>16</v>
      </c>
      <c r="AZ85">
        <v>0</v>
      </c>
      <c r="BA85">
        <v>1</v>
      </c>
      <c r="BB85">
        <v>0</v>
      </c>
      <c r="BC85">
        <v>0</v>
      </c>
      <c r="BD85">
        <v>0</v>
      </c>
      <c r="BE85">
        <v>0</v>
      </c>
      <c r="BF85" s="18">
        <v>0</v>
      </c>
      <c r="BG85">
        <v>0</v>
      </c>
      <c r="BH85">
        <v>1</v>
      </c>
      <c r="BI85" s="18">
        <v>0</v>
      </c>
      <c r="BJ85">
        <v>3648</v>
      </c>
      <c r="BK85">
        <v>236</v>
      </c>
      <c r="BL85" s="25">
        <v>37</v>
      </c>
      <c r="BM85">
        <v>1</v>
      </c>
      <c r="BN85">
        <v>0</v>
      </c>
      <c r="BO85">
        <v>0</v>
      </c>
      <c r="BP85">
        <v>0</v>
      </c>
      <c r="BQ85">
        <v>0</v>
      </c>
      <c r="BR85">
        <v>0</v>
      </c>
      <c r="BS85">
        <v>0</v>
      </c>
      <c r="BT85" s="18">
        <v>0</v>
      </c>
      <c r="BU85">
        <v>0</v>
      </c>
      <c r="BV85">
        <v>0</v>
      </c>
      <c r="BW85">
        <v>1</v>
      </c>
      <c r="BX85" s="18">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6"/>
        <v>77</v>
      </c>
      <c r="G86" s="7">
        <f t="shared" si="18"/>
        <v>15.200000000000001</v>
      </c>
      <c r="H86" s="16">
        <f t="shared" si="19"/>
        <v>15.6</v>
      </c>
      <c r="I86" s="11">
        <f t="shared" si="23"/>
        <v>0.49224647486232498</v>
      </c>
      <c r="J86" s="33">
        <f t="shared" si="24"/>
        <v>6.3928113618483759E-3</v>
      </c>
      <c r="K86" s="33">
        <f t="shared" si="25"/>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7"/>
        <v>0.41849999999999998</v>
      </c>
      <c r="AY86" s="18" t="s">
        <v>16</v>
      </c>
      <c r="AZ86">
        <v>0</v>
      </c>
      <c r="BA86">
        <v>1</v>
      </c>
      <c r="BB86">
        <v>0</v>
      </c>
      <c r="BC86">
        <v>0</v>
      </c>
      <c r="BD86">
        <v>0</v>
      </c>
      <c r="BE86">
        <v>0</v>
      </c>
      <c r="BF86" s="18">
        <v>0</v>
      </c>
      <c r="BG86">
        <v>0</v>
      </c>
      <c r="BH86">
        <v>1</v>
      </c>
      <c r="BI86" s="18">
        <v>0</v>
      </c>
      <c r="BJ86">
        <v>3648</v>
      </c>
      <c r="BK86">
        <v>236</v>
      </c>
      <c r="BL86" s="25">
        <v>37</v>
      </c>
      <c r="BM86">
        <v>0</v>
      </c>
      <c r="BN86">
        <v>0</v>
      </c>
      <c r="BO86">
        <v>0</v>
      </c>
      <c r="BP86">
        <v>0</v>
      </c>
      <c r="BQ86">
        <v>0</v>
      </c>
      <c r="BR86">
        <v>1</v>
      </c>
      <c r="BS86">
        <v>0</v>
      </c>
      <c r="BT86" s="18">
        <v>0</v>
      </c>
      <c r="BU86">
        <v>0</v>
      </c>
      <c r="BV86">
        <v>0</v>
      </c>
      <c r="BW86">
        <v>1</v>
      </c>
      <c r="BX86" s="18">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6"/>
        <v>17.749999999999996</v>
      </c>
      <c r="G87" s="55">
        <f t="shared" si="18"/>
        <v>6.6999999999999993</v>
      </c>
      <c r="H87" s="56">
        <f t="shared" si="19"/>
        <v>7.5</v>
      </c>
      <c r="I87" s="11">
        <f t="shared" si="23"/>
        <v>0.12250395627520262</v>
      </c>
      <c r="J87" s="33">
        <f t="shared" si="24"/>
        <v>6.9016313394480366E-3</v>
      </c>
      <c r="K87" s="33">
        <f t="shared" si="25"/>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7"/>
        <v>0.41849999999999998</v>
      </c>
      <c r="AY87" s="65" t="s">
        <v>16</v>
      </c>
      <c r="AZ87">
        <v>0</v>
      </c>
      <c r="BA87">
        <v>1</v>
      </c>
      <c r="BB87">
        <v>0</v>
      </c>
      <c r="BC87">
        <v>0</v>
      </c>
      <c r="BD87">
        <v>0</v>
      </c>
      <c r="BE87">
        <v>0</v>
      </c>
      <c r="BF87" s="65">
        <v>0</v>
      </c>
      <c r="BG87">
        <v>0</v>
      </c>
      <c r="BH87">
        <v>1</v>
      </c>
      <c r="BI87" s="65">
        <v>0</v>
      </c>
      <c r="BJ87">
        <v>3648</v>
      </c>
      <c r="BK87">
        <v>236</v>
      </c>
      <c r="BL87" s="52">
        <v>37</v>
      </c>
      <c r="BM87" s="51">
        <v>0</v>
      </c>
      <c r="BN87" s="51">
        <v>0</v>
      </c>
      <c r="BO87" s="51">
        <v>0</v>
      </c>
      <c r="BP87" s="51">
        <v>0</v>
      </c>
      <c r="BQ87" s="51">
        <v>0</v>
      </c>
      <c r="BR87" s="51">
        <v>0</v>
      </c>
      <c r="BS87" s="51">
        <v>1</v>
      </c>
      <c r="BT87" s="65">
        <v>0</v>
      </c>
      <c r="BU87" s="51">
        <v>0</v>
      </c>
      <c r="BV87" s="51">
        <v>0</v>
      </c>
      <c r="BW87" s="51">
        <v>1</v>
      </c>
      <c r="BX87" s="65">
        <v>0</v>
      </c>
      <c r="BY87" s="51">
        <v>0</v>
      </c>
      <c r="BZ87" s="51">
        <v>0</v>
      </c>
      <c r="CA87" s="51">
        <v>0</v>
      </c>
      <c r="CB87" s="51">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6"/>
        <v>35.499999999999993</v>
      </c>
      <c r="G88" s="7">
        <f t="shared" si="18"/>
        <v>6.8999999999999995</v>
      </c>
      <c r="H88" s="16">
        <f t="shared" si="19"/>
        <v>7.3</v>
      </c>
      <c r="I88" s="11">
        <f t="shared" si="23"/>
        <v>0.42671320708183785</v>
      </c>
      <c r="J88" s="33">
        <f t="shared" si="24"/>
        <v>1.2020090340333465E-2</v>
      </c>
      <c r="K88" s="33">
        <f t="shared" si="25"/>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8">1-AQ88</f>
        <v>0.45589999999999997</v>
      </c>
      <c r="AS88" t="s">
        <v>98</v>
      </c>
      <c r="AT88" s="40" t="s">
        <v>98</v>
      </c>
      <c r="AU88">
        <v>0</v>
      </c>
      <c r="AV88" s="18">
        <v>1</v>
      </c>
      <c r="AW88">
        <v>0.58699999999999997</v>
      </c>
      <c r="AX88" s="18">
        <f t="shared" si="27"/>
        <v>0.41300000000000003</v>
      </c>
      <c r="AY88" s="18" t="s">
        <v>3</v>
      </c>
      <c r="AZ88">
        <v>0</v>
      </c>
      <c r="BA88">
        <v>0</v>
      </c>
      <c r="BB88">
        <v>0</v>
      </c>
      <c r="BC88">
        <v>0</v>
      </c>
      <c r="BD88">
        <v>0</v>
      </c>
      <c r="BE88">
        <v>1</v>
      </c>
      <c r="BF88" s="18">
        <v>0</v>
      </c>
      <c r="BG88">
        <v>0</v>
      </c>
      <c r="BH88">
        <v>1</v>
      </c>
      <c r="BI88" s="18">
        <v>0</v>
      </c>
      <c r="BJ88">
        <v>538</v>
      </c>
      <c r="BK88">
        <v>46</v>
      </c>
      <c r="BL88" s="25">
        <v>42</v>
      </c>
      <c r="BM88">
        <v>1</v>
      </c>
      <c r="BN88">
        <v>0</v>
      </c>
      <c r="BO88">
        <v>0</v>
      </c>
      <c r="BP88">
        <v>0</v>
      </c>
      <c r="BQ88">
        <v>0</v>
      </c>
      <c r="BR88">
        <v>0</v>
      </c>
      <c r="BS88">
        <v>0</v>
      </c>
      <c r="BT88" s="18">
        <v>0</v>
      </c>
      <c r="BU88">
        <v>0</v>
      </c>
      <c r="BV88">
        <v>0</v>
      </c>
      <c r="BW88">
        <v>0</v>
      </c>
      <c r="BX88" s="18">
        <v>1</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6"/>
        <v>35.499999999999993</v>
      </c>
      <c r="G89" s="7">
        <f t="shared" si="18"/>
        <v>6.8999999999999995</v>
      </c>
      <c r="H89" s="16">
        <f t="shared" si="19"/>
        <v>7.3</v>
      </c>
      <c r="I89" s="11">
        <f t="shared" si="23"/>
        <v>0.42674403673342659</v>
      </c>
      <c r="J89" s="33">
        <f t="shared" si="24"/>
        <v>1.2020958781223286E-2</v>
      </c>
      <c r="K89" s="33">
        <f t="shared" si="25"/>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8"/>
        <v>0.45589999999999997</v>
      </c>
      <c r="AS89" t="s">
        <v>98</v>
      </c>
      <c r="AT89" s="40" t="s">
        <v>98</v>
      </c>
      <c r="AU89">
        <v>0</v>
      </c>
      <c r="AV89" s="18">
        <v>1</v>
      </c>
      <c r="AW89">
        <v>0.58699999999999997</v>
      </c>
      <c r="AX89" s="18">
        <f t="shared" si="27"/>
        <v>0.41300000000000003</v>
      </c>
      <c r="AY89" s="18" t="s">
        <v>3</v>
      </c>
      <c r="AZ89">
        <v>0</v>
      </c>
      <c r="BA89">
        <v>0</v>
      </c>
      <c r="BB89">
        <v>0</v>
      </c>
      <c r="BC89">
        <v>0</v>
      </c>
      <c r="BD89">
        <v>0</v>
      </c>
      <c r="BE89">
        <v>1</v>
      </c>
      <c r="BF89" s="18">
        <v>0</v>
      </c>
      <c r="BG89">
        <v>0</v>
      </c>
      <c r="BH89">
        <v>1</v>
      </c>
      <c r="BI89" s="18">
        <v>0</v>
      </c>
      <c r="BJ89">
        <v>538</v>
      </c>
      <c r="BK89">
        <v>46</v>
      </c>
      <c r="BL89" s="25">
        <v>42</v>
      </c>
      <c r="BM89">
        <v>1</v>
      </c>
      <c r="BN89">
        <v>0</v>
      </c>
      <c r="BO89">
        <v>0</v>
      </c>
      <c r="BP89">
        <v>0</v>
      </c>
      <c r="BQ89">
        <v>0</v>
      </c>
      <c r="BR89">
        <v>1</v>
      </c>
      <c r="BS89">
        <v>0</v>
      </c>
      <c r="BT89" s="18">
        <v>0</v>
      </c>
      <c r="BU89">
        <v>0</v>
      </c>
      <c r="BV89">
        <v>0</v>
      </c>
      <c r="BW89">
        <v>0</v>
      </c>
      <c r="BX89" s="18">
        <v>1</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6"/>
        <v>-2.3333333333333335</v>
      </c>
      <c r="G90" s="7">
        <f t="shared" si="18"/>
        <v>-1</v>
      </c>
      <c r="H90" s="16">
        <f t="shared" si="19"/>
        <v>-0.39999999999999997</v>
      </c>
      <c r="I90" s="11">
        <f t="shared" si="23"/>
        <v>-1.625929627638574E-2</v>
      </c>
      <c r="J90" s="33">
        <f t="shared" si="24"/>
        <v>6.9682698327367442E-3</v>
      </c>
      <c r="K90" s="33">
        <f t="shared" si="25"/>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8"/>
        <v>0.45589999999999997</v>
      </c>
      <c r="AS90" t="s">
        <v>98</v>
      </c>
      <c r="AT90" s="40" t="s">
        <v>98</v>
      </c>
      <c r="AU90">
        <v>0</v>
      </c>
      <c r="AV90" s="18">
        <v>1</v>
      </c>
      <c r="AW90">
        <v>0.58699999999999997</v>
      </c>
      <c r="AX90" s="18">
        <f t="shared" si="27"/>
        <v>0.41300000000000003</v>
      </c>
      <c r="AY90" s="18" t="s">
        <v>3</v>
      </c>
      <c r="AZ90">
        <v>0</v>
      </c>
      <c r="BA90">
        <v>0</v>
      </c>
      <c r="BB90">
        <v>0</v>
      </c>
      <c r="BC90">
        <v>0</v>
      </c>
      <c r="BD90">
        <v>0</v>
      </c>
      <c r="BE90">
        <v>1</v>
      </c>
      <c r="BF90" s="18">
        <v>0</v>
      </c>
      <c r="BG90">
        <v>0</v>
      </c>
      <c r="BH90">
        <v>1</v>
      </c>
      <c r="BI90" s="18">
        <v>0</v>
      </c>
      <c r="BJ90">
        <v>538</v>
      </c>
      <c r="BK90">
        <v>46</v>
      </c>
      <c r="BL90" s="25">
        <v>42</v>
      </c>
      <c r="BM90">
        <v>1</v>
      </c>
      <c r="BN90">
        <v>0</v>
      </c>
      <c r="BO90">
        <v>0</v>
      </c>
      <c r="BP90">
        <v>0</v>
      </c>
      <c r="BQ90">
        <v>0</v>
      </c>
      <c r="BR90">
        <v>0</v>
      </c>
      <c r="BS90">
        <v>1</v>
      </c>
      <c r="BT90" s="18">
        <v>0</v>
      </c>
      <c r="BU90">
        <v>0</v>
      </c>
      <c r="BV90">
        <v>0</v>
      </c>
      <c r="BW90">
        <v>0</v>
      </c>
      <c r="BX90" s="18">
        <v>1</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6"/>
        <v>27</v>
      </c>
      <c r="G91" s="7">
        <f t="shared" si="18"/>
        <v>7.8</v>
      </c>
      <c r="H91" s="16">
        <f t="shared" si="19"/>
        <v>8.4</v>
      </c>
      <c r="I91" s="11">
        <f t="shared" si="23"/>
        <v>0.48769524889134491</v>
      </c>
      <c r="J91" s="33">
        <f t="shared" si="24"/>
        <v>1.8062786995975737E-2</v>
      </c>
      <c r="K91" s="33">
        <f t="shared" si="25"/>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8"/>
        <v>0.45589999999999997</v>
      </c>
      <c r="AS91" t="s">
        <v>98</v>
      </c>
      <c r="AT91" s="40" t="s">
        <v>98</v>
      </c>
      <c r="AU91">
        <v>0</v>
      </c>
      <c r="AV91" s="18">
        <v>1</v>
      </c>
      <c r="AW91">
        <v>0.58699999999999997</v>
      </c>
      <c r="AX91" s="18">
        <f t="shared" si="27"/>
        <v>0.41300000000000003</v>
      </c>
      <c r="AY91" s="18" t="s">
        <v>3</v>
      </c>
      <c r="AZ91">
        <v>0</v>
      </c>
      <c r="BA91">
        <v>0</v>
      </c>
      <c r="BB91">
        <v>0</v>
      </c>
      <c r="BC91">
        <v>0</v>
      </c>
      <c r="BD91">
        <v>0</v>
      </c>
      <c r="BE91">
        <v>1</v>
      </c>
      <c r="BF91" s="18">
        <v>0</v>
      </c>
      <c r="BG91">
        <v>0</v>
      </c>
      <c r="BH91">
        <v>1</v>
      </c>
      <c r="BI91" s="18">
        <v>0</v>
      </c>
      <c r="BJ91">
        <v>538</v>
      </c>
      <c r="BK91">
        <v>46</v>
      </c>
      <c r="BL91" s="25">
        <v>42</v>
      </c>
      <c r="BM91">
        <v>1</v>
      </c>
      <c r="BN91">
        <v>0</v>
      </c>
      <c r="BO91">
        <v>0</v>
      </c>
      <c r="BP91">
        <v>0</v>
      </c>
      <c r="BQ91">
        <v>0</v>
      </c>
      <c r="BR91">
        <v>0</v>
      </c>
      <c r="BS91">
        <v>0</v>
      </c>
      <c r="BT91" s="18">
        <v>0</v>
      </c>
      <c r="BU91">
        <v>0</v>
      </c>
      <c r="BV91">
        <v>0</v>
      </c>
      <c r="BW91">
        <v>0</v>
      </c>
      <c r="BX91" s="18">
        <v>1</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6"/>
        <v>27</v>
      </c>
      <c r="G92" s="7">
        <f t="shared" si="18"/>
        <v>7.8</v>
      </c>
      <c r="H92" s="16">
        <f t="shared" si="19"/>
        <v>8.4</v>
      </c>
      <c r="I92" s="11">
        <f t="shared" si="23"/>
        <v>0.48777482713269882</v>
      </c>
      <c r="J92" s="33">
        <f t="shared" si="24"/>
        <v>1.8065734338248103E-2</v>
      </c>
      <c r="K92" s="33">
        <f t="shared" si="25"/>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8"/>
        <v>0.45589999999999997</v>
      </c>
      <c r="AS92" t="s">
        <v>98</v>
      </c>
      <c r="AT92" s="40" t="s">
        <v>98</v>
      </c>
      <c r="AU92">
        <v>0</v>
      </c>
      <c r="AV92" s="18">
        <v>1</v>
      </c>
      <c r="AW92">
        <v>0.58699999999999997</v>
      </c>
      <c r="AX92" s="18">
        <f t="shared" si="27"/>
        <v>0.41300000000000003</v>
      </c>
      <c r="AY92" s="18" t="s">
        <v>3</v>
      </c>
      <c r="AZ92">
        <v>0</v>
      </c>
      <c r="BA92">
        <v>0</v>
      </c>
      <c r="BB92">
        <v>0</v>
      </c>
      <c r="BC92">
        <v>0</v>
      </c>
      <c r="BD92">
        <v>0</v>
      </c>
      <c r="BE92">
        <v>1</v>
      </c>
      <c r="BF92" s="18">
        <v>0</v>
      </c>
      <c r="BG92">
        <v>0</v>
      </c>
      <c r="BH92">
        <v>1</v>
      </c>
      <c r="BI92" s="18">
        <v>0</v>
      </c>
      <c r="BJ92">
        <v>538</v>
      </c>
      <c r="BK92">
        <v>46</v>
      </c>
      <c r="BL92" s="25">
        <v>42</v>
      </c>
      <c r="BM92">
        <v>0</v>
      </c>
      <c r="BN92">
        <v>0</v>
      </c>
      <c r="BO92">
        <v>0</v>
      </c>
      <c r="BP92">
        <v>0</v>
      </c>
      <c r="BQ92">
        <v>0</v>
      </c>
      <c r="BR92">
        <v>1</v>
      </c>
      <c r="BS92">
        <v>0</v>
      </c>
      <c r="BT92" s="18">
        <v>0</v>
      </c>
      <c r="BU92">
        <v>0</v>
      </c>
      <c r="BV92">
        <v>0</v>
      </c>
      <c r="BW92">
        <v>0</v>
      </c>
      <c r="BX92" s="18">
        <v>1</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6"/>
        <v>-2.2000000000000002</v>
      </c>
      <c r="G93" s="7">
        <f t="shared" si="18"/>
        <v>-1.6</v>
      </c>
      <c r="H93" s="16">
        <f t="shared" si="19"/>
        <v>-0.60000000000000009</v>
      </c>
      <c r="I93" s="11">
        <f t="shared" si="23"/>
        <v>-2.7244002328770587E-2</v>
      </c>
      <c r="J93" s="33">
        <f t="shared" si="24"/>
        <v>1.2383637422168447E-2</v>
      </c>
      <c r="K93" s="33">
        <f t="shared" si="25"/>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8"/>
        <v>0.45589999999999997</v>
      </c>
      <c r="AS93" t="s">
        <v>98</v>
      </c>
      <c r="AT93" s="40" t="s">
        <v>98</v>
      </c>
      <c r="AU93">
        <v>0</v>
      </c>
      <c r="AV93" s="18">
        <v>1</v>
      </c>
      <c r="AW93">
        <v>0.58699999999999997</v>
      </c>
      <c r="AX93" s="18">
        <f t="shared" si="27"/>
        <v>0.41300000000000003</v>
      </c>
      <c r="AY93" s="18" t="s">
        <v>3</v>
      </c>
      <c r="AZ93">
        <v>0</v>
      </c>
      <c r="BA93">
        <v>0</v>
      </c>
      <c r="BB93">
        <v>0</v>
      </c>
      <c r="BC93">
        <v>0</v>
      </c>
      <c r="BD93">
        <v>0</v>
      </c>
      <c r="BE93">
        <v>1</v>
      </c>
      <c r="BF93" s="18">
        <v>0</v>
      </c>
      <c r="BG93">
        <v>0</v>
      </c>
      <c r="BH93">
        <v>1</v>
      </c>
      <c r="BI93" s="18">
        <v>0</v>
      </c>
      <c r="BJ93">
        <v>538</v>
      </c>
      <c r="BK93">
        <v>46</v>
      </c>
      <c r="BL93" s="25">
        <v>42</v>
      </c>
      <c r="BM93">
        <v>0</v>
      </c>
      <c r="BN93">
        <v>0</v>
      </c>
      <c r="BO93">
        <v>0</v>
      </c>
      <c r="BP93">
        <v>0</v>
      </c>
      <c r="BQ93">
        <v>0</v>
      </c>
      <c r="BR93">
        <v>0</v>
      </c>
      <c r="BS93">
        <v>1</v>
      </c>
      <c r="BT93" s="18">
        <v>0</v>
      </c>
      <c r="BU93">
        <v>0</v>
      </c>
      <c r="BV93">
        <v>0</v>
      </c>
      <c r="BW93">
        <v>0</v>
      </c>
      <c r="BX93" s="18">
        <v>1</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6"/>
        <v>14.25</v>
      </c>
      <c r="G94" s="7">
        <f t="shared" si="18"/>
        <v>5.3</v>
      </c>
      <c r="H94" s="16">
        <f t="shared" si="19"/>
        <v>6.1000000000000005</v>
      </c>
      <c r="I94" s="11">
        <f t="shared" si="23"/>
        <v>0.24014745989109584</v>
      </c>
      <c r="J94" s="33">
        <f t="shared" si="24"/>
        <v>1.6852453325690936E-2</v>
      </c>
      <c r="K94" s="33">
        <f t="shared" si="25"/>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8"/>
        <v>0.45589999999999997</v>
      </c>
      <c r="AS94" t="s">
        <v>98</v>
      </c>
      <c r="AT94" s="40" t="s">
        <v>98</v>
      </c>
      <c r="AU94">
        <v>0</v>
      </c>
      <c r="AV94" s="18">
        <v>1</v>
      </c>
      <c r="AW94">
        <v>0.58699999999999997</v>
      </c>
      <c r="AX94" s="18">
        <f t="shared" si="27"/>
        <v>0.41300000000000003</v>
      </c>
      <c r="AY94" s="18" t="s">
        <v>3</v>
      </c>
      <c r="AZ94">
        <v>0</v>
      </c>
      <c r="BA94">
        <v>0</v>
      </c>
      <c r="BB94">
        <v>0</v>
      </c>
      <c r="BC94">
        <v>0</v>
      </c>
      <c r="BD94">
        <v>0</v>
      </c>
      <c r="BE94">
        <v>1</v>
      </c>
      <c r="BF94" s="18">
        <v>0</v>
      </c>
      <c r="BG94">
        <v>0</v>
      </c>
      <c r="BH94">
        <v>1</v>
      </c>
      <c r="BI94" s="18">
        <v>0</v>
      </c>
      <c r="BJ94">
        <v>538</v>
      </c>
      <c r="BK94">
        <v>46</v>
      </c>
      <c r="BL94" s="25">
        <v>42</v>
      </c>
      <c r="BM94">
        <v>1</v>
      </c>
      <c r="BN94">
        <v>0</v>
      </c>
      <c r="BO94">
        <v>0</v>
      </c>
      <c r="BP94">
        <v>0</v>
      </c>
      <c r="BQ94">
        <v>0</v>
      </c>
      <c r="BR94">
        <v>0</v>
      </c>
      <c r="BS94">
        <v>0</v>
      </c>
      <c r="BT94" s="18">
        <v>0</v>
      </c>
      <c r="BU94">
        <v>0</v>
      </c>
      <c r="BV94">
        <v>0</v>
      </c>
      <c r="BW94">
        <v>0</v>
      </c>
      <c r="BX94" s="18">
        <v>1</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6"/>
        <v>19</v>
      </c>
      <c r="G95" s="7">
        <f t="shared" si="18"/>
        <v>5.4</v>
      </c>
      <c r="H95" s="16">
        <f t="shared" si="19"/>
        <v>6</v>
      </c>
      <c r="I95" s="11">
        <f t="shared" si="23"/>
        <v>0.31329086982171811</v>
      </c>
      <c r="J95" s="33">
        <f t="shared" si="24"/>
        <v>1.6488993148511478E-2</v>
      </c>
      <c r="K95" s="33">
        <f t="shared" si="25"/>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8"/>
        <v>0.45589999999999997</v>
      </c>
      <c r="AS95" t="s">
        <v>98</v>
      </c>
      <c r="AT95" s="40" t="s">
        <v>98</v>
      </c>
      <c r="AU95">
        <v>0</v>
      </c>
      <c r="AV95" s="18">
        <v>1</v>
      </c>
      <c r="AW95">
        <v>0.58699999999999997</v>
      </c>
      <c r="AX95" s="18">
        <f t="shared" si="27"/>
        <v>0.41300000000000003</v>
      </c>
      <c r="AY95" s="18" t="s">
        <v>3</v>
      </c>
      <c r="AZ95">
        <v>0</v>
      </c>
      <c r="BA95">
        <v>0</v>
      </c>
      <c r="BB95">
        <v>0</v>
      </c>
      <c r="BC95">
        <v>0</v>
      </c>
      <c r="BD95">
        <v>0</v>
      </c>
      <c r="BE95">
        <v>1</v>
      </c>
      <c r="BF95" s="18">
        <v>0</v>
      </c>
      <c r="BG95">
        <v>0</v>
      </c>
      <c r="BH95">
        <v>1</v>
      </c>
      <c r="BI95" s="18">
        <v>0</v>
      </c>
      <c r="BJ95">
        <v>538</v>
      </c>
      <c r="BK95">
        <v>46</v>
      </c>
      <c r="BL95" s="25">
        <v>42</v>
      </c>
      <c r="BM95">
        <v>0</v>
      </c>
      <c r="BN95">
        <v>0</v>
      </c>
      <c r="BO95">
        <v>0</v>
      </c>
      <c r="BP95">
        <v>0</v>
      </c>
      <c r="BQ95">
        <v>0</v>
      </c>
      <c r="BR95">
        <v>1</v>
      </c>
      <c r="BS95">
        <v>0</v>
      </c>
      <c r="BT95" s="18">
        <v>0</v>
      </c>
      <c r="BU95">
        <v>0</v>
      </c>
      <c r="BV95">
        <v>0</v>
      </c>
      <c r="BW95">
        <v>0</v>
      </c>
      <c r="BX95" s="18">
        <v>1</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6"/>
        <v>-2.75</v>
      </c>
      <c r="G96" s="7">
        <f t="shared" si="18"/>
        <v>-1.5</v>
      </c>
      <c r="H96" s="16">
        <f t="shared" si="19"/>
        <v>-0.70000000000000007</v>
      </c>
      <c r="I96" s="11">
        <f t="shared" si="23"/>
        <v>-2.3185863094754445E-2</v>
      </c>
      <c r="J96" s="33">
        <f t="shared" si="24"/>
        <v>8.4312229435470724E-3</v>
      </c>
      <c r="K96" s="33">
        <f t="shared" si="25"/>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8"/>
        <v>0.45589999999999997</v>
      </c>
      <c r="AS96" t="s">
        <v>98</v>
      </c>
      <c r="AT96" s="40" t="s">
        <v>98</v>
      </c>
      <c r="AU96">
        <v>0</v>
      </c>
      <c r="AV96" s="18">
        <v>1</v>
      </c>
      <c r="AW96">
        <v>0.58699999999999997</v>
      </c>
      <c r="AX96" s="18">
        <f t="shared" si="27"/>
        <v>0.41300000000000003</v>
      </c>
      <c r="AY96" s="18" t="s">
        <v>3</v>
      </c>
      <c r="AZ96">
        <v>0</v>
      </c>
      <c r="BA96">
        <v>0</v>
      </c>
      <c r="BB96">
        <v>0</v>
      </c>
      <c r="BC96">
        <v>0</v>
      </c>
      <c r="BD96">
        <v>0</v>
      </c>
      <c r="BE96">
        <v>1</v>
      </c>
      <c r="BF96" s="18">
        <v>0</v>
      </c>
      <c r="BG96">
        <v>0</v>
      </c>
      <c r="BH96">
        <v>1</v>
      </c>
      <c r="BI96" s="18">
        <v>0</v>
      </c>
      <c r="BJ96">
        <v>538</v>
      </c>
      <c r="BK96">
        <v>46</v>
      </c>
      <c r="BL96" s="25">
        <v>42</v>
      </c>
      <c r="BM96">
        <v>0</v>
      </c>
      <c r="BN96">
        <v>0</v>
      </c>
      <c r="BO96">
        <v>0</v>
      </c>
      <c r="BP96">
        <v>0</v>
      </c>
      <c r="BQ96">
        <v>0</v>
      </c>
      <c r="BR96">
        <v>0</v>
      </c>
      <c r="BS96">
        <v>1</v>
      </c>
      <c r="BT96" s="18">
        <v>0</v>
      </c>
      <c r="BU96">
        <v>0</v>
      </c>
      <c r="BV96">
        <v>0</v>
      </c>
      <c r="BW96">
        <v>0</v>
      </c>
      <c r="BX96" s="18">
        <v>1</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6"/>
        <v>31</v>
      </c>
      <c r="G97" s="7">
        <f t="shared" si="18"/>
        <v>6</v>
      </c>
      <c r="H97" s="16">
        <f t="shared" si="19"/>
        <v>6.4</v>
      </c>
      <c r="I97" s="11">
        <f t="shared" si="23"/>
        <v>0.40655956227172746</v>
      </c>
      <c r="J97" s="33">
        <f t="shared" si="24"/>
        <v>1.3114824589410561E-2</v>
      </c>
      <c r="K97" s="33">
        <f t="shared" si="25"/>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7"/>
        <v>0.41300000000000003</v>
      </c>
      <c r="AY97" s="18" t="s">
        <v>3</v>
      </c>
      <c r="AZ97">
        <v>0</v>
      </c>
      <c r="BA97">
        <v>0</v>
      </c>
      <c r="BB97">
        <v>0</v>
      </c>
      <c r="BC97">
        <v>0</v>
      </c>
      <c r="BD97">
        <v>0</v>
      </c>
      <c r="BE97">
        <v>1</v>
      </c>
      <c r="BF97" s="18">
        <v>0</v>
      </c>
      <c r="BG97">
        <v>0</v>
      </c>
      <c r="BH97">
        <v>1</v>
      </c>
      <c r="BI97" s="18">
        <v>0</v>
      </c>
      <c r="BJ97">
        <v>538</v>
      </c>
      <c r="BK97">
        <v>46</v>
      </c>
      <c r="BL97" s="25">
        <v>42</v>
      </c>
      <c r="BM97">
        <v>1</v>
      </c>
      <c r="BN97">
        <v>0</v>
      </c>
      <c r="BO97">
        <v>0</v>
      </c>
      <c r="BP97">
        <v>0</v>
      </c>
      <c r="BQ97">
        <v>0</v>
      </c>
      <c r="BR97">
        <v>0</v>
      </c>
      <c r="BS97">
        <v>1</v>
      </c>
      <c r="BT97" s="18">
        <v>0</v>
      </c>
      <c r="BU97">
        <v>0</v>
      </c>
      <c r="BV97">
        <v>0</v>
      </c>
      <c r="BW97">
        <v>0</v>
      </c>
      <c r="BX97" s="18">
        <v>1</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6"/>
        <v>16.499999999999996</v>
      </c>
      <c r="G98" s="7">
        <f t="shared" si="18"/>
        <v>12.399999999999999</v>
      </c>
      <c r="H98" s="16">
        <f t="shared" si="19"/>
        <v>14</v>
      </c>
      <c r="I98" s="11">
        <f t="shared" si="23"/>
        <v>0.50318677540878542</v>
      </c>
      <c r="J98" s="33">
        <f t="shared" si="24"/>
        <v>3.0496168206593063E-2</v>
      </c>
      <c r="K98" s="33">
        <f t="shared" si="25"/>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7"/>
        <v>0.41300000000000003</v>
      </c>
      <c r="AY98" s="18" t="s">
        <v>3</v>
      </c>
      <c r="AZ98">
        <v>0</v>
      </c>
      <c r="BA98">
        <v>0</v>
      </c>
      <c r="BB98">
        <v>0</v>
      </c>
      <c r="BC98">
        <v>0</v>
      </c>
      <c r="BD98">
        <v>0</v>
      </c>
      <c r="BE98">
        <v>1</v>
      </c>
      <c r="BF98" s="18">
        <v>0</v>
      </c>
      <c r="BG98">
        <v>0</v>
      </c>
      <c r="BH98">
        <v>1</v>
      </c>
      <c r="BI98" s="18">
        <v>0</v>
      </c>
      <c r="BJ98">
        <v>538</v>
      </c>
      <c r="BK98">
        <v>46</v>
      </c>
      <c r="BL98" s="25">
        <v>42</v>
      </c>
      <c r="BM98">
        <v>1</v>
      </c>
      <c r="BN98">
        <v>0</v>
      </c>
      <c r="BO98">
        <v>0</v>
      </c>
      <c r="BP98">
        <v>0</v>
      </c>
      <c r="BQ98">
        <v>0</v>
      </c>
      <c r="BR98">
        <v>0</v>
      </c>
      <c r="BS98">
        <v>1</v>
      </c>
      <c r="BT98" s="18">
        <v>0</v>
      </c>
      <c r="BU98">
        <v>0</v>
      </c>
      <c r="BV98">
        <v>0</v>
      </c>
      <c r="BW98">
        <v>0</v>
      </c>
      <c r="BX98" s="18">
        <v>1</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6"/>
        <v>19</v>
      </c>
      <c r="G99" s="55">
        <f t="shared" si="18"/>
        <v>5.4</v>
      </c>
      <c r="H99" s="56">
        <f t="shared" si="19"/>
        <v>6</v>
      </c>
      <c r="I99" s="11">
        <f t="shared" si="23"/>
        <v>0.25526937707771807</v>
      </c>
      <c r="J99" s="33">
        <f t="shared" si="24"/>
        <v>1.3435230372511476E-2</v>
      </c>
      <c r="K99" s="33">
        <f t="shared" si="25"/>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7"/>
        <v>0.41300000000000003</v>
      </c>
      <c r="AY99" s="65" t="s">
        <v>3</v>
      </c>
      <c r="AZ99">
        <v>0</v>
      </c>
      <c r="BA99">
        <v>0</v>
      </c>
      <c r="BB99">
        <v>0</v>
      </c>
      <c r="BC99">
        <v>0</v>
      </c>
      <c r="BD99">
        <v>0</v>
      </c>
      <c r="BE99">
        <v>1</v>
      </c>
      <c r="BF99" s="65">
        <v>0</v>
      </c>
      <c r="BG99">
        <v>0</v>
      </c>
      <c r="BH99">
        <v>1</v>
      </c>
      <c r="BI99" s="65">
        <v>0</v>
      </c>
      <c r="BJ99">
        <v>538</v>
      </c>
      <c r="BK99">
        <v>46</v>
      </c>
      <c r="BL99" s="52">
        <v>42</v>
      </c>
      <c r="BM99" s="51">
        <v>1</v>
      </c>
      <c r="BN99" s="51">
        <v>0</v>
      </c>
      <c r="BO99" s="51">
        <v>0</v>
      </c>
      <c r="BP99" s="51">
        <v>0</v>
      </c>
      <c r="BQ99" s="51">
        <v>0</v>
      </c>
      <c r="BR99" s="51">
        <v>0</v>
      </c>
      <c r="BS99" s="51">
        <v>1</v>
      </c>
      <c r="BT99" s="65">
        <v>0</v>
      </c>
      <c r="BU99" s="51">
        <v>0</v>
      </c>
      <c r="BV99" s="51">
        <v>0</v>
      </c>
      <c r="BW99" s="51">
        <v>0</v>
      </c>
      <c r="BX99" s="65">
        <v>1</v>
      </c>
      <c r="BY99" s="51">
        <v>0</v>
      </c>
      <c r="BZ99" s="51">
        <v>0</v>
      </c>
      <c r="CA99" s="51">
        <v>0</v>
      </c>
      <c r="CB99" s="51">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9">D100/F100</f>
        <v>1.1388455538221529</v>
      </c>
      <c r="F100" s="7">
        <v>6.41</v>
      </c>
      <c r="G100" s="7">
        <f t="shared" si="18"/>
        <v>6.1611544461778465</v>
      </c>
      <c r="H100" s="16">
        <f t="shared" si="19"/>
        <v>8.4388455538221532</v>
      </c>
      <c r="I100" s="11">
        <f t="shared" si="23"/>
        <v>0.38030453864855263</v>
      </c>
      <c r="J100" s="33">
        <f t="shared" si="24"/>
        <v>5.9329881224423182E-2</v>
      </c>
      <c r="K100" s="33">
        <f t="shared" si="25"/>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30">BL100-W100-6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31">(1-$AK$100-$AN$100)/2</f>
        <v>0.16000000000000003</v>
      </c>
      <c r="AM100" s="33">
        <f t="shared" si="31"/>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v>0</v>
      </c>
      <c r="BF100" s="18">
        <v>0</v>
      </c>
      <c r="BG100">
        <v>0</v>
      </c>
      <c r="BH100">
        <v>1</v>
      </c>
      <c r="BI100" s="18">
        <v>0</v>
      </c>
      <c r="BJ100">
        <v>1105</v>
      </c>
      <c r="BK100">
        <v>269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9"/>
        <v>4.0530726256983236</v>
      </c>
      <c r="F101" s="7">
        <v>3.58</v>
      </c>
      <c r="G101" s="7">
        <f t="shared" si="18"/>
        <v>10.456927374301676</v>
      </c>
      <c r="H101" s="16">
        <f t="shared" si="19"/>
        <v>18.563072625698325</v>
      </c>
      <c r="I101" s="11">
        <f t="shared" si="23"/>
        <v>0.22383027853521564</v>
      </c>
      <c r="J101" s="33">
        <f t="shared" si="24"/>
        <v>6.2522424171847946E-2</v>
      </c>
      <c r="K101" s="33">
        <f t="shared" si="25"/>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30"/>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31"/>
        <v>0.16000000000000003</v>
      </c>
      <c r="AM101" s="33">
        <f t="shared" si="31"/>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v>0</v>
      </c>
      <c r="BF101" s="18">
        <v>0</v>
      </c>
      <c r="BG101">
        <v>0</v>
      </c>
      <c r="BH101">
        <v>1</v>
      </c>
      <c r="BI101" s="18">
        <v>0</v>
      </c>
      <c r="BJ101">
        <v>1105</v>
      </c>
      <c r="BK101">
        <v>269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9"/>
        <v>2.4377431906614788</v>
      </c>
      <c r="F102" s="7">
        <v>5.14</v>
      </c>
      <c r="G102" s="7">
        <f t="shared" si="18"/>
        <v>10.092256809338521</v>
      </c>
      <c r="H102" s="16">
        <f t="shared" si="19"/>
        <v>14.967743190661478</v>
      </c>
      <c r="I102" s="11">
        <f t="shared" si="23"/>
        <v>0.31314719471419267</v>
      </c>
      <c r="J102" s="33">
        <f t="shared" si="24"/>
        <v>6.0923578738169781E-2</v>
      </c>
      <c r="K102" s="33">
        <f t="shared" si="25"/>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30"/>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31"/>
        <v>0.16000000000000003</v>
      </c>
      <c r="AM102" s="33">
        <f t="shared" si="31"/>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v>0</v>
      </c>
      <c r="BF102" s="18">
        <v>0</v>
      </c>
      <c r="BG102">
        <v>0</v>
      </c>
      <c r="BH102">
        <v>1</v>
      </c>
      <c r="BI102" s="18">
        <v>0</v>
      </c>
      <c r="BJ102">
        <v>1105</v>
      </c>
      <c r="BK102">
        <v>269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9"/>
        <v>2.1113013698630136</v>
      </c>
      <c r="F103" s="7">
        <v>5.84</v>
      </c>
      <c r="G103" s="7">
        <f t="shared" si="18"/>
        <v>10.218698630136986</v>
      </c>
      <c r="H103" s="16">
        <f t="shared" si="19"/>
        <v>14.441301369863014</v>
      </c>
      <c r="I103" s="11">
        <f t="shared" si="23"/>
        <v>0.35082472695207928</v>
      </c>
      <c r="J103" s="33">
        <f t="shared" si="24"/>
        <v>6.0072727217821795E-2</v>
      </c>
      <c r="K103" s="33">
        <f t="shared" si="25"/>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30"/>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31"/>
        <v>0.16000000000000003</v>
      </c>
      <c r="AM103" s="33">
        <f t="shared" si="31"/>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v>0</v>
      </c>
      <c r="BF103" s="18">
        <v>0</v>
      </c>
      <c r="BG103">
        <v>0</v>
      </c>
      <c r="BH103">
        <v>1</v>
      </c>
      <c r="BI103" s="18">
        <v>0</v>
      </c>
      <c r="BJ103">
        <v>1105</v>
      </c>
      <c r="BK103">
        <v>269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9"/>
        <v>0.55897435897435899</v>
      </c>
      <c r="F104" s="7">
        <v>11.7</v>
      </c>
      <c r="G104" s="7">
        <f t="shared" si="18"/>
        <v>5.9810256410256413</v>
      </c>
      <c r="H104" s="16">
        <f t="shared" si="19"/>
        <v>7.0989743589743588</v>
      </c>
      <c r="I104" s="11">
        <f t="shared" si="23"/>
        <v>0.60107586511526123</v>
      </c>
      <c r="J104" s="33">
        <f t="shared" si="24"/>
        <v>5.1374005565406944E-2</v>
      </c>
      <c r="K104" s="33">
        <f t="shared" si="25"/>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30"/>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31"/>
        <v>0.16000000000000003</v>
      </c>
      <c r="AM104" s="33">
        <f t="shared" si="31"/>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v>0</v>
      </c>
      <c r="BF104" s="18">
        <v>0</v>
      </c>
      <c r="BG104">
        <v>0</v>
      </c>
      <c r="BH104">
        <v>1</v>
      </c>
      <c r="BI104" s="18">
        <v>0</v>
      </c>
      <c r="BJ104">
        <v>1105</v>
      </c>
      <c r="BK104">
        <v>269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9"/>
        <v>3.981012658227848</v>
      </c>
      <c r="F105" s="7">
        <v>3.16</v>
      </c>
      <c r="G105" s="7">
        <f t="shared" si="18"/>
        <v>8.5989873417721512</v>
      </c>
      <c r="H105" s="16">
        <f t="shared" si="19"/>
        <v>16.561012658227849</v>
      </c>
      <c r="I105" s="11">
        <f t="shared" si="23"/>
        <v>0.19906697682735652</v>
      </c>
      <c r="J105" s="33">
        <f t="shared" si="24"/>
        <v>6.2995878742834341E-2</v>
      </c>
      <c r="K105" s="33">
        <f t="shared" si="25"/>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30"/>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31"/>
        <v>0.16000000000000003</v>
      </c>
      <c r="AM105" s="33">
        <f t="shared" si="31"/>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v>0</v>
      </c>
      <c r="BF105" s="18">
        <v>0</v>
      </c>
      <c r="BG105">
        <v>0</v>
      </c>
      <c r="BH105">
        <v>1</v>
      </c>
      <c r="BI105" s="18">
        <v>0</v>
      </c>
      <c r="BJ105">
        <v>1105</v>
      </c>
      <c r="BK105">
        <v>269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9"/>
        <v>2.9325513196480939</v>
      </c>
      <c r="F106" s="7">
        <v>3.41</v>
      </c>
      <c r="G106" s="7">
        <f t="shared" si="18"/>
        <v>7.0674486803519061</v>
      </c>
      <c r="H106" s="16">
        <f t="shared" si="19"/>
        <v>12.932551319648095</v>
      </c>
      <c r="I106" s="11">
        <f t="shared" si="23"/>
        <v>0.21411924080287578</v>
      </c>
      <c r="J106" s="33">
        <f t="shared" si="24"/>
        <v>6.2791566217852132E-2</v>
      </c>
      <c r="K106" s="33">
        <f t="shared" si="25"/>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30"/>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31"/>
        <v>0.16000000000000003</v>
      </c>
      <c r="AM106" s="33">
        <f t="shared" si="31"/>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v>0</v>
      </c>
      <c r="BF106" s="18">
        <v>0</v>
      </c>
      <c r="BG106">
        <v>0</v>
      </c>
      <c r="BH106">
        <v>1</v>
      </c>
      <c r="BI106" s="18">
        <v>0</v>
      </c>
      <c r="BJ106">
        <v>1105</v>
      </c>
      <c r="BK106">
        <v>269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9"/>
        <v>1.6153846153846156</v>
      </c>
      <c r="F107" s="7">
        <v>6.89</v>
      </c>
      <c r="G107" s="7">
        <f t="shared" si="18"/>
        <v>9.5146153846153858</v>
      </c>
      <c r="H107" s="16">
        <f t="shared" si="19"/>
        <v>12.745384615384616</v>
      </c>
      <c r="I107" s="11">
        <f t="shared" si="23"/>
        <v>0.40496348573045571</v>
      </c>
      <c r="J107" s="33">
        <f t="shared" si="24"/>
        <v>5.8775542196002291E-2</v>
      </c>
      <c r="K107" s="33">
        <f t="shared" si="25"/>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30"/>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31"/>
        <v>0.16000000000000003</v>
      </c>
      <c r="AM107" s="33">
        <f t="shared" si="31"/>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v>0</v>
      </c>
      <c r="BF107" s="18">
        <v>0</v>
      </c>
      <c r="BG107">
        <v>0</v>
      </c>
      <c r="BH107">
        <v>1</v>
      </c>
      <c r="BI107" s="18">
        <v>0</v>
      </c>
      <c r="BJ107">
        <v>1105</v>
      </c>
      <c r="BK107">
        <v>269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9"/>
        <v>1.7179487179487181</v>
      </c>
      <c r="F108" s="7">
        <v>3.51</v>
      </c>
      <c r="G108" s="7">
        <f t="shared" si="18"/>
        <v>4.3120512820512822</v>
      </c>
      <c r="H108" s="16">
        <f t="shared" si="19"/>
        <v>7.7479487179487183</v>
      </c>
      <c r="I108" s="11">
        <f t="shared" si="23"/>
        <v>0.29631059031872276</v>
      </c>
      <c r="J108" s="33">
        <f t="shared" si="24"/>
        <v>8.441897160077573E-2</v>
      </c>
      <c r="K108" s="33">
        <f t="shared" si="25"/>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30"/>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31"/>
        <v>0.16000000000000003</v>
      </c>
      <c r="AM108" s="33">
        <f t="shared" si="31"/>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v>0</v>
      </c>
      <c r="BF108" s="18">
        <v>0</v>
      </c>
      <c r="BG108">
        <v>0</v>
      </c>
      <c r="BH108">
        <v>1</v>
      </c>
      <c r="BI108" s="18">
        <v>0</v>
      </c>
      <c r="BJ108">
        <v>1105</v>
      </c>
      <c r="BK108">
        <v>269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9"/>
        <v>1.68733153638814</v>
      </c>
      <c r="F109" s="7">
        <v>3.71</v>
      </c>
      <c r="G109" s="7">
        <f t="shared" si="18"/>
        <v>4.5726684636118602</v>
      </c>
      <c r="H109" s="16">
        <f t="shared" si="19"/>
        <v>7.9473315363881394</v>
      </c>
      <c r="I109" s="11">
        <f t="shared" si="23"/>
        <v>0.31270005357381991</v>
      </c>
      <c r="J109" s="33">
        <f t="shared" si="24"/>
        <v>8.4285728726097006E-2</v>
      </c>
      <c r="K109" s="33">
        <f t="shared" si="25"/>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30"/>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31"/>
        <v>0.16000000000000003</v>
      </c>
      <c r="AM109" s="33">
        <f t="shared" si="31"/>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v>0</v>
      </c>
      <c r="BF109" s="18">
        <v>0</v>
      </c>
      <c r="BG109">
        <v>0</v>
      </c>
      <c r="BH109">
        <v>1</v>
      </c>
      <c r="BI109" s="18">
        <v>0</v>
      </c>
      <c r="BJ109">
        <v>1105</v>
      </c>
      <c r="BK109">
        <v>269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9"/>
        <v>3.2675000000000001</v>
      </c>
      <c r="F110" s="7">
        <v>4</v>
      </c>
      <c r="G110" s="7">
        <f t="shared" si="18"/>
        <v>9.8025000000000002</v>
      </c>
      <c r="H110" s="16">
        <f t="shared" si="19"/>
        <v>16.337499999999999</v>
      </c>
      <c r="I110" s="11">
        <f t="shared" si="23"/>
        <v>0.33333333333333331</v>
      </c>
      <c r="J110" s="33">
        <f t="shared" si="24"/>
        <v>8.3333333333333329E-2</v>
      </c>
      <c r="K110" s="33">
        <f t="shared" si="25"/>
        <v>12</v>
      </c>
      <c r="L110" s="8">
        <v>0</v>
      </c>
      <c r="M110" s="9">
        <v>1</v>
      </c>
      <c r="N110" s="8">
        <v>0</v>
      </c>
      <c r="O110" s="9">
        <v>0</v>
      </c>
      <c r="P110" s="9">
        <v>1</v>
      </c>
      <c r="Q110" s="9">
        <v>0</v>
      </c>
      <c r="R110" s="9">
        <v>0</v>
      </c>
      <c r="S110" s="8">
        <v>135</v>
      </c>
      <c r="T110" s="9">
        <v>6</v>
      </c>
      <c r="U110" s="9">
        <f t="shared" si="20"/>
        <v>128</v>
      </c>
      <c r="V110" s="9">
        <f t="shared" si="21"/>
        <v>15</v>
      </c>
      <c r="W110" s="7">
        <v>8.9</v>
      </c>
      <c r="X110" s="7">
        <f t="shared" si="30"/>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31"/>
        <v>0.16000000000000003</v>
      </c>
      <c r="AM110" s="33">
        <f t="shared" si="31"/>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v>0</v>
      </c>
      <c r="BF110" s="18">
        <v>0</v>
      </c>
      <c r="BG110">
        <v>0</v>
      </c>
      <c r="BH110">
        <v>1</v>
      </c>
      <c r="BI110" s="18">
        <v>0</v>
      </c>
      <c r="BJ110">
        <v>1105</v>
      </c>
      <c r="BK110">
        <v>269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9"/>
        <v>1.2256410256410257</v>
      </c>
      <c r="F111" s="7">
        <v>11.7</v>
      </c>
      <c r="G111" s="7">
        <f t="shared" si="18"/>
        <v>13.114358974358975</v>
      </c>
      <c r="H111" s="16">
        <f t="shared" si="19"/>
        <v>15.565641025641025</v>
      </c>
      <c r="I111" s="11">
        <f t="shared" si="23"/>
        <v>0.72023528688055971</v>
      </c>
      <c r="J111" s="33">
        <f t="shared" si="24"/>
        <v>6.1558571528252976E-2</v>
      </c>
      <c r="K111" s="33">
        <f t="shared" si="25"/>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30"/>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31"/>
        <v>0.16000000000000003</v>
      </c>
      <c r="AM111" s="33">
        <f t="shared" si="31"/>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v>0</v>
      </c>
      <c r="BF111" s="18">
        <v>0</v>
      </c>
      <c r="BG111">
        <v>0</v>
      </c>
      <c r="BH111">
        <v>1</v>
      </c>
      <c r="BI111" s="18">
        <v>0</v>
      </c>
      <c r="BJ111">
        <v>1105</v>
      </c>
      <c r="BK111">
        <v>269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9"/>
        <v>3.9770491803278691</v>
      </c>
      <c r="F112" s="7">
        <v>3.05</v>
      </c>
      <c r="G112" s="7">
        <f t="shared" si="18"/>
        <v>8.1529508196721316</v>
      </c>
      <c r="H112" s="16">
        <f t="shared" si="19"/>
        <v>16.10704918032787</v>
      </c>
      <c r="I112" s="11">
        <f t="shared" si="23"/>
        <v>0.19239839057790684</v>
      </c>
      <c r="J112" s="33">
        <f t="shared" si="24"/>
        <v>6.3081439533739944E-2</v>
      </c>
      <c r="K112" s="33">
        <f t="shared" si="25"/>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30"/>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31"/>
        <v>0.16000000000000003</v>
      </c>
      <c r="AM112" s="33">
        <f t="shared" si="31"/>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v>0</v>
      </c>
      <c r="BF112" s="18">
        <v>0</v>
      </c>
      <c r="BG112">
        <v>0</v>
      </c>
      <c r="BH112">
        <v>1</v>
      </c>
      <c r="BI112" s="18">
        <v>0</v>
      </c>
      <c r="BJ112">
        <v>1105</v>
      </c>
      <c r="BK112">
        <v>269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9"/>
        <v>2.9323076923076923</v>
      </c>
      <c r="F113" s="7">
        <v>3.25</v>
      </c>
      <c r="G113" s="7">
        <f t="shared" si="18"/>
        <v>6.5976923076923075</v>
      </c>
      <c r="H113" s="16">
        <f t="shared" si="19"/>
        <v>12.462307692307691</v>
      </c>
      <c r="I113" s="11">
        <f t="shared" si="23"/>
        <v>0.20450264387930378</v>
      </c>
      <c r="J113" s="33">
        <f t="shared" si="24"/>
        <v>6.2923890424401163E-2</v>
      </c>
      <c r="K113" s="33">
        <f t="shared" si="25"/>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30"/>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31"/>
        <v>0.16000000000000003</v>
      </c>
      <c r="AM113" s="33">
        <f t="shared" si="31"/>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v>0</v>
      </c>
      <c r="BF113" s="18">
        <v>0</v>
      </c>
      <c r="BG113">
        <v>0</v>
      </c>
      <c r="BH113">
        <v>1</v>
      </c>
      <c r="BI113" s="18">
        <v>0</v>
      </c>
      <c r="BJ113">
        <v>1105</v>
      </c>
      <c r="BK113">
        <v>269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9"/>
        <v>1.6138032305433188</v>
      </c>
      <c r="F114" s="55">
        <v>6.81</v>
      </c>
      <c r="G114" s="55">
        <f t="shared" si="18"/>
        <v>9.3761967694566817</v>
      </c>
      <c r="H114" s="56">
        <f t="shared" si="19"/>
        <v>12.603803230543319</v>
      </c>
      <c r="I114" s="11">
        <f t="shared" si="23"/>
        <v>0.40102133631589526</v>
      </c>
      <c r="J114" s="33">
        <f t="shared" si="24"/>
        <v>5.8887127212319423E-2</v>
      </c>
      <c r="K114" s="33">
        <f t="shared" si="25"/>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30"/>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31"/>
        <v>0.16000000000000003</v>
      </c>
      <c r="AM114" s="58">
        <f t="shared" si="31"/>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v>0</v>
      </c>
      <c r="BF114" s="65">
        <v>0</v>
      </c>
      <c r="BG114">
        <v>0</v>
      </c>
      <c r="BH114">
        <v>1</v>
      </c>
      <c r="BI114" s="65">
        <v>0</v>
      </c>
      <c r="BJ114">
        <v>1105</v>
      </c>
      <c r="BK114">
        <v>269</v>
      </c>
      <c r="BL114" s="52">
        <v>41.3</v>
      </c>
      <c r="BM114" s="51">
        <v>1</v>
      </c>
      <c r="BN114" s="51">
        <v>0</v>
      </c>
      <c r="BO114" s="51">
        <v>0</v>
      </c>
      <c r="BP114" s="51">
        <v>0</v>
      </c>
      <c r="BQ114" s="51">
        <v>0</v>
      </c>
      <c r="BR114" s="51">
        <v>0</v>
      </c>
      <c r="BS114" s="51">
        <v>0</v>
      </c>
      <c r="BT114" s="65">
        <v>0</v>
      </c>
      <c r="BU114" s="51">
        <v>0</v>
      </c>
      <c r="BV114" s="51">
        <v>0</v>
      </c>
      <c r="BW114" s="51">
        <v>1</v>
      </c>
      <c r="BX114" s="65">
        <v>0</v>
      </c>
      <c r="BY114" s="51">
        <v>1</v>
      </c>
      <c r="BZ114" s="51">
        <v>1</v>
      </c>
      <c r="CA114" s="51">
        <v>0</v>
      </c>
      <c r="CB114" s="51">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32">D115/E115</f>
        <v>22.6</v>
      </c>
      <c r="G115" s="7">
        <f t="shared" si="18"/>
        <v>10.8</v>
      </c>
      <c r="H115" s="16">
        <f t="shared" si="19"/>
        <v>11.8</v>
      </c>
      <c r="I115" s="11">
        <f t="shared" si="23"/>
        <v>0.32038983361101409</v>
      </c>
      <c r="J115" s="33">
        <f t="shared" si="24"/>
        <v>1.4176541310221863E-2</v>
      </c>
      <c r="K115" s="33">
        <f t="shared" si="25"/>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30"/>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3">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v>0</v>
      </c>
      <c r="BF115" s="18">
        <v>1</v>
      </c>
      <c r="BG115">
        <v>0</v>
      </c>
      <c r="BH115">
        <v>1</v>
      </c>
      <c r="BI115" s="18">
        <v>0</v>
      </c>
      <c r="BJ115">
        <v>3903</v>
      </c>
      <c r="BK115">
        <v>118</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32"/>
        <v>12.857142857142858</v>
      </c>
      <c r="G116" s="7">
        <f t="shared" si="18"/>
        <v>16.600000000000001</v>
      </c>
      <c r="H116" s="16">
        <f t="shared" si="19"/>
        <v>19.399999999999999</v>
      </c>
      <c r="I116" s="11">
        <f t="shared" si="23"/>
        <v>0.18894683311768237</v>
      </c>
      <c r="J116" s="33">
        <f t="shared" si="24"/>
        <v>1.4695864798041962E-2</v>
      </c>
      <c r="K116" s="33">
        <f t="shared" si="25"/>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30"/>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3"/>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v>0</v>
      </c>
      <c r="BF116" s="18">
        <v>1</v>
      </c>
      <c r="BG116">
        <v>0</v>
      </c>
      <c r="BH116">
        <v>1</v>
      </c>
      <c r="BI116" s="18">
        <v>0</v>
      </c>
      <c r="BJ116">
        <v>3903</v>
      </c>
      <c r="BK116">
        <v>118</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32"/>
        <v>12.470588235294118</v>
      </c>
      <c r="G117" s="7">
        <f t="shared" si="18"/>
        <v>19.5</v>
      </c>
      <c r="H117" s="16">
        <f t="shared" si="19"/>
        <v>22.9</v>
      </c>
      <c r="I117" s="11">
        <f t="shared" si="23"/>
        <v>0.25336910128038576</v>
      </c>
      <c r="J117" s="33">
        <f t="shared" si="24"/>
        <v>2.0317333593238476E-2</v>
      </c>
      <c r="K117" s="33">
        <f t="shared" si="25"/>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30"/>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3"/>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v>0</v>
      </c>
      <c r="BF117" s="18">
        <v>1</v>
      </c>
      <c r="BG117">
        <v>0</v>
      </c>
      <c r="BH117">
        <v>1</v>
      </c>
      <c r="BI117" s="18">
        <v>0</v>
      </c>
      <c r="BJ117">
        <v>3903</v>
      </c>
      <c r="BK117">
        <v>118</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32"/>
        <v>6.5217391304347831</v>
      </c>
      <c r="G118" s="7">
        <f t="shared" si="18"/>
        <v>12.7</v>
      </c>
      <c r="H118" s="16">
        <f t="shared" si="19"/>
        <v>17.3</v>
      </c>
      <c r="I118" s="11">
        <f t="shared" si="23"/>
        <v>0.13821298512211169</v>
      </c>
      <c r="J118" s="33">
        <f t="shared" si="24"/>
        <v>2.1192657718723789E-2</v>
      </c>
      <c r="K118" s="33">
        <f t="shared" si="25"/>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30"/>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3"/>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v>0</v>
      </c>
      <c r="BF118" s="18">
        <v>1</v>
      </c>
      <c r="BG118">
        <v>0</v>
      </c>
      <c r="BH118">
        <v>1</v>
      </c>
      <c r="BI118" s="18">
        <v>0</v>
      </c>
      <c r="BJ118">
        <v>3903</v>
      </c>
      <c r="BK118">
        <v>118</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32"/>
        <v>11.888888888888888</v>
      </c>
      <c r="G119" s="7">
        <f t="shared" si="18"/>
        <v>19.599999999999998</v>
      </c>
      <c r="H119" s="16">
        <f t="shared" si="19"/>
        <v>23.2</v>
      </c>
      <c r="I119" s="11">
        <f t="shared" si="23"/>
        <v>0.22661558764273609</v>
      </c>
      <c r="J119" s="33">
        <f t="shared" si="24"/>
        <v>1.9061124194248831E-2</v>
      </c>
      <c r="K119" s="33">
        <f t="shared" si="25"/>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30"/>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3"/>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v>0</v>
      </c>
      <c r="BF119" s="18">
        <v>1</v>
      </c>
      <c r="BG119">
        <v>0</v>
      </c>
      <c r="BH119">
        <v>1</v>
      </c>
      <c r="BI119" s="18">
        <v>0</v>
      </c>
      <c r="BJ119">
        <v>3903</v>
      </c>
      <c r="BK119">
        <v>118</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32"/>
        <v>6.5714285714285712</v>
      </c>
      <c r="G120" s="55">
        <f t="shared" si="18"/>
        <v>11.700000000000001</v>
      </c>
      <c r="H120" s="56">
        <f t="shared" si="19"/>
        <v>15.9</v>
      </c>
      <c r="I120" s="11">
        <f t="shared" si="23"/>
        <v>0.15143053318554164</v>
      </c>
      <c r="J120" s="33">
        <f t="shared" si="24"/>
        <v>2.3043776789104162E-2</v>
      </c>
      <c r="K120" s="33">
        <f t="shared" si="25"/>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30"/>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3"/>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v>0</v>
      </c>
      <c r="BF120" s="65">
        <v>1</v>
      </c>
      <c r="BG120">
        <v>0</v>
      </c>
      <c r="BH120">
        <v>1</v>
      </c>
      <c r="BI120" s="65">
        <v>0</v>
      </c>
      <c r="BJ120">
        <v>3903</v>
      </c>
      <c r="BK120">
        <v>118</v>
      </c>
      <c r="BL120" s="52">
        <v>42.68</v>
      </c>
      <c r="BM120" s="51">
        <v>0</v>
      </c>
      <c r="BN120" s="51">
        <v>0</v>
      </c>
      <c r="BO120" s="51">
        <v>0</v>
      </c>
      <c r="BP120" s="51">
        <v>0</v>
      </c>
      <c r="BQ120" s="51">
        <v>0</v>
      </c>
      <c r="BR120" s="51">
        <v>0</v>
      </c>
      <c r="BS120" s="51">
        <v>0</v>
      </c>
      <c r="BT120" s="65">
        <v>1</v>
      </c>
      <c r="BU120" s="51">
        <v>0</v>
      </c>
      <c r="BV120" s="51">
        <v>1</v>
      </c>
      <c r="BW120" s="51">
        <v>0</v>
      </c>
      <c r="BX120" s="65">
        <v>0</v>
      </c>
      <c r="BY120" s="51">
        <v>1</v>
      </c>
      <c r="BZ120" s="51">
        <v>0</v>
      </c>
      <c r="CA120" s="51">
        <v>0</v>
      </c>
      <c r="CB120" s="51">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32"/>
        <v>47</v>
      </c>
      <c r="G121" s="7">
        <f t="shared" si="18"/>
        <v>4.6000000000000005</v>
      </c>
      <c r="H121" s="16">
        <f t="shared" si="19"/>
        <v>4.8</v>
      </c>
      <c r="I121" s="11">
        <f t="shared" si="23"/>
        <v>0.57012642774554001</v>
      </c>
      <c r="J121" s="33">
        <f t="shared" si="24"/>
        <v>1.2130349526500854E-2</v>
      </c>
      <c r="K121" s="33">
        <f t="shared" si="25"/>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4">1-AX121</f>
        <v>0.32399999999999995</v>
      </c>
      <c r="AX121" s="18">
        <v>0.67600000000000005</v>
      </c>
      <c r="AY121" s="18" t="s">
        <v>13</v>
      </c>
      <c r="AZ121">
        <v>0</v>
      </c>
      <c r="BA121">
        <v>1</v>
      </c>
      <c r="BB121">
        <v>0</v>
      </c>
      <c r="BC121">
        <v>0</v>
      </c>
      <c r="BD121">
        <v>0</v>
      </c>
      <c r="BE121">
        <v>0</v>
      </c>
      <c r="BF121" s="18">
        <v>0</v>
      </c>
      <c r="BG121">
        <v>0</v>
      </c>
      <c r="BH121">
        <v>1</v>
      </c>
      <c r="BI121" s="18">
        <v>0</v>
      </c>
      <c r="BJ121">
        <v>1466</v>
      </c>
      <c r="BK121">
        <v>97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32"/>
        <v>22</v>
      </c>
      <c r="G122" s="7">
        <f t="shared" si="18"/>
        <v>4.2</v>
      </c>
      <c r="H122" s="16">
        <f t="shared" si="19"/>
        <v>4.6000000000000005</v>
      </c>
      <c r="I122" s="11">
        <f t="shared" si="23"/>
        <v>0.36970873993771308</v>
      </c>
      <c r="J122" s="33">
        <f t="shared" si="24"/>
        <v>1.6804942724441503E-2</v>
      </c>
      <c r="K122" s="33">
        <f t="shared" si="25"/>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4"/>
        <v>0.35099999999999998</v>
      </c>
      <c r="AX122" s="18">
        <v>0.64900000000000002</v>
      </c>
      <c r="AY122" s="18" t="s">
        <v>13</v>
      </c>
      <c r="AZ122">
        <v>0</v>
      </c>
      <c r="BA122">
        <v>1</v>
      </c>
      <c r="BB122">
        <v>0</v>
      </c>
      <c r="BC122">
        <v>0</v>
      </c>
      <c r="BD122">
        <v>0</v>
      </c>
      <c r="BE122">
        <v>0</v>
      </c>
      <c r="BF122" s="18">
        <v>0</v>
      </c>
      <c r="BG122">
        <v>0</v>
      </c>
      <c r="BH122">
        <v>1</v>
      </c>
      <c r="BI122" s="18">
        <v>0</v>
      </c>
      <c r="BJ122">
        <v>1466</v>
      </c>
      <c r="BK122">
        <v>97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32"/>
        <v>17.666666666666668</v>
      </c>
      <c r="G123" s="7">
        <f t="shared" si="18"/>
        <v>5</v>
      </c>
      <c r="H123" s="16">
        <f t="shared" si="19"/>
        <v>5.6</v>
      </c>
      <c r="I123" s="11">
        <f t="shared" si="23"/>
        <v>0.41240453514173858</v>
      </c>
      <c r="J123" s="33">
        <f t="shared" si="24"/>
        <v>2.3343652932551237E-2</v>
      </c>
      <c r="K123" s="33">
        <f t="shared" si="25"/>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4"/>
        <v>0.27</v>
      </c>
      <c r="AX123" s="18">
        <v>0.73</v>
      </c>
      <c r="AY123" s="18" t="s">
        <v>13</v>
      </c>
      <c r="AZ123">
        <v>0</v>
      </c>
      <c r="BA123">
        <v>1</v>
      </c>
      <c r="BB123">
        <v>0</v>
      </c>
      <c r="BC123">
        <v>0</v>
      </c>
      <c r="BD123">
        <v>0</v>
      </c>
      <c r="BE123">
        <v>0</v>
      </c>
      <c r="BF123" s="18">
        <v>0</v>
      </c>
      <c r="BG123">
        <v>0</v>
      </c>
      <c r="BH123">
        <v>1</v>
      </c>
      <c r="BI123" s="18">
        <v>0</v>
      </c>
      <c r="BJ123">
        <v>1466</v>
      </c>
      <c r="BK123">
        <v>97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32"/>
        <v>-1.1944444444444444</v>
      </c>
      <c r="G124" s="7">
        <f t="shared" si="18"/>
        <v>-7.9</v>
      </c>
      <c r="H124" s="16">
        <f t="shared" si="19"/>
        <v>-0.69999999999999973</v>
      </c>
      <c r="I124" s="11">
        <f t="shared" si="23"/>
        <v>-1.7633318655114288E-2</v>
      </c>
      <c r="J124" s="33">
        <f t="shared" si="24"/>
        <v>1.476277840893289E-2</v>
      </c>
      <c r="K124" s="33">
        <f t="shared" si="25"/>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4"/>
        <v>0.32399999999999995</v>
      </c>
      <c r="AX124" s="18">
        <v>0.67600000000000005</v>
      </c>
      <c r="AY124" s="18" t="s">
        <v>13</v>
      </c>
      <c r="AZ124">
        <v>0</v>
      </c>
      <c r="BA124">
        <v>1</v>
      </c>
      <c r="BB124">
        <v>0</v>
      </c>
      <c r="BC124">
        <v>0</v>
      </c>
      <c r="BD124">
        <v>0</v>
      </c>
      <c r="BE124">
        <v>0</v>
      </c>
      <c r="BF124" s="18">
        <v>0</v>
      </c>
      <c r="BG124">
        <v>0</v>
      </c>
      <c r="BH124">
        <v>1</v>
      </c>
      <c r="BI124" s="18">
        <v>0</v>
      </c>
      <c r="BJ124">
        <v>1466</v>
      </c>
      <c r="BK124">
        <v>97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32"/>
        <v>-1.5476190476190477</v>
      </c>
      <c r="G125" s="7">
        <f t="shared" si="18"/>
        <v>-32.1</v>
      </c>
      <c r="H125" s="16">
        <f t="shared" si="19"/>
        <v>-6.9</v>
      </c>
      <c r="I125" s="11">
        <f t="shared" si="23"/>
        <v>-2.7979907931522052E-2</v>
      </c>
      <c r="J125" s="33">
        <f t="shared" si="24"/>
        <v>1.8079325124983479E-2</v>
      </c>
      <c r="K125" s="33">
        <f t="shared" si="25"/>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4"/>
        <v>0.35099999999999998</v>
      </c>
      <c r="AX125" s="18">
        <v>0.64900000000000002</v>
      </c>
      <c r="AY125" s="18" t="s">
        <v>13</v>
      </c>
      <c r="AZ125">
        <v>0</v>
      </c>
      <c r="BA125">
        <v>1</v>
      </c>
      <c r="BB125">
        <v>0</v>
      </c>
      <c r="BC125">
        <v>0</v>
      </c>
      <c r="BD125">
        <v>0</v>
      </c>
      <c r="BE125">
        <v>0</v>
      </c>
      <c r="BF125" s="18">
        <v>0</v>
      </c>
      <c r="BG125">
        <v>0</v>
      </c>
      <c r="BH125">
        <v>1</v>
      </c>
      <c r="BI125" s="18">
        <v>0</v>
      </c>
      <c r="BJ125">
        <v>1466</v>
      </c>
      <c r="BK125">
        <v>97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32"/>
        <v>2.4615384615384617</v>
      </c>
      <c r="G126" s="7">
        <f t="shared" si="18"/>
        <v>3.8000000000000003</v>
      </c>
      <c r="H126" s="16">
        <f t="shared" si="19"/>
        <v>9</v>
      </c>
      <c r="I126" s="11">
        <f t="shared" si="23"/>
        <v>6.2949818167269231E-2</v>
      </c>
      <c r="J126" s="33">
        <f t="shared" si="24"/>
        <v>2.5573363630453125E-2</v>
      </c>
      <c r="K126" s="33">
        <f t="shared" si="25"/>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4"/>
        <v>0.27</v>
      </c>
      <c r="AX126" s="18">
        <v>0.73</v>
      </c>
      <c r="AY126" s="18" t="s">
        <v>13</v>
      </c>
      <c r="AZ126">
        <v>0</v>
      </c>
      <c r="BA126">
        <v>1</v>
      </c>
      <c r="BB126">
        <v>0</v>
      </c>
      <c r="BC126">
        <v>0</v>
      </c>
      <c r="BD126">
        <v>0</v>
      </c>
      <c r="BE126">
        <v>0</v>
      </c>
      <c r="BF126" s="18">
        <v>0</v>
      </c>
      <c r="BG126">
        <v>0</v>
      </c>
      <c r="BH126">
        <v>1</v>
      </c>
      <c r="BI126" s="18">
        <v>0</v>
      </c>
      <c r="BJ126">
        <v>1466</v>
      </c>
      <c r="BK126">
        <v>97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32"/>
        <v>1.24</v>
      </c>
      <c r="G127" s="7">
        <f t="shared" si="18"/>
        <v>1.2000000000000002</v>
      </c>
      <c r="H127" s="16">
        <f t="shared" si="19"/>
        <v>11.2</v>
      </c>
      <c r="I127" s="11">
        <f t="shared" si="23"/>
        <v>1.8305624004556733E-2</v>
      </c>
      <c r="J127" s="33">
        <f t="shared" si="24"/>
        <v>1.4762600003674785E-2</v>
      </c>
      <c r="K127" s="33">
        <f t="shared" si="25"/>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4"/>
        <v>0.32399999999999995</v>
      </c>
      <c r="AX127" s="18">
        <v>0.67600000000000005</v>
      </c>
      <c r="AY127" s="18" t="s">
        <v>13</v>
      </c>
      <c r="AZ127">
        <v>0</v>
      </c>
      <c r="BA127">
        <v>1</v>
      </c>
      <c r="BB127">
        <v>0</v>
      </c>
      <c r="BC127">
        <v>0</v>
      </c>
      <c r="BD127">
        <v>0</v>
      </c>
      <c r="BE127">
        <v>0</v>
      </c>
      <c r="BF127" s="18">
        <v>0</v>
      </c>
      <c r="BG127">
        <v>0</v>
      </c>
      <c r="BH127">
        <v>1</v>
      </c>
      <c r="BI127" s="18">
        <v>0</v>
      </c>
      <c r="BJ127">
        <v>1466</v>
      </c>
      <c r="BK127">
        <v>97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32"/>
        <v>1.2485875706214691</v>
      </c>
      <c r="G128" s="7">
        <f t="shared" si="18"/>
        <v>4.4000000000000021</v>
      </c>
      <c r="H128" s="16">
        <f t="shared" si="19"/>
        <v>39.799999999999997</v>
      </c>
      <c r="I128" s="11">
        <f t="shared" si="23"/>
        <v>2.257670603186834E-2</v>
      </c>
      <c r="J128" s="33">
        <f t="shared" si="24"/>
        <v>1.8081796233668308E-2</v>
      </c>
      <c r="K128" s="33">
        <f t="shared" si="25"/>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4"/>
        <v>0.35099999999999998</v>
      </c>
      <c r="AX128" s="18">
        <v>0.64900000000000002</v>
      </c>
      <c r="AY128" s="18" t="s">
        <v>13</v>
      </c>
      <c r="AZ128">
        <v>0</v>
      </c>
      <c r="BA128">
        <v>1</v>
      </c>
      <c r="BB128">
        <v>0</v>
      </c>
      <c r="BC128">
        <v>0</v>
      </c>
      <c r="BD128">
        <v>0</v>
      </c>
      <c r="BE128">
        <v>0</v>
      </c>
      <c r="BF128" s="18">
        <v>0</v>
      </c>
      <c r="BG128">
        <v>0</v>
      </c>
      <c r="BH128">
        <v>1</v>
      </c>
      <c r="BI128" s="18">
        <v>0</v>
      </c>
      <c r="BJ128">
        <v>1466</v>
      </c>
      <c r="BK128">
        <v>97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32"/>
        <v>-0.98461538461538467</v>
      </c>
      <c r="G129" s="7">
        <f t="shared" si="18"/>
        <v>-12.9</v>
      </c>
      <c r="H129" s="16">
        <f t="shared" si="19"/>
        <v>9.9999999999999645E-2</v>
      </c>
      <c r="I129" s="11">
        <f t="shared" si="23"/>
        <v>-2.5221939773177167E-2</v>
      </c>
      <c r="J129" s="33">
        <f t="shared" si="24"/>
        <v>2.5616032582133057E-2</v>
      </c>
      <c r="K129" s="33">
        <f t="shared" si="25"/>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4"/>
        <v>0.27</v>
      </c>
      <c r="AX129" s="18">
        <v>0.73</v>
      </c>
      <c r="AY129" s="18" t="s">
        <v>13</v>
      </c>
      <c r="AZ129">
        <v>0</v>
      </c>
      <c r="BA129">
        <v>1</v>
      </c>
      <c r="BB129">
        <v>0</v>
      </c>
      <c r="BC129">
        <v>0</v>
      </c>
      <c r="BD129">
        <v>0</v>
      </c>
      <c r="BE129">
        <v>0</v>
      </c>
      <c r="BF129" s="18">
        <v>0</v>
      </c>
      <c r="BG129">
        <v>0</v>
      </c>
      <c r="BH129">
        <v>1</v>
      </c>
      <c r="BI129" s="18">
        <v>0</v>
      </c>
      <c r="BJ129">
        <v>1466</v>
      </c>
      <c r="BK129">
        <v>97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32"/>
        <v>17.25</v>
      </c>
      <c r="G130" s="7">
        <f t="shared" ref="G130:G193" si="35">D130-E130</f>
        <v>6.5</v>
      </c>
      <c r="H130" s="16">
        <f t="shared" ref="H130:H193" si="36">D130+E130</f>
        <v>7.3000000000000007</v>
      </c>
      <c r="I130" s="11">
        <f t="shared" si="23"/>
        <v>0.24681767895018253</v>
      </c>
      <c r="J130" s="33">
        <f t="shared" si="24"/>
        <v>1.4308271243488843E-2</v>
      </c>
      <c r="K130" s="33">
        <f t="shared" si="25"/>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4"/>
        <v>0.32399999999999995</v>
      </c>
      <c r="AX130" s="18">
        <v>0.67600000000000005</v>
      </c>
      <c r="AY130" s="18" t="s">
        <v>13</v>
      </c>
      <c r="AZ130">
        <v>0</v>
      </c>
      <c r="BA130">
        <v>1</v>
      </c>
      <c r="BB130">
        <v>0</v>
      </c>
      <c r="BC130">
        <v>0</v>
      </c>
      <c r="BD130">
        <v>0</v>
      </c>
      <c r="BE130">
        <v>0</v>
      </c>
      <c r="BF130" s="18">
        <v>0</v>
      </c>
      <c r="BG130">
        <v>0</v>
      </c>
      <c r="BH130">
        <v>1</v>
      </c>
      <c r="BI130" s="18">
        <v>0</v>
      </c>
      <c r="BJ130">
        <v>1466</v>
      </c>
      <c r="BK130">
        <v>97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32"/>
        <v>13.2</v>
      </c>
      <c r="G131" s="7">
        <f t="shared" si="35"/>
        <v>6.1</v>
      </c>
      <c r="H131" s="16">
        <f t="shared" si="36"/>
        <v>7.1</v>
      </c>
      <c r="I131" s="11">
        <f t="shared" si="23"/>
        <v>0.23221449381289103</v>
      </c>
      <c r="J131" s="33">
        <f t="shared" si="24"/>
        <v>1.7592007107037198E-2</v>
      </c>
      <c r="K131" s="33">
        <f t="shared" si="25"/>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4"/>
        <v>0.35099999999999998</v>
      </c>
      <c r="AX131" s="18">
        <v>0.64900000000000002</v>
      </c>
      <c r="AY131" s="18" t="s">
        <v>13</v>
      </c>
      <c r="AZ131">
        <v>0</v>
      </c>
      <c r="BA131">
        <v>1</v>
      </c>
      <c r="BB131">
        <v>0</v>
      </c>
      <c r="BC131">
        <v>0</v>
      </c>
      <c r="BD131">
        <v>0</v>
      </c>
      <c r="BE131">
        <v>0</v>
      </c>
      <c r="BF131" s="18">
        <v>0</v>
      </c>
      <c r="BG131">
        <v>0</v>
      </c>
      <c r="BH131">
        <v>1</v>
      </c>
      <c r="BI131" s="18">
        <v>0</v>
      </c>
      <c r="BJ131">
        <v>1466</v>
      </c>
      <c r="BK131">
        <v>97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32"/>
        <v>14.8</v>
      </c>
      <c r="G132" s="7">
        <f t="shared" si="35"/>
        <v>6.9</v>
      </c>
      <c r="H132" s="16">
        <f t="shared" si="36"/>
        <v>7.9</v>
      </c>
      <c r="I132" s="11">
        <f t="shared" si="23"/>
        <v>0.35459503793303371</v>
      </c>
      <c r="J132" s="33">
        <f t="shared" si="24"/>
        <v>2.3959124184664435E-2</v>
      </c>
      <c r="K132" s="33">
        <f t="shared" si="25"/>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4"/>
        <v>0.27</v>
      </c>
      <c r="AX132" s="18">
        <v>0.73</v>
      </c>
      <c r="AY132" s="18" t="s">
        <v>13</v>
      </c>
      <c r="AZ132">
        <v>0</v>
      </c>
      <c r="BA132">
        <v>1</v>
      </c>
      <c r="BB132">
        <v>0</v>
      </c>
      <c r="BC132">
        <v>0</v>
      </c>
      <c r="BD132">
        <v>0</v>
      </c>
      <c r="BE132">
        <v>0</v>
      </c>
      <c r="BF132" s="18">
        <v>0</v>
      </c>
      <c r="BG132">
        <v>0</v>
      </c>
      <c r="BH132">
        <v>1</v>
      </c>
      <c r="BI132" s="18">
        <v>0</v>
      </c>
      <c r="BJ132">
        <v>1466</v>
      </c>
      <c r="BK132">
        <v>97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32"/>
        <v>10.333333333333334</v>
      </c>
      <c r="G133" s="7">
        <f t="shared" si="35"/>
        <v>5.6000000000000005</v>
      </c>
      <c r="H133" s="16">
        <f t="shared" si="36"/>
        <v>6.8</v>
      </c>
      <c r="I133" s="11">
        <f t="shared" si="23"/>
        <v>0.15082702916904969</v>
      </c>
      <c r="J133" s="33">
        <f t="shared" si="24"/>
        <v>1.4596164113133841E-2</v>
      </c>
      <c r="K133" s="33">
        <f t="shared" si="25"/>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4"/>
        <v>0.32399999999999995</v>
      </c>
      <c r="AX133" s="18">
        <v>0.67600000000000005</v>
      </c>
      <c r="AY133" s="18" t="s">
        <v>13</v>
      </c>
      <c r="AZ133">
        <v>0</v>
      </c>
      <c r="BA133">
        <v>1</v>
      </c>
      <c r="BB133">
        <v>0</v>
      </c>
      <c r="BC133">
        <v>0</v>
      </c>
      <c r="BD133">
        <v>0</v>
      </c>
      <c r="BE133">
        <v>0</v>
      </c>
      <c r="BF133" s="18">
        <v>0</v>
      </c>
      <c r="BG133">
        <v>0</v>
      </c>
      <c r="BH133">
        <v>1</v>
      </c>
      <c r="BI133" s="18">
        <v>0</v>
      </c>
      <c r="BJ133">
        <v>1466</v>
      </c>
      <c r="BK133">
        <v>97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32"/>
        <v>8.5714285714285712</v>
      </c>
      <c r="G134" s="7">
        <f t="shared" si="35"/>
        <v>5.3</v>
      </c>
      <c r="H134" s="16">
        <f t="shared" si="36"/>
        <v>6.7</v>
      </c>
      <c r="I134" s="11">
        <f t="shared" si="23"/>
        <v>0.15319637175030965</v>
      </c>
      <c r="J134" s="33">
        <f t="shared" si="24"/>
        <v>1.7872910037536129E-2</v>
      </c>
      <c r="K134" s="33">
        <f t="shared" si="25"/>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4"/>
        <v>0.35099999999999998</v>
      </c>
      <c r="AX134" s="18">
        <v>0.64900000000000002</v>
      </c>
      <c r="AY134" s="18" t="s">
        <v>13</v>
      </c>
      <c r="AZ134">
        <v>0</v>
      </c>
      <c r="BA134">
        <v>1</v>
      </c>
      <c r="BB134">
        <v>0</v>
      </c>
      <c r="BC134">
        <v>0</v>
      </c>
      <c r="BD134">
        <v>0</v>
      </c>
      <c r="BE134">
        <v>0</v>
      </c>
      <c r="BF134" s="18">
        <v>0</v>
      </c>
      <c r="BG134">
        <v>0</v>
      </c>
      <c r="BH134">
        <v>1</v>
      </c>
      <c r="BI134" s="18">
        <v>0</v>
      </c>
      <c r="BJ134">
        <v>1466</v>
      </c>
      <c r="BK134">
        <v>97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32"/>
        <v>8.2499999999999982</v>
      </c>
      <c r="G135" s="55">
        <f t="shared" si="35"/>
        <v>5.8</v>
      </c>
      <c r="H135" s="56">
        <f t="shared" si="36"/>
        <v>7.3999999999999995</v>
      </c>
      <c r="I135" s="11">
        <f t="shared" si="23"/>
        <v>0.20682847442746988</v>
      </c>
      <c r="J135" s="33">
        <f t="shared" si="24"/>
        <v>2.5070118112420596E-2</v>
      </c>
      <c r="K135" s="33">
        <f t="shared" si="25"/>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4"/>
        <v>0.27</v>
      </c>
      <c r="AX135" s="65">
        <v>0.73</v>
      </c>
      <c r="AY135" s="65" t="s">
        <v>13</v>
      </c>
      <c r="AZ135">
        <v>0</v>
      </c>
      <c r="BA135">
        <v>1</v>
      </c>
      <c r="BB135">
        <v>0</v>
      </c>
      <c r="BC135">
        <v>0</v>
      </c>
      <c r="BD135">
        <v>0</v>
      </c>
      <c r="BE135">
        <v>0</v>
      </c>
      <c r="BF135" s="65">
        <v>0</v>
      </c>
      <c r="BG135">
        <v>0</v>
      </c>
      <c r="BH135">
        <v>1</v>
      </c>
      <c r="BI135" s="65">
        <v>0</v>
      </c>
      <c r="BJ135">
        <v>1466</v>
      </c>
      <c r="BK135">
        <v>97</v>
      </c>
      <c r="BL135" s="52">
        <v>34.741</v>
      </c>
      <c r="BM135" s="51">
        <v>0</v>
      </c>
      <c r="BN135" s="51">
        <v>0</v>
      </c>
      <c r="BO135" s="51">
        <v>0</v>
      </c>
      <c r="BP135" s="51">
        <v>0</v>
      </c>
      <c r="BQ135" s="51">
        <v>0</v>
      </c>
      <c r="BR135" s="51">
        <v>0</v>
      </c>
      <c r="BS135" s="51">
        <v>0</v>
      </c>
      <c r="BT135" s="65">
        <v>1</v>
      </c>
      <c r="BU135" s="51">
        <v>0</v>
      </c>
      <c r="BV135" s="51">
        <v>1</v>
      </c>
      <c r="BW135" s="51">
        <v>0</v>
      </c>
      <c r="BX135" s="65">
        <v>0</v>
      </c>
      <c r="BY135" s="51">
        <v>0</v>
      </c>
      <c r="BZ135" s="51">
        <v>0</v>
      </c>
      <c r="CA135" s="51">
        <v>0</v>
      </c>
      <c r="CB135" s="51">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32"/>
        <v>21.778656126482211</v>
      </c>
      <c r="G136" s="7">
        <f t="shared" si="35"/>
        <v>5.2569999999999997</v>
      </c>
      <c r="H136" s="16">
        <f t="shared" si="36"/>
        <v>5.7629999999999999</v>
      </c>
      <c r="I136" s="11">
        <f t="shared" ref="I136:I199" si="39">IFERROR(F136/SQRT(F136^2+U136), "X")</f>
        <v>0.295080178546265</v>
      </c>
      <c r="J136" s="33">
        <f t="shared" ref="J136:J199" si="40">IFERROR(SQRT((1-I136^2)/U136), "X")</f>
        <v>1.354905357027315E-2</v>
      </c>
      <c r="K136" s="33">
        <f t="shared" ref="K136:K199" si="41">IFERROR(1/J136, "X")</f>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v>0</v>
      </c>
      <c r="BF136" s="18">
        <v>1</v>
      </c>
      <c r="BG136">
        <v>0</v>
      </c>
      <c r="BH136">
        <v>1</v>
      </c>
      <c r="BI136" s="18">
        <v>0</v>
      </c>
      <c r="BJ136">
        <v>2172</v>
      </c>
      <c r="BK136">
        <v>70</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42">D137/F137</f>
        <v>1.1482677169217248</v>
      </c>
      <c r="F137" s="7">
        <v>4.2534379169715582</v>
      </c>
      <c r="G137" s="7">
        <f t="shared" si="35"/>
        <v>3.7358177290675028</v>
      </c>
      <c r="H137" s="16">
        <f t="shared" si="36"/>
        <v>6.0323531629109528</v>
      </c>
      <c r="I137" s="11">
        <f t="shared" si="39"/>
        <v>6.0224455523967213E-2</v>
      </c>
      <c r="J137" s="33">
        <f t="shared" si="40"/>
        <v>1.4159006596444444E-2</v>
      </c>
      <c r="K137" s="33">
        <f t="shared" si="41"/>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v>0</v>
      </c>
      <c r="BF137" s="18">
        <v>1</v>
      </c>
      <c r="BG137">
        <v>0</v>
      </c>
      <c r="BH137">
        <v>1</v>
      </c>
      <c r="BI137" s="18">
        <v>0</v>
      </c>
      <c r="BJ137">
        <v>2172</v>
      </c>
      <c r="BK137">
        <v>70</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42"/>
        <v>0.89784986733651528</v>
      </c>
      <c r="F138" s="7">
        <v>6.2070786142153009</v>
      </c>
      <c r="G138" s="7">
        <f t="shared" si="35"/>
        <v>4.6751748429840134</v>
      </c>
      <c r="H138" s="16">
        <f t="shared" si="36"/>
        <v>6.4708745776570442</v>
      </c>
      <c r="I138" s="11">
        <f t="shared" si="39"/>
        <v>8.7706584814015456E-2</v>
      </c>
      <c r="J138" s="33">
        <f t="shared" si="40"/>
        <v>1.4130090863220576E-2</v>
      </c>
      <c r="K138" s="33">
        <f t="shared" si="41"/>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v>0</v>
      </c>
      <c r="BF138" s="18">
        <v>1</v>
      </c>
      <c r="BG138">
        <v>0</v>
      </c>
      <c r="BH138">
        <v>1</v>
      </c>
      <c r="BI138" s="18">
        <v>0</v>
      </c>
      <c r="BJ138">
        <v>2172</v>
      </c>
      <c r="BK138">
        <v>70</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42"/>
        <v>1.3975793543583506</v>
      </c>
      <c r="F139" s="7">
        <v>7.6597490679549312</v>
      </c>
      <c r="G139" s="7">
        <f t="shared" si="35"/>
        <v>9.3075278025810793</v>
      </c>
      <c r="H139" s="16">
        <f t="shared" si="36"/>
        <v>12.102686511297781</v>
      </c>
      <c r="I139" s="11">
        <f t="shared" si="39"/>
        <v>0.10801595217731309</v>
      </c>
      <c r="J139" s="33">
        <f t="shared" si="40"/>
        <v>1.4101761195964629E-2</v>
      </c>
      <c r="K139" s="33">
        <f t="shared" si="41"/>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v>0</v>
      </c>
      <c r="BF139" s="18">
        <v>1</v>
      </c>
      <c r="BG139">
        <v>0</v>
      </c>
      <c r="BH139">
        <v>1</v>
      </c>
      <c r="BI139" s="18">
        <v>0</v>
      </c>
      <c r="BJ139">
        <v>2172</v>
      </c>
      <c r="BK139">
        <v>70</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42"/>
        <v>0.98694243098033674</v>
      </c>
      <c r="F140" s="7">
        <v>8.7631027253668758</v>
      </c>
      <c r="G140" s="7">
        <f t="shared" si="35"/>
        <v>7.6617354757236615</v>
      </c>
      <c r="H140" s="16">
        <f t="shared" si="36"/>
        <v>9.635620337684335</v>
      </c>
      <c r="I140" s="11">
        <f t="shared" si="39"/>
        <v>0.12343877343338963</v>
      </c>
      <c r="J140" s="33">
        <f t="shared" si="40"/>
        <v>1.408619495878633E-2</v>
      </c>
      <c r="K140" s="33">
        <f t="shared" si="41"/>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v>0</v>
      </c>
      <c r="BF140" s="18">
        <v>1</v>
      </c>
      <c r="BG140">
        <v>0</v>
      </c>
      <c r="BH140">
        <v>1</v>
      </c>
      <c r="BI140" s="18">
        <v>0</v>
      </c>
      <c r="BJ140">
        <v>2172</v>
      </c>
      <c r="BK140">
        <v>70</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42"/>
        <v>0.41588918524664004</v>
      </c>
      <c r="F141" s="7">
        <v>15.05467823618528</v>
      </c>
      <c r="G141" s="7">
        <f t="shared" si="35"/>
        <v>5.8451886805507796</v>
      </c>
      <c r="H141" s="16">
        <f t="shared" si="36"/>
        <v>6.67696705104406</v>
      </c>
      <c r="I141" s="11">
        <f t="shared" si="39"/>
        <v>0.20897903623751837</v>
      </c>
      <c r="J141" s="33">
        <f t="shared" si="40"/>
        <v>1.3881335287207825E-2</v>
      </c>
      <c r="K141" s="33">
        <f t="shared" si="41"/>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v>0</v>
      </c>
      <c r="BF141" s="18">
        <v>1</v>
      </c>
      <c r="BG141">
        <v>0</v>
      </c>
      <c r="BH141">
        <v>1</v>
      </c>
      <c r="BI141" s="18">
        <v>0</v>
      </c>
      <c r="BJ141">
        <v>2172</v>
      </c>
      <c r="BK141">
        <v>70</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42"/>
        <v>0.51814326001821898</v>
      </c>
      <c r="F142" s="55">
        <v>20.713380227424022</v>
      </c>
      <c r="G142" s="55">
        <f t="shared" si="35"/>
        <v>10.214355097016181</v>
      </c>
      <c r="H142" s="56">
        <f t="shared" si="36"/>
        <v>11.250641617052619</v>
      </c>
      <c r="I142" s="11">
        <f t="shared" si="39"/>
        <v>0.28208127557332185</v>
      </c>
      <c r="J142" s="33">
        <f t="shared" si="40"/>
        <v>1.3618312051253372E-2</v>
      </c>
      <c r="K142" s="33">
        <f t="shared" si="41"/>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v>0</v>
      </c>
      <c r="BF142" s="65">
        <v>1</v>
      </c>
      <c r="BG142">
        <v>0</v>
      </c>
      <c r="BH142">
        <v>1</v>
      </c>
      <c r="BI142" s="65">
        <v>0</v>
      </c>
      <c r="BJ142">
        <v>2172</v>
      </c>
      <c r="BK142">
        <v>70</v>
      </c>
      <c r="BL142" s="52">
        <v>43</v>
      </c>
      <c r="BM142" s="51">
        <v>1</v>
      </c>
      <c r="BN142" s="51">
        <v>0</v>
      </c>
      <c r="BO142" s="51">
        <v>0</v>
      </c>
      <c r="BP142" s="51">
        <v>0</v>
      </c>
      <c r="BQ142" s="51">
        <v>0</v>
      </c>
      <c r="BR142" s="51">
        <v>0</v>
      </c>
      <c r="BS142" s="51">
        <v>0</v>
      </c>
      <c r="BT142" s="65">
        <v>0</v>
      </c>
      <c r="BU142" s="51">
        <v>0</v>
      </c>
      <c r="BV142" s="51">
        <v>0</v>
      </c>
      <c r="BW142" s="51">
        <v>1</v>
      </c>
      <c r="BX142" s="65">
        <v>0</v>
      </c>
      <c r="BY142" s="51">
        <v>0</v>
      </c>
      <c r="BZ142" s="51">
        <v>0</v>
      </c>
      <c r="CA142" s="51">
        <v>0</v>
      </c>
      <c r="CB142" s="51">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5"/>
        <v>7.4</v>
      </c>
      <c r="H143" s="16">
        <f t="shared" si="36"/>
        <v>8</v>
      </c>
      <c r="I143" s="11">
        <f t="shared" si="39"/>
        <v>0.12746257641128633</v>
      </c>
      <c r="J143" s="33">
        <f t="shared" si="40"/>
        <v>5.8702318605511773E-3</v>
      </c>
      <c r="K143" s="33">
        <f t="shared" si="41"/>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 t="shared" ref="X143:X154" si="43">BL143-W143-6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v>0</v>
      </c>
      <c r="BF143" s="18">
        <v>0</v>
      </c>
      <c r="BG143">
        <v>1</v>
      </c>
      <c r="BH143">
        <v>0</v>
      </c>
      <c r="BI143" s="18">
        <v>0</v>
      </c>
      <c r="BJ143">
        <v>29297</v>
      </c>
      <c r="BK143">
        <v>23130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5"/>
        <v>7.5</v>
      </c>
      <c r="H144" s="16">
        <f t="shared" si="36"/>
        <v>8.5</v>
      </c>
      <c r="I144" s="11">
        <f t="shared" si="39"/>
        <v>0.13316215592883443</v>
      </c>
      <c r="J144" s="33">
        <f t="shared" si="40"/>
        <v>5.8627185648068023E-3</v>
      </c>
      <c r="K144" s="33">
        <f t="shared" si="41"/>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 t="shared" si="43"/>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v>0</v>
      </c>
      <c r="BF144" s="18">
        <v>0</v>
      </c>
      <c r="BG144">
        <v>1</v>
      </c>
      <c r="BH144">
        <v>0</v>
      </c>
      <c r="BI144" s="18">
        <v>0</v>
      </c>
      <c r="BJ144">
        <v>29297</v>
      </c>
      <c r="BK144">
        <v>23130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5"/>
        <v>8.8000000000000007</v>
      </c>
      <c r="H145" s="16">
        <f t="shared" si="36"/>
        <v>9.8000000000000007</v>
      </c>
      <c r="I145" s="11">
        <f t="shared" si="39"/>
        <v>0.13735334900738005</v>
      </c>
      <c r="J145" s="33">
        <f t="shared" si="40"/>
        <v>5.7922298588428973E-3</v>
      </c>
      <c r="K145" s="33">
        <f t="shared" si="41"/>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 t="shared" si="43"/>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v>0</v>
      </c>
      <c r="BF145" s="18">
        <v>0</v>
      </c>
      <c r="BG145">
        <v>1</v>
      </c>
      <c r="BH145">
        <v>0</v>
      </c>
      <c r="BI145" s="18">
        <v>0</v>
      </c>
      <c r="BJ145">
        <v>29297</v>
      </c>
      <c r="BK145">
        <v>23130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5"/>
        <v>6.8</v>
      </c>
      <c r="H146" s="16">
        <f t="shared" si="36"/>
        <v>7.2</v>
      </c>
      <c r="I146" s="11">
        <f t="shared" si="39"/>
        <v>0.14675871989868494</v>
      </c>
      <c r="J146" s="33">
        <f t="shared" si="40"/>
        <v>5.9384316733746279E-3</v>
      </c>
      <c r="K146" s="33">
        <f t="shared" si="41"/>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 t="shared" si="43"/>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v>0</v>
      </c>
      <c r="BF146" s="18">
        <v>0</v>
      </c>
      <c r="BG146">
        <v>1</v>
      </c>
      <c r="BH146">
        <v>0</v>
      </c>
      <c r="BI146" s="18">
        <v>0</v>
      </c>
      <c r="BJ146">
        <v>29297</v>
      </c>
      <c r="BK146">
        <v>23130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5"/>
        <v>10.299999999999999</v>
      </c>
      <c r="H147" s="16">
        <f t="shared" si="36"/>
        <v>11.1</v>
      </c>
      <c r="I147" s="11">
        <f t="shared" si="39"/>
        <v>0.15248911135300705</v>
      </c>
      <c r="J147" s="33">
        <f t="shared" si="40"/>
        <v>5.9303409355092639E-3</v>
      </c>
      <c r="K147" s="33">
        <f t="shared" si="41"/>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 t="shared" si="43"/>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v>0</v>
      </c>
      <c r="BF147" s="18">
        <v>0</v>
      </c>
      <c r="BG147">
        <v>1</v>
      </c>
      <c r="BH147">
        <v>0</v>
      </c>
      <c r="BI147" s="18">
        <v>0</v>
      </c>
      <c r="BJ147">
        <v>29297</v>
      </c>
      <c r="BK147">
        <v>23130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5"/>
        <v>10.7</v>
      </c>
      <c r="H148" s="16">
        <f t="shared" si="36"/>
        <v>11.7</v>
      </c>
      <c r="I148" s="11">
        <f t="shared" si="39"/>
        <v>0.15809334365207181</v>
      </c>
      <c r="J148" s="33">
        <f t="shared" si="40"/>
        <v>5.9181332465658137E-3</v>
      </c>
      <c r="K148" s="33">
        <f t="shared" si="41"/>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 t="shared" si="43"/>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v>0</v>
      </c>
      <c r="BF148" s="18">
        <v>0</v>
      </c>
      <c r="BG148">
        <v>1</v>
      </c>
      <c r="BH148">
        <v>0</v>
      </c>
      <c r="BI148" s="18">
        <v>0</v>
      </c>
      <c r="BJ148">
        <v>29297</v>
      </c>
      <c r="BK148">
        <v>23130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5"/>
        <v>7.9</v>
      </c>
      <c r="H149" s="16">
        <f t="shared" si="36"/>
        <v>8.9</v>
      </c>
      <c r="I149" s="11">
        <f t="shared" si="39"/>
        <v>0.15628859800169251</v>
      </c>
      <c r="J149" s="33">
        <f t="shared" si="40"/>
        <v>5.6394635630566577E-3</v>
      </c>
      <c r="K149" s="33">
        <f t="shared" si="41"/>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 t="shared" si="43"/>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v>0</v>
      </c>
      <c r="BF149" s="18">
        <v>0</v>
      </c>
      <c r="BG149">
        <v>1</v>
      </c>
      <c r="BH149">
        <v>0</v>
      </c>
      <c r="BI149" s="18">
        <v>0</v>
      </c>
      <c r="BJ149">
        <v>29297</v>
      </c>
      <c r="BK149">
        <v>23130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5"/>
        <v>8.1</v>
      </c>
      <c r="H150" s="16">
        <f t="shared" si="36"/>
        <v>9.2999999999999989</v>
      </c>
      <c r="I150" s="11">
        <f t="shared" si="39"/>
        <v>0.16170597526401623</v>
      </c>
      <c r="J150" s="33">
        <f t="shared" si="40"/>
        <v>5.6317289703694193E-3</v>
      </c>
      <c r="K150" s="33">
        <f t="shared" si="41"/>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 t="shared" si="43"/>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v>0</v>
      </c>
      <c r="BF150" s="18">
        <v>0</v>
      </c>
      <c r="BG150">
        <v>1</v>
      </c>
      <c r="BH150">
        <v>0</v>
      </c>
      <c r="BI150" s="18">
        <v>0</v>
      </c>
      <c r="BJ150">
        <v>29297</v>
      </c>
      <c r="BK150">
        <v>23130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5"/>
        <v>9.2000000000000011</v>
      </c>
      <c r="H151" s="16">
        <f t="shared" si="36"/>
        <v>10.4</v>
      </c>
      <c r="I151" s="11">
        <f t="shared" si="39"/>
        <v>0.16541448611109594</v>
      </c>
      <c r="J151" s="33">
        <f t="shared" si="40"/>
        <v>5.5670033111354465E-3</v>
      </c>
      <c r="K151" s="33">
        <f t="shared" si="41"/>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 t="shared" si="43"/>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v>0</v>
      </c>
      <c r="BF151" s="18">
        <v>0</v>
      </c>
      <c r="BG151">
        <v>1</v>
      </c>
      <c r="BH151">
        <v>0</v>
      </c>
      <c r="BI151" s="18">
        <v>0</v>
      </c>
      <c r="BJ151">
        <v>29297</v>
      </c>
      <c r="BK151">
        <v>23130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5"/>
        <v>7.2</v>
      </c>
      <c r="H152" s="16">
        <f t="shared" si="36"/>
        <v>7.8</v>
      </c>
      <c r="I152" s="11">
        <f t="shared" si="39"/>
        <v>0.17506737478084128</v>
      </c>
      <c r="J152" s="33">
        <f t="shared" si="40"/>
        <v>5.7000360586987268E-3</v>
      </c>
      <c r="K152" s="33">
        <f t="shared" si="41"/>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 t="shared" si="43"/>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v>0</v>
      </c>
      <c r="BF152" s="18">
        <v>0</v>
      </c>
      <c r="BG152">
        <v>1</v>
      </c>
      <c r="BH152">
        <v>0</v>
      </c>
      <c r="BI152" s="18">
        <v>0</v>
      </c>
      <c r="BJ152">
        <v>29297</v>
      </c>
      <c r="BK152">
        <v>23130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5"/>
        <v>10.1</v>
      </c>
      <c r="H153" s="16">
        <f t="shared" si="36"/>
        <v>11.1</v>
      </c>
      <c r="I153" s="11">
        <f t="shared" si="39"/>
        <v>0.18049659984710903</v>
      </c>
      <c r="J153" s="33">
        <f t="shared" si="40"/>
        <v>5.6914967295421072E-3</v>
      </c>
      <c r="K153" s="33">
        <f t="shared" si="41"/>
        <v>175.7007071284836</v>
      </c>
      <c r="L153" s="8">
        <v>1</v>
      </c>
      <c r="M153" s="9">
        <v>0</v>
      </c>
      <c r="N153" s="8">
        <v>0</v>
      </c>
      <c r="O153" s="9">
        <v>0</v>
      </c>
      <c r="P153" s="9">
        <v>0</v>
      </c>
      <c r="Q153" s="9">
        <v>1</v>
      </c>
      <c r="R153" s="9">
        <v>0</v>
      </c>
      <c r="S153" s="8">
        <v>29869</v>
      </c>
      <c r="T153" s="9">
        <v>3</v>
      </c>
      <c r="U153" s="9">
        <f t="shared" si="37"/>
        <v>29865</v>
      </c>
      <c r="V153" s="9">
        <f t="shared" si="38"/>
        <v>12</v>
      </c>
      <c r="W153" s="7">
        <v>12.6</v>
      </c>
      <c r="X153" s="7">
        <f t="shared" si="43"/>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v>0</v>
      </c>
      <c r="BF153" s="18">
        <v>0</v>
      </c>
      <c r="BG153">
        <v>1</v>
      </c>
      <c r="BH153">
        <v>0</v>
      </c>
      <c r="BI153" s="18">
        <v>0</v>
      </c>
      <c r="BJ153">
        <v>29297</v>
      </c>
      <c r="BK153">
        <v>23130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5"/>
        <v>10.5</v>
      </c>
      <c r="H154" s="56">
        <f t="shared" si="36"/>
        <v>11.7</v>
      </c>
      <c r="I154" s="11">
        <f t="shared" si="39"/>
        <v>0.18598810220012707</v>
      </c>
      <c r="J154" s="33">
        <f t="shared" si="40"/>
        <v>5.6853831951065434E-3</v>
      </c>
      <c r="K154" s="33">
        <f t="shared" si="41"/>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 t="shared" si="43"/>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v>0</v>
      </c>
      <c r="BF154" s="65">
        <v>0</v>
      </c>
      <c r="BG154">
        <v>1</v>
      </c>
      <c r="BH154">
        <v>0</v>
      </c>
      <c r="BI154" s="65">
        <v>0</v>
      </c>
      <c r="BJ154">
        <v>29297</v>
      </c>
      <c r="BK154">
        <v>23130</v>
      </c>
      <c r="BL154" s="52">
        <v>44.5</v>
      </c>
      <c r="BM154" s="51">
        <v>1</v>
      </c>
      <c r="BN154" s="51">
        <v>0</v>
      </c>
      <c r="BO154" s="51">
        <v>0</v>
      </c>
      <c r="BP154" s="51">
        <v>0</v>
      </c>
      <c r="BQ154" s="51">
        <v>0</v>
      </c>
      <c r="BR154" s="51">
        <v>0</v>
      </c>
      <c r="BS154" s="51">
        <v>0</v>
      </c>
      <c r="BT154" s="65">
        <v>0</v>
      </c>
      <c r="BU154" s="51">
        <v>0</v>
      </c>
      <c r="BV154" s="51">
        <v>0</v>
      </c>
      <c r="BW154" s="51">
        <v>0</v>
      </c>
      <c r="BX154" s="65">
        <v>1</v>
      </c>
      <c r="BY154" s="51">
        <v>0</v>
      </c>
      <c r="BZ154" s="51">
        <v>0</v>
      </c>
      <c r="CA154" s="51">
        <v>0</v>
      </c>
      <c r="CB154" s="51">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5"/>
        <v>8.4</v>
      </c>
      <c r="H155" s="16">
        <f t="shared" si="36"/>
        <v>8.6</v>
      </c>
      <c r="I155" s="11">
        <f t="shared" si="39"/>
        <v>0.36517364407708086</v>
      </c>
      <c r="J155" s="33">
        <f t="shared" si="40"/>
        <v>4.2961605185538919E-3</v>
      </c>
      <c r="K155" s="33">
        <f t="shared" si="41"/>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4">1-SUM(AK155:AM155)</f>
        <v>0.15199999999999991</v>
      </c>
      <c r="AO155" s="42" t="s">
        <v>98</v>
      </c>
      <c r="AP155" s="18" t="s">
        <v>98</v>
      </c>
      <c r="AQ155">
        <v>0.27300000000000002</v>
      </c>
      <c r="AR155" s="40">
        <f t="shared" ref="AR155:AR218" si="45">1-AQ155</f>
        <v>0.72699999999999998</v>
      </c>
      <c r="AS155" t="s">
        <v>98</v>
      </c>
      <c r="AT155" s="40" t="s">
        <v>98</v>
      </c>
      <c r="AU155">
        <v>0</v>
      </c>
      <c r="AV155" s="18">
        <v>1</v>
      </c>
      <c r="AW155">
        <v>0.32100000000000001</v>
      </c>
      <c r="AX155" s="18">
        <f t="shared" ref="AX155:AX174" si="46">1-AW155</f>
        <v>0.67900000000000005</v>
      </c>
      <c r="AY155" s="18" t="s">
        <v>12</v>
      </c>
      <c r="AZ155">
        <v>0</v>
      </c>
      <c r="BA155" s="40">
        <v>0</v>
      </c>
      <c r="BB155">
        <v>0</v>
      </c>
      <c r="BC155">
        <v>0</v>
      </c>
      <c r="BD155" s="18">
        <v>0</v>
      </c>
      <c r="BE155">
        <v>1</v>
      </c>
      <c r="BF155" s="40">
        <v>0</v>
      </c>
      <c r="BG155">
        <v>0</v>
      </c>
      <c r="BH155" s="18">
        <v>1</v>
      </c>
      <c r="BI155" s="18">
        <v>0</v>
      </c>
      <c r="BJ155">
        <v>584</v>
      </c>
      <c r="BK155" s="40">
        <v>495</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5"/>
        <v>7.6000000000000005</v>
      </c>
      <c r="H156" s="16">
        <f t="shared" si="36"/>
        <v>7.8</v>
      </c>
      <c r="I156" s="11">
        <f t="shared" si="39"/>
        <v>0.33484591258365215</v>
      </c>
      <c r="J156" s="33">
        <f t="shared" si="40"/>
        <v>4.3486482153721057E-3</v>
      </c>
      <c r="K156" s="33">
        <f t="shared" si="41"/>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4"/>
        <v>0.15199999999999991</v>
      </c>
      <c r="AO156" s="42" t="s">
        <v>98</v>
      </c>
      <c r="AP156" s="18" t="s">
        <v>98</v>
      </c>
      <c r="AQ156">
        <v>0.27300000000000002</v>
      </c>
      <c r="AR156" s="40">
        <f t="shared" si="45"/>
        <v>0.72699999999999998</v>
      </c>
      <c r="AS156" t="s">
        <v>98</v>
      </c>
      <c r="AT156" s="40" t="s">
        <v>98</v>
      </c>
      <c r="AU156">
        <v>0</v>
      </c>
      <c r="AV156" s="18">
        <v>1</v>
      </c>
      <c r="AW156">
        <v>0.32100000000000001</v>
      </c>
      <c r="AX156" s="18">
        <f t="shared" si="46"/>
        <v>0.67900000000000005</v>
      </c>
      <c r="AY156" s="18" t="s">
        <v>12</v>
      </c>
      <c r="AZ156">
        <v>0</v>
      </c>
      <c r="BA156" s="40">
        <v>0</v>
      </c>
      <c r="BB156">
        <v>0</v>
      </c>
      <c r="BC156">
        <v>0</v>
      </c>
      <c r="BD156" s="18">
        <v>0</v>
      </c>
      <c r="BE156">
        <v>1</v>
      </c>
      <c r="BF156" s="40">
        <v>0</v>
      </c>
      <c r="BG156">
        <v>0</v>
      </c>
      <c r="BH156" s="18">
        <v>1</v>
      </c>
      <c r="BI156" s="18">
        <v>0</v>
      </c>
      <c r="BJ156">
        <v>584</v>
      </c>
      <c r="BK156" s="40">
        <v>495</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5"/>
        <v>6.7</v>
      </c>
      <c r="H157" s="16">
        <f t="shared" si="36"/>
        <v>6.8999999999999995</v>
      </c>
      <c r="I157" s="11">
        <f t="shared" si="39"/>
        <v>0.29942585227104296</v>
      </c>
      <c r="J157" s="33">
        <f t="shared" si="40"/>
        <v>4.4033213569271024E-3</v>
      </c>
      <c r="K157" s="33">
        <f t="shared" si="41"/>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4"/>
        <v>0.15199999999999991</v>
      </c>
      <c r="AO157" s="42" t="s">
        <v>98</v>
      </c>
      <c r="AP157" s="18" t="s">
        <v>98</v>
      </c>
      <c r="AQ157">
        <v>0.27300000000000002</v>
      </c>
      <c r="AR157" s="40">
        <f t="shared" si="45"/>
        <v>0.72699999999999998</v>
      </c>
      <c r="AS157" t="s">
        <v>98</v>
      </c>
      <c r="AT157" s="40" t="s">
        <v>98</v>
      </c>
      <c r="AU157">
        <v>0</v>
      </c>
      <c r="AV157" s="18">
        <v>1</v>
      </c>
      <c r="AW157">
        <v>0.32100000000000001</v>
      </c>
      <c r="AX157" s="18">
        <f t="shared" si="46"/>
        <v>0.67900000000000005</v>
      </c>
      <c r="AY157" s="18" t="s">
        <v>12</v>
      </c>
      <c r="AZ157">
        <v>0</v>
      </c>
      <c r="BA157" s="40">
        <v>0</v>
      </c>
      <c r="BB157">
        <v>0</v>
      </c>
      <c r="BC157">
        <v>0</v>
      </c>
      <c r="BD157" s="18">
        <v>0</v>
      </c>
      <c r="BE157">
        <v>1</v>
      </c>
      <c r="BF157" s="40">
        <v>0</v>
      </c>
      <c r="BG157">
        <v>0</v>
      </c>
      <c r="BH157" s="18">
        <v>1</v>
      </c>
      <c r="BI157" s="18">
        <v>0</v>
      </c>
      <c r="BJ157">
        <v>584</v>
      </c>
      <c r="BK157" s="40">
        <v>495</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5"/>
        <v>8.4</v>
      </c>
      <c r="H158" s="16">
        <f t="shared" si="36"/>
        <v>8.6</v>
      </c>
      <c r="I158" s="11">
        <f t="shared" si="39"/>
        <v>0.36519386578122887</v>
      </c>
      <c r="J158" s="33">
        <f t="shared" si="40"/>
        <v>4.2963984209556331E-3</v>
      </c>
      <c r="K158" s="33">
        <f t="shared" si="41"/>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4"/>
        <v>0.15199999999999991</v>
      </c>
      <c r="AO158" s="42" t="s">
        <v>98</v>
      </c>
      <c r="AP158" s="18" t="s">
        <v>98</v>
      </c>
      <c r="AQ158">
        <v>0.27300000000000002</v>
      </c>
      <c r="AR158" s="40">
        <f t="shared" si="45"/>
        <v>0.72699999999999998</v>
      </c>
      <c r="AS158" t="s">
        <v>98</v>
      </c>
      <c r="AT158" s="40" t="s">
        <v>98</v>
      </c>
      <c r="AU158">
        <v>0</v>
      </c>
      <c r="AV158" s="18">
        <v>1</v>
      </c>
      <c r="AW158">
        <v>0.32100000000000001</v>
      </c>
      <c r="AX158" s="18">
        <f t="shared" si="46"/>
        <v>0.67900000000000005</v>
      </c>
      <c r="AY158" s="18" t="s">
        <v>12</v>
      </c>
      <c r="AZ158">
        <v>0</v>
      </c>
      <c r="BA158" s="40">
        <v>0</v>
      </c>
      <c r="BB158">
        <v>0</v>
      </c>
      <c r="BC158">
        <v>0</v>
      </c>
      <c r="BD158" s="18">
        <v>0</v>
      </c>
      <c r="BE158">
        <v>1</v>
      </c>
      <c r="BF158" s="40">
        <v>0</v>
      </c>
      <c r="BG158">
        <v>0</v>
      </c>
      <c r="BH158" s="18">
        <v>1</v>
      </c>
      <c r="BI158" s="18">
        <v>0</v>
      </c>
      <c r="BJ158">
        <v>584</v>
      </c>
      <c r="BK158" s="40">
        <v>495</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5"/>
        <v>7.6000000000000005</v>
      </c>
      <c r="H159" s="16">
        <f t="shared" si="36"/>
        <v>7.8</v>
      </c>
      <c r="I159" s="11">
        <f t="shared" si="39"/>
        <v>0.23671027339789866</v>
      </c>
      <c r="J159" s="33">
        <f t="shared" si="40"/>
        <v>3.0741593947779043E-3</v>
      </c>
      <c r="K159" s="33">
        <f t="shared" si="41"/>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4"/>
        <v>0.15199999999999991</v>
      </c>
      <c r="AO159" s="42" t="s">
        <v>98</v>
      </c>
      <c r="AP159" s="18" t="s">
        <v>98</v>
      </c>
      <c r="AQ159">
        <v>0.27300000000000002</v>
      </c>
      <c r="AR159" s="40">
        <f t="shared" si="45"/>
        <v>0.72699999999999998</v>
      </c>
      <c r="AS159" t="s">
        <v>98</v>
      </c>
      <c r="AT159" s="40" t="s">
        <v>98</v>
      </c>
      <c r="AU159">
        <v>0</v>
      </c>
      <c r="AV159" s="18">
        <v>1</v>
      </c>
      <c r="AW159">
        <v>0.32100000000000001</v>
      </c>
      <c r="AX159" s="18">
        <f t="shared" si="46"/>
        <v>0.67900000000000005</v>
      </c>
      <c r="AY159" s="18" t="s">
        <v>12</v>
      </c>
      <c r="AZ159">
        <v>0</v>
      </c>
      <c r="BA159" s="40">
        <v>0</v>
      </c>
      <c r="BB159">
        <v>0</v>
      </c>
      <c r="BC159">
        <v>0</v>
      </c>
      <c r="BD159" s="18">
        <v>0</v>
      </c>
      <c r="BE159">
        <v>1</v>
      </c>
      <c r="BF159" s="40">
        <v>0</v>
      </c>
      <c r="BG159">
        <v>0</v>
      </c>
      <c r="BH159" s="18">
        <v>1</v>
      </c>
      <c r="BI159" s="18">
        <v>0</v>
      </c>
      <c r="BJ159">
        <v>584</v>
      </c>
      <c r="BK159" s="40">
        <v>495</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5.1923910316380004</v>
      </c>
      <c r="E160" s="14">
        <v>0.28494828832159752</v>
      </c>
      <c r="F160" s="7">
        <v>18.222222222222221</v>
      </c>
      <c r="G160" s="7">
        <f t="shared" si="35"/>
        <v>4.9074427433164027</v>
      </c>
      <c r="H160" s="16">
        <f t="shared" si="36"/>
        <v>5.4773393199595981</v>
      </c>
      <c r="I160" s="11">
        <f t="shared" si="39"/>
        <v>5.7562153466299733E-2</v>
      </c>
      <c r="J160" s="33">
        <f t="shared" si="40"/>
        <v>3.1588986658335223E-3</v>
      </c>
      <c r="K160" s="33">
        <f t="shared" si="41"/>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4"/>
        <v>0.18599999999999994</v>
      </c>
      <c r="AO160" s="42" t="s">
        <v>98</v>
      </c>
      <c r="AP160" s="18" t="s">
        <v>98</v>
      </c>
      <c r="AQ160">
        <v>0.504</v>
      </c>
      <c r="AR160" s="40">
        <f t="shared" si="45"/>
        <v>0.496</v>
      </c>
      <c r="AS160" t="s">
        <v>98</v>
      </c>
      <c r="AT160" s="40" t="s">
        <v>98</v>
      </c>
      <c r="AU160">
        <v>0</v>
      </c>
      <c r="AV160" s="18">
        <v>1</v>
      </c>
      <c r="AW160">
        <v>0.32100000000000001</v>
      </c>
      <c r="AX160" s="18">
        <f t="shared" si="46"/>
        <v>0.67900000000000005</v>
      </c>
      <c r="AY160" s="18" t="s">
        <v>12</v>
      </c>
      <c r="AZ160">
        <v>0</v>
      </c>
      <c r="BA160" s="40">
        <v>0</v>
      </c>
      <c r="BB160">
        <v>0</v>
      </c>
      <c r="BC160">
        <v>0</v>
      </c>
      <c r="BD160" s="18">
        <v>0</v>
      </c>
      <c r="BE160">
        <v>1</v>
      </c>
      <c r="BF160" s="40">
        <v>0</v>
      </c>
      <c r="BG160">
        <v>0</v>
      </c>
      <c r="BH160" s="18">
        <v>1</v>
      </c>
      <c r="BI160" s="18">
        <v>0</v>
      </c>
      <c r="BJ160">
        <v>584</v>
      </c>
      <c r="BK160" s="40">
        <v>495</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5"/>
        <v>5.6711071591259721</v>
      </c>
      <c r="H161" s="16">
        <f t="shared" si="36"/>
        <v>5.9713422440208763</v>
      </c>
      <c r="I161" s="11">
        <f t="shared" si="39"/>
        <v>0.12178520489602178</v>
      </c>
      <c r="J161" s="33">
        <f t="shared" si="40"/>
        <v>3.1405926764017074E-3</v>
      </c>
      <c r="K161" s="33">
        <f t="shared" si="41"/>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4"/>
        <v>0.18599999999999994</v>
      </c>
      <c r="AO161" s="42" t="s">
        <v>98</v>
      </c>
      <c r="AP161" s="18" t="s">
        <v>98</v>
      </c>
      <c r="AQ161">
        <v>0.504</v>
      </c>
      <c r="AR161" s="40">
        <f t="shared" si="45"/>
        <v>0.496</v>
      </c>
      <c r="AS161" t="s">
        <v>98</v>
      </c>
      <c r="AT161" s="40" t="s">
        <v>98</v>
      </c>
      <c r="AU161">
        <v>0</v>
      </c>
      <c r="AV161" s="18">
        <v>1</v>
      </c>
      <c r="AW161">
        <v>0.32100000000000001</v>
      </c>
      <c r="AX161" s="18">
        <f t="shared" si="46"/>
        <v>0.67900000000000005</v>
      </c>
      <c r="AY161" s="18" t="s">
        <v>12</v>
      </c>
      <c r="AZ161">
        <v>0</v>
      </c>
      <c r="BA161" s="40">
        <v>0</v>
      </c>
      <c r="BB161">
        <v>0</v>
      </c>
      <c r="BC161">
        <v>0</v>
      </c>
      <c r="BD161" s="18">
        <v>0</v>
      </c>
      <c r="BE161">
        <v>1</v>
      </c>
      <c r="BF161" s="40">
        <v>0</v>
      </c>
      <c r="BG161">
        <v>0</v>
      </c>
      <c r="BH161" s="18">
        <v>1</v>
      </c>
      <c r="BI161" s="18">
        <v>0</v>
      </c>
      <c r="BJ161">
        <v>584</v>
      </c>
      <c r="BK161" s="40">
        <v>495</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10.770032048383911</v>
      </c>
      <c r="E162" s="14">
        <v>0.18697972306222069</v>
      </c>
      <c r="F162" s="7">
        <v>57.599999999999987</v>
      </c>
      <c r="G162" s="7">
        <f t="shared" si="35"/>
        <v>10.58305232532169</v>
      </c>
      <c r="H162" s="16">
        <f t="shared" si="36"/>
        <v>10.957011771446131</v>
      </c>
      <c r="I162" s="11">
        <f t="shared" si="39"/>
        <v>0.17930117672289236</v>
      </c>
      <c r="J162" s="33">
        <f t="shared" si="40"/>
        <v>3.1128676514391041E-3</v>
      </c>
      <c r="K162" s="33">
        <f t="shared" si="41"/>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4"/>
        <v>0.18599999999999994</v>
      </c>
      <c r="AO162" s="42" t="s">
        <v>98</v>
      </c>
      <c r="AP162" s="18" t="s">
        <v>98</v>
      </c>
      <c r="AQ162">
        <v>0.504</v>
      </c>
      <c r="AR162" s="40">
        <f t="shared" si="45"/>
        <v>0.496</v>
      </c>
      <c r="AS162" t="s">
        <v>98</v>
      </c>
      <c r="AT162" s="40" t="s">
        <v>98</v>
      </c>
      <c r="AU162">
        <v>0</v>
      </c>
      <c r="AV162" s="18">
        <v>1</v>
      </c>
      <c r="AW162">
        <v>0.32100000000000001</v>
      </c>
      <c r="AX162" s="18">
        <f t="shared" si="46"/>
        <v>0.67900000000000005</v>
      </c>
      <c r="AY162" s="18" t="s">
        <v>12</v>
      </c>
      <c r="AZ162">
        <v>0</v>
      </c>
      <c r="BA162" s="40">
        <v>0</v>
      </c>
      <c r="BB162">
        <v>0</v>
      </c>
      <c r="BC162">
        <v>0</v>
      </c>
      <c r="BD162" s="18">
        <v>0</v>
      </c>
      <c r="BE162">
        <v>1</v>
      </c>
      <c r="BF162" s="40">
        <v>0</v>
      </c>
      <c r="BG162">
        <v>0</v>
      </c>
      <c r="BH162" s="18">
        <v>1</v>
      </c>
      <c r="BI162" s="18">
        <v>0</v>
      </c>
      <c r="BJ162">
        <v>584</v>
      </c>
      <c r="BK162" s="40">
        <v>495</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5"/>
        <v>11.351879993503793</v>
      </c>
      <c r="H163" s="16">
        <f t="shared" si="36"/>
        <v>11.717615904075167</v>
      </c>
      <c r="I163" s="11">
        <f t="shared" si="39"/>
        <v>0.19572435976928337</v>
      </c>
      <c r="J163" s="33">
        <f t="shared" si="40"/>
        <v>3.1029471670740048E-3</v>
      </c>
      <c r="K163" s="33">
        <f t="shared" si="41"/>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4"/>
        <v>0.18599999999999994</v>
      </c>
      <c r="AO163" s="42" t="s">
        <v>98</v>
      </c>
      <c r="AP163" s="18" t="s">
        <v>98</v>
      </c>
      <c r="AQ163">
        <v>0.504</v>
      </c>
      <c r="AR163" s="40">
        <f t="shared" si="45"/>
        <v>0.496</v>
      </c>
      <c r="AS163" t="s">
        <v>98</v>
      </c>
      <c r="AT163" s="40" t="s">
        <v>98</v>
      </c>
      <c r="AU163">
        <v>0</v>
      </c>
      <c r="AV163" s="18">
        <v>1</v>
      </c>
      <c r="AW163">
        <v>0.32100000000000001</v>
      </c>
      <c r="AX163" s="18">
        <f t="shared" si="46"/>
        <v>0.67900000000000005</v>
      </c>
      <c r="AY163" s="18" t="s">
        <v>12</v>
      </c>
      <c r="AZ163">
        <v>0</v>
      </c>
      <c r="BA163" s="40">
        <v>0</v>
      </c>
      <c r="BB163">
        <v>0</v>
      </c>
      <c r="BC163">
        <v>0</v>
      </c>
      <c r="BD163" s="18">
        <v>0</v>
      </c>
      <c r="BE163">
        <v>1</v>
      </c>
      <c r="BF163" s="40">
        <v>0</v>
      </c>
      <c r="BG163">
        <v>0</v>
      </c>
      <c r="BH163" s="18">
        <v>1</v>
      </c>
      <c r="BI163" s="18">
        <v>0</v>
      </c>
      <c r="BJ163">
        <v>584</v>
      </c>
      <c r="BK163" s="40">
        <v>495</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v>
      </c>
      <c r="E164" s="14">
        <v>0.1390039510776514</v>
      </c>
      <c r="F164" s="7">
        <v>99.692307692307693</v>
      </c>
      <c r="G164" s="7">
        <f t="shared" si="35"/>
        <v>13.718620710202059</v>
      </c>
      <c r="H164" s="16">
        <f t="shared" si="36"/>
        <v>13.996628612357361</v>
      </c>
      <c r="I164" s="11">
        <f t="shared" si="39"/>
        <v>0.30082908983803991</v>
      </c>
      <c r="J164" s="33">
        <f t="shared" si="40"/>
        <v>3.0175757468321905E-3</v>
      </c>
      <c r="K164" s="33">
        <f t="shared" si="41"/>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4"/>
        <v>0.18599999999999994</v>
      </c>
      <c r="AO164" s="42" t="s">
        <v>98</v>
      </c>
      <c r="AP164" s="18" t="s">
        <v>98</v>
      </c>
      <c r="AQ164">
        <v>0.504</v>
      </c>
      <c r="AR164" s="40">
        <f t="shared" si="45"/>
        <v>0.496</v>
      </c>
      <c r="AS164" t="s">
        <v>98</v>
      </c>
      <c r="AT164" s="40" t="s">
        <v>98</v>
      </c>
      <c r="AU164">
        <v>0</v>
      </c>
      <c r="AV164" s="18">
        <v>1</v>
      </c>
      <c r="AW164">
        <v>0.32100000000000001</v>
      </c>
      <c r="AX164" s="18">
        <f t="shared" si="46"/>
        <v>0.67900000000000005</v>
      </c>
      <c r="AY164" s="18" t="s">
        <v>12</v>
      </c>
      <c r="AZ164">
        <v>0</v>
      </c>
      <c r="BA164" s="40">
        <v>0</v>
      </c>
      <c r="BB164">
        <v>0</v>
      </c>
      <c r="BC164">
        <v>0</v>
      </c>
      <c r="BD164" s="18">
        <v>0</v>
      </c>
      <c r="BE164">
        <v>1</v>
      </c>
      <c r="BF164" s="40">
        <v>0</v>
      </c>
      <c r="BG164">
        <v>0</v>
      </c>
      <c r="BH164" s="18">
        <v>1</v>
      </c>
      <c r="BI164" s="18">
        <v>0</v>
      </c>
      <c r="BJ164">
        <v>584</v>
      </c>
      <c r="BK164" s="40">
        <v>495</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0.31898119442367101</v>
      </c>
      <c r="F165" s="7">
        <v>13.9</v>
      </c>
      <c r="G165" s="7">
        <f t="shared" si="35"/>
        <v>4.1148574080653555</v>
      </c>
      <c r="H165" s="16">
        <f t="shared" si="36"/>
        <v>4.7528197969126973</v>
      </c>
      <c r="I165" s="11">
        <f t="shared" si="39"/>
        <v>5.7463430514540191E-2</v>
      </c>
      <c r="J165" s="33">
        <f t="shared" si="40"/>
        <v>4.1340597492474955E-3</v>
      </c>
      <c r="K165" s="33">
        <f t="shared" si="41"/>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4"/>
        <v>0.18599999999999994</v>
      </c>
      <c r="AO165" s="42" t="s">
        <v>98</v>
      </c>
      <c r="AP165" s="18" t="s">
        <v>98</v>
      </c>
      <c r="AQ165">
        <v>0.504</v>
      </c>
      <c r="AR165" s="40">
        <f t="shared" si="45"/>
        <v>0.496</v>
      </c>
      <c r="AS165" t="s">
        <v>98</v>
      </c>
      <c r="AT165" s="40" t="s">
        <v>98</v>
      </c>
      <c r="AU165">
        <v>0</v>
      </c>
      <c r="AV165" s="18">
        <v>1</v>
      </c>
      <c r="AW165">
        <v>0.32100000000000001</v>
      </c>
      <c r="AX165" s="18">
        <f t="shared" si="46"/>
        <v>0.67900000000000005</v>
      </c>
      <c r="AY165" s="18" t="s">
        <v>12</v>
      </c>
      <c r="AZ165">
        <v>0</v>
      </c>
      <c r="BA165" s="40">
        <v>0</v>
      </c>
      <c r="BB165">
        <v>0</v>
      </c>
      <c r="BC165">
        <v>0</v>
      </c>
      <c r="BD165" s="18">
        <v>0</v>
      </c>
      <c r="BE165">
        <v>1</v>
      </c>
      <c r="BF165" s="40">
        <v>0</v>
      </c>
      <c r="BG165">
        <v>0</v>
      </c>
      <c r="BH165" s="18">
        <v>1</v>
      </c>
      <c r="BI165" s="18">
        <v>0</v>
      </c>
      <c r="BJ165">
        <v>584</v>
      </c>
      <c r="BK165" s="40">
        <v>495</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v>
      </c>
      <c r="G166" s="7">
        <f t="shared" si="35"/>
        <v>5.2997340360484229</v>
      </c>
      <c r="H166" s="16">
        <f t="shared" si="36"/>
        <v>5.6858073764228108</v>
      </c>
      <c r="I166" s="11">
        <f t="shared" si="39"/>
        <v>0.11701798882572796</v>
      </c>
      <c r="J166" s="33">
        <f t="shared" si="40"/>
        <v>4.1124532814153601E-3</v>
      </c>
      <c r="K166" s="33">
        <f t="shared" si="41"/>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4"/>
        <v>0.18599999999999994</v>
      </c>
      <c r="AO166" s="42" t="s">
        <v>98</v>
      </c>
      <c r="AP166" s="18" t="s">
        <v>98</v>
      </c>
      <c r="AQ166">
        <v>0.504</v>
      </c>
      <c r="AR166" s="40">
        <f t="shared" si="45"/>
        <v>0.496</v>
      </c>
      <c r="AS166" t="s">
        <v>98</v>
      </c>
      <c r="AT166" s="40" t="s">
        <v>98</v>
      </c>
      <c r="AU166">
        <v>0</v>
      </c>
      <c r="AV166" s="18">
        <v>1</v>
      </c>
      <c r="AW166">
        <v>0.32100000000000001</v>
      </c>
      <c r="AX166" s="18">
        <f t="shared" si="46"/>
        <v>0.67900000000000005</v>
      </c>
      <c r="AY166" s="18" t="s">
        <v>12</v>
      </c>
      <c r="AZ166">
        <v>0</v>
      </c>
      <c r="BA166" s="40">
        <v>0</v>
      </c>
      <c r="BB166">
        <v>0</v>
      </c>
      <c r="BC166">
        <v>0</v>
      </c>
      <c r="BD166" s="18">
        <v>0</v>
      </c>
      <c r="BE166">
        <v>1</v>
      </c>
      <c r="BF166" s="40">
        <v>0</v>
      </c>
      <c r="BG166">
        <v>0</v>
      </c>
      <c r="BH166" s="18">
        <v>1</v>
      </c>
      <c r="BI166" s="18">
        <v>0</v>
      </c>
      <c r="BJ166">
        <v>584</v>
      </c>
      <c r="BK166" s="40">
        <v>495</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0.22700650419280369</v>
      </c>
      <c r="F167" s="7">
        <v>43.25</v>
      </c>
      <c r="G167" s="7">
        <f t="shared" si="35"/>
        <v>9.5910248021459559</v>
      </c>
      <c r="H167" s="16">
        <f t="shared" si="36"/>
        <v>10.045037810531564</v>
      </c>
      <c r="I167" s="11">
        <f t="shared" si="39"/>
        <v>0.17628912351109532</v>
      </c>
      <c r="J167" s="33">
        <f t="shared" si="40"/>
        <v>4.0760490985224359E-3</v>
      </c>
      <c r="K167" s="33">
        <f t="shared" si="41"/>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4"/>
        <v>0.18599999999999994</v>
      </c>
      <c r="AO167" s="42" t="s">
        <v>98</v>
      </c>
      <c r="AP167" s="18" t="s">
        <v>98</v>
      </c>
      <c r="AQ167">
        <v>0.504</v>
      </c>
      <c r="AR167" s="40">
        <f t="shared" si="45"/>
        <v>0.496</v>
      </c>
      <c r="AS167" t="s">
        <v>98</v>
      </c>
      <c r="AT167" s="40" t="s">
        <v>98</v>
      </c>
      <c r="AU167">
        <v>0</v>
      </c>
      <c r="AV167" s="18">
        <v>1</v>
      </c>
      <c r="AW167">
        <v>0.32100000000000001</v>
      </c>
      <c r="AX167" s="18">
        <f t="shared" si="46"/>
        <v>0.67900000000000005</v>
      </c>
      <c r="AY167" s="18" t="s">
        <v>12</v>
      </c>
      <c r="AZ167">
        <v>0</v>
      </c>
      <c r="BA167" s="40">
        <v>0</v>
      </c>
      <c r="BB167">
        <v>0</v>
      </c>
      <c r="BC167">
        <v>0</v>
      </c>
      <c r="BD167" s="18">
        <v>0</v>
      </c>
      <c r="BE167">
        <v>1</v>
      </c>
      <c r="BF167" s="40">
        <v>0</v>
      </c>
      <c r="BG167">
        <v>0</v>
      </c>
      <c r="BH167" s="18">
        <v>1</v>
      </c>
      <c r="BI167" s="18">
        <v>0</v>
      </c>
      <c r="BJ167">
        <v>584</v>
      </c>
      <c r="BK167" s="40">
        <v>495</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5"/>
        <v>8.9592886681922757</v>
      </c>
      <c r="H168" s="16">
        <f t="shared" si="36"/>
        <v>9.3982163551065945</v>
      </c>
      <c r="I168" s="11">
        <f t="shared" si="39"/>
        <v>0.17064687625203045</v>
      </c>
      <c r="J168" s="33">
        <f t="shared" si="40"/>
        <v>4.080164411089336E-3</v>
      </c>
      <c r="K168" s="33">
        <f t="shared" si="41"/>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4"/>
        <v>0.18599999999999994</v>
      </c>
      <c r="AO168" s="42" t="s">
        <v>98</v>
      </c>
      <c r="AP168" s="18" t="s">
        <v>98</v>
      </c>
      <c r="AQ168">
        <v>0.504</v>
      </c>
      <c r="AR168" s="40">
        <f t="shared" si="45"/>
        <v>0.496</v>
      </c>
      <c r="AS168" t="s">
        <v>98</v>
      </c>
      <c r="AT168" s="40" t="s">
        <v>98</v>
      </c>
      <c r="AU168">
        <v>0</v>
      </c>
      <c r="AV168" s="18">
        <v>1</v>
      </c>
      <c r="AW168">
        <v>0.32100000000000001</v>
      </c>
      <c r="AX168" s="18">
        <f t="shared" si="46"/>
        <v>0.67900000000000005</v>
      </c>
      <c r="AY168" s="18" t="s">
        <v>12</v>
      </c>
      <c r="AZ168">
        <v>0</v>
      </c>
      <c r="BA168" s="40">
        <v>0</v>
      </c>
      <c r="BB168">
        <v>0</v>
      </c>
      <c r="BC168">
        <v>0</v>
      </c>
      <c r="BD168" s="18">
        <v>0</v>
      </c>
      <c r="BE168">
        <v>1</v>
      </c>
      <c r="BF168" s="40">
        <v>0</v>
      </c>
      <c r="BG168">
        <v>0</v>
      </c>
      <c r="BH168" s="18">
        <v>1</v>
      </c>
      <c r="BI168" s="18">
        <v>0</v>
      </c>
      <c r="BJ168">
        <v>584</v>
      </c>
      <c r="BK168" s="40">
        <v>495</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14.29307988242752</v>
      </c>
      <c r="E169" s="14">
        <v>0.22555524731405549</v>
      </c>
      <c r="F169" s="7">
        <v>63.368421052631582</v>
      </c>
      <c r="G169" s="7">
        <f t="shared" si="35"/>
        <v>14.067524635113465</v>
      </c>
      <c r="H169" s="16">
        <f t="shared" si="36"/>
        <v>14.518635129741575</v>
      </c>
      <c r="I169" s="11">
        <f t="shared" si="39"/>
        <v>0.25380983573220656</v>
      </c>
      <c r="J169" s="33">
        <f t="shared" si="40"/>
        <v>4.0053047167042562E-3</v>
      </c>
      <c r="K169" s="33">
        <f t="shared" si="41"/>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4"/>
        <v>0.18599999999999994</v>
      </c>
      <c r="AO169" s="42" t="s">
        <v>98</v>
      </c>
      <c r="AP169" s="18" t="s">
        <v>98</v>
      </c>
      <c r="AQ169">
        <v>0.504</v>
      </c>
      <c r="AR169" s="40">
        <f t="shared" si="45"/>
        <v>0.496</v>
      </c>
      <c r="AS169" t="s">
        <v>98</v>
      </c>
      <c r="AT169" s="40" t="s">
        <v>98</v>
      </c>
      <c r="AU169">
        <v>0</v>
      </c>
      <c r="AV169" s="18">
        <v>1</v>
      </c>
      <c r="AW169">
        <v>0.32100000000000001</v>
      </c>
      <c r="AX169" s="18">
        <f t="shared" si="46"/>
        <v>0.67900000000000005</v>
      </c>
      <c r="AY169" s="18" t="s">
        <v>12</v>
      </c>
      <c r="AZ169">
        <v>0</v>
      </c>
      <c r="BA169" s="40">
        <v>0</v>
      </c>
      <c r="BB169">
        <v>0</v>
      </c>
      <c r="BC169">
        <v>0</v>
      </c>
      <c r="BD169" s="18">
        <v>0</v>
      </c>
      <c r="BE169">
        <v>1</v>
      </c>
      <c r="BF169" s="40">
        <v>0</v>
      </c>
      <c r="BG169">
        <v>0</v>
      </c>
      <c r="BH169" s="18">
        <v>1</v>
      </c>
      <c r="BI169" s="18">
        <v>0</v>
      </c>
      <c r="BJ169">
        <v>584</v>
      </c>
      <c r="BK169" s="40">
        <v>495</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5"/>
        <v>5.5798392699942774</v>
      </c>
      <c r="H170" s="16">
        <f t="shared" si="36"/>
        <v>6.8337357351615307</v>
      </c>
      <c r="I170" s="11">
        <f t="shared" si="39"/>
        <v>4.8512505975795248E-2</v>
      </c>
      <c r="J170" s="33">
        <f t="shared" si="40"/>
        <v>4.9002531288682072E-3</v>
      </c>
      <c r="K170" s="33">
        <f t="shared" si="41"/>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4"/>
        <v>0.18599999999999994</v>
      </c>
      <c r="AO170" s="42" t="s">
        <v>98</v>
      </c>
      <c r="AP170" s="18" t="s">
        <v>98</v>
      </c>
      <c r="AQ170">
        <v>0.504</v>
      </c>
      <c r="AR170" s="40">
        <f t="shared" si="45"/>
        <v>0.496</v>
      </c>
      <c r="AS170" t="s">
        <v>98</v>
      </c>
      <c r="AT170" s="40" t="s">
        <v>98</v>
      </c>
      <c r="AU170">
        <v>0</v>
      </c>
      <c r="AV170" s="18">
        <v>1</v>
      </c>
      <c r="AW170">
        <v>0.32100000000000001</v>
      </c>
      <c r="AX170" s="18">
        <f t="shared" si="46"/>
        <v>0.67900000000000005</v>
      </c>
      <c r="AY170" s="18" t="s">
        <v>12</v>
      </c>
      <c r="AZ170">
        <v>0</v>
      </c>
      <c r="BA170" s="40">
        <v>0</v>
      </c>
      <c r="BB170">
        <v>0</v>
      </c>
      <c r="BC170">
        <v>0</v>
      </c>
      <c r="BD170" s="18">
        <v>0</v>
      </c>
      <c r="BE170">
        <v>1</v>
      </c>
      <c r="BF170" s="40">
        <v>0</v>
      </c>
      <c r="BG170">
        <v>0</v>
      </c>
      <c r="BH170" s="18">
        <v>1</v>
      </c>
      <c r="BI170" s="18">
        <v>0</v>
      </c>
      <c r="BJ170">
        <v>584</v>
      </c>
      <c r="BK170" s="40">
        <v>495</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5.8509832027769706</v>
      </c>
      <c r="E171" s="14">
        <v>0.28950177305406888</v>
      </c>
      <c r="F171" s="7">
        <v>20.21052631578948</v>
      </c>
      <c r="G171" s="7">
        <f t="shared" si="35"/>
        <v>5.5614814297229014</v>
      </c>
      <c r="H171" s="16">
        <f t="shared" si="36"/>
        <v>6.1404849758310398</v>
      </c>
      <c r="I171" s="11">
        <f t="shared" si="39"/>
        <v>9.8669596470575952E-2</v>
      </c>
      <c r="J171" s="33">
        <f t="shared" si="40"/>
        <v>4.8820894087003713E-3</v>
      </c>
      <c r="K171" s="33">
        <f t="shared" si="41"/>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4"/>
        <v>0.18599999999999994</v>
      </c>
      <c r="AO171" s="42" t="s">
        <v>98</v>
      </c>
      <c r="AP171" s="18" t="s">
        <v>98</v>
      </c>
      <c r="AQ171">
        <v>0.504</v>
      </c>
      <c r="AR171" s="40">
        <f t="shared" si="45"/>
        <v>0.496</v>
      </c>
      <c r="AS171" t="s">
        <v>98</v>
      </c>
      <c r="AT171" s="40" t="s">
        <v>98</v>
      </c>
      <c r="AU171">
        <v>0</v>
      </c>
      <c r="AV171" s="18">
        <v>1</v>
      </c>
      <c r="AW171">
        <v>0.32100000000000001</v>
      </c>
      <c r="AX171" s="18">
        <f t="shared" si="46"/>
        <v>0.67900000000000005</v>
      </c>
      <c r="AY171" s="18" t="s">
        <v>12</v>
      </c>
      <c r="AZ171">
        <v>0</v>
      </c>
      <c r="BA171" s="40">
        <v>0</v>
      </c>
      <c r="BB171">
        <v>0</v>
      </c>
      <c r="BC171">
        <v>0</v>
      </c>
      <c r="BD171" s="18">
        <v>0</v>
      </c>
      <c r="BE171">
        <v>1</v>
      </c>
      <c r="BF171" s="40">
        <v>0</v>
      </c>
      <c r="BG171">
        <v>0</v>
      </c>
      <c r="BH171" s="18">
        <v>1</v>
      </c>
      <c r="BI171" s="18">
        <v>0</v>
      </c>
      <c r="BJ171">
        <v>584</v>
      </c>
      <c r="BK171" s="40">
        <v>495</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v>
      </c>
      <c r="E172" s="14">
        <v>0.35760386186035592</v>
      </c>
      <c r="F172" s="7">
        <v>33.631578947368418</v>
      </c>
      <c r="G172" s="7">
        <f t="shared" si="35"/>
        <v>11.669178650180033</v>
      </c>
      <c r="H172" s="16">
        <f t="shared" si="36"/>
        <v>12.384386373900746</v>
      </c>
      <c r="I172" s="11">
        <f t="shared" si="39"/>
        <v>0.16279640298126366</v>
      </c>
      <c r="J172" s="33">
        <f t="shared" si="40"/>
        <v>4.8405816222910954E-3</v>
      </c>
      <c r="K172" s="33">
        <f t="shared" si="41"/>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4"/>
        <v>0.18599999999999994</v>
      </c>
      <c r="AO172" s="42" t="s">
        <v>98</v>
      </c>
      <c r="AP172" s="18" t="s">
        <v>98</v>
      </c>
      <c r="AQ172">
        <v>0.504</v>
      </c>
      <c r="AR172" s="40">
        <f t="shared" si="45"/>
        <v>0.496</v>
      </c>
      <c r="AS172" t="s">
        <v>98</v>
      </c>
      <c r="AT172" s="40" t="s">
        <v>98</v>
      </c>
      <c r="AU172">
        <v>0</v>
      </c>
      <c r="AV172" s="18">
        <v>1</v>
      </c>
      <c r="AW172">
        <v>0.32100000000000001</v>
      </c>
      <c r="AX172" s="18">
        <f t="shared" si="46"/>
        <v>0.67900000000000005</v>
      </c>
      <c r="AY172" s="18" t="s">
        <v>12</v>
      </c>
      <c r="AZ172">
        <v>0</v>
      </c>
      <c r="BA172" s="40">
        <v>0</v>
      </c>
      <c r="BB172">
        <v>0</v>
      </c>
      <c r="BC172">
        <v>0</v>
      </c>
      <c r="BD172" s="18">
        <v>0</v>
      </c>
      <c r="BE172">
        <v>1</v>
      </c>
      <c r="BF172" s="40">
        <v>0</v>
      </c>
      <c r="BG172">
        <v>0</v>
      </c>
      <c r="BH172" s="18">
        <v>1</v>
      </c>
      <c r="BI172" s="18">
        <v>0</v>
      </c>
      <c r="BJ172">
        <v>584</v>
      </c>
      <c r="BK172" s="40">
        <v>495</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13.71015785759864</v>
      </c>
      <c r="E173" s="14">
        <v>0.33834080549867879</v>
      </c>
      <c r="F173" s="7">
        <v>40.521739130434788</v>
      </c>
      <c r="G173" s="7">
        <f t="shared" si="35"/>
        <v>13.371817052099962</v>
      </c>
      <c r="H173" s="16">
        <f t="shared" si="36"/>
        <v>14.048498663097318</v>
      </c>
      <c r="I173" s="11">
        <f t="shared" si="39"/>
        <v>0.19498510876513081</v>
      </c>
      <c r="J173" s="33">
        <f t="shared" si="40"/>
        <v>4.8118642721008669E-3</v>
      </c>
      <c r="K173" s="33">
        <f t="shared" si="41"/>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4"/>
        <v>0.18599999999999994</v>
      </c>
      <c r="AO173" s="42" t="s">
        <v>98</v>
      </c>
      <c r="AP173" s="18" t="s">
        <v>98</v>
      </c>
      <c r="AQ173">
        <v>0.504</v>
      </c>
      <c r="AR173" s="40">
        <f t="shared" si="45"/>
        <v>0.496</v>
      </c>
      <c r="AS173" t="s">
        <v>98</v>
      </c>
      <c r="AT173" s="40" t="s">
        <v>98</v>
      </c>
      <c r="AU173">
        <v>0</v>
      </c>
      <c r="AV173" s="18">
        <v>1</v>
      </c>
      <c r="AW173">
        <v>0.32100000000000001</v>
      </c>
      <c r="AX173" s="18">
        <f t="shared" si="46"/>
        <v>0.67900000000000005</v>
      </c>
      <c r="AY173" s="18" t="s">
        <v>12</v>
      </c>
      <c r="AZ173">
        <v>0</v>
      </c>
      <c r="BA173" s="40">
        <v>0</v>
      </c>
      <c r="BB173">
        <v>0</v>
      </c>
      <c r="BC173">
        <v>0</v>
      </c>
      <c r="BD173" s="18">
        <v>0</v>
      </c>
      <c r="BE173">
        <v>1</v>
      </c>
      <c r="BF173" s="40">
        <v>0</v>
      </c>
      <c r="BG173">
        <v>0</v>
      </c>
      <c r="BH173" s="18">
        <v>1</v>
      </c>
      <c r="BI173" s="18">
        <v>0</v>
      </c>
      <c r="BJ173">
        <v>584</v>
      </c>
      <c r="BK173" s="40">
        <v>495</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0.21093813189579241</v>
      </c>
      <c r="F174" s="55">
        <v>63</v>
      </c>
      <c r="G174" s="55">
        <f t="shared" si="35"/>
        <v>13.078164177539128</v>
      </c>
      <c r="H174" s="56">
        <f t="shared" si="36"/>
        <v>13.500040441330713</v>
      </c>
      <c r="I174" s="11">
        <f t="shared" si="39"/>
        <v>0.29529663976656012</v>
      </c>
      <c r="J174" s="33">
        <f t="shared" si="40"/>
        <v>4.6872482502628588E-3</v>
      </c>
      <c r="K174" s="33">
        <f t="shared" si="41"/>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4"/>
        <v>0.18599999999999994</v>
      </c>
      <c r="AO174" s="64" t="s">
        <v>98</v>
      </c>
      <c r="AP174" s="65" t="s">
        <v>98</v>
      </c>
      <c r="AQ174" s="51">
        <v>0.504</v>
      </c>
      <c r="AR174" s="66">
        <f t="shared" si="45"/>
        <v>0.496</v>
      </c>
      <c r="AS174" s="51" t="s">
        <v>98</v>
      </c>
      <c r="AT174" s="66" t="s">
        <v>98</v>
      </c>
      <c r="AU174">
        <v>0</v>
      </c>
      <c r="AV174" s="65">
        <v>1</v>
      </c>
      <c r="AW174" s="51">
        <v>0.32100000000000001</v>
      </c>
      <c r="AX174" s="65">
        <f t="shared" si="46"/>
        <v>0.67900000000000005</v>
      </c>
      <c r="AY174" s="65" t="s">
        <v>12</v>
      </c>
      <c r="AZ174">
        <v>0</v>
      </c>
      <c r="BA174">
        <v>0</v>
      </c>
      <c r="BB174">
        <v>0</v>
      </c>
      <c r="BC174">
        <v>0</v>
      </c>
      <c r="BD174">
        <v>0</v>
      </c>
      <c r="BE174">
        <v>1</v>
      </c>
      <c r="BF174" s="65">
        <v>0</v>
      </c>
      <c r="BG174">
        <v>0</v>
      </c>
      <c r="BH174">
        <v>1</v>
      </c>
      <c r="BI174" s="65">
        <v>0</v>
      </c>
      <c r="BJ174">
        <v>584</v>
      </c>
      <c r="BK174">
        <v>495</v>
      </c>
      <c r="BL174" s="52">
        <v>33.494</v>
      </c>
      <c r="BM174" s="51">
        <v>0</v>
      </c>
      <c r="BN174" s="51">
        <v>0</v>
      </c>
      <c r="BO174" s="51">
        <v>0</v>
      </c>
      <c r="BP174" s="51">
        <v>0</v>
      </c>
      <c r="BQ174" s="51">
        <v>0</v>
      </c>
      <c r="BR174" s="51">
        <v>1</v>
      </c>
      <c r="BS174" s="51">
        <v>0</v>
      </c>
      <c r="BT174" s="65">
        <v>0</v>
      </c>
      <c r="BU174" s="51">
        <v>0</v>
      </c>
      <c r="BV174" s="51">
        <v>0</v>
      </c>
      <c r="BW174" s="51">
        <v>1</v>
      </c>
      <c r="BX174" s="65">
        <v>0</v>
      </c>
      <c r="BY174" s="51">
        <v>0</v>
      </c>
      <c r="BZ174" s="51">
        <v>0</v>
      </c>
      <c r="CA174" s="51">
        <v>0</v>
      </c>
      <c r="CB174" s="51">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3.2706237490793382</v>
      </c>
      <c r="E175" s="14">
        <v>0.79384071579595572</v>
      </c>
      <c r="F175" s="7">
        <v>4.12</v>
      </c>
      <c r="G175" s="7">
        <f t="shared" si="35"/>
        <v>2.4767830332833825</v>
      </c>
      <c r="H175" s="16">
        <f t="shared" si="36"/>
        <v>4.0644644648752939</v>
      </c>
      <c r="I175" s="11">
        <f t="shared" si="39"/>
        <v>7.3536563247082132E-2</v>
      </c>
      <c r="J175" s="33">
        <f t="shared" si="40"/>
        <v>1.7848680399777217E-2</v>
      </c>
      <c r="K175" s="33">
        <f t="shared" si="41"/>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 t="shared" ref="X175:X222" si="47">BL175-W175-6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8">(1-AL175-AM175)/2</f>
        <v>0.26250000000000001</v>
      </c>
      <c r="AL175" s="33">
        <v>0.25</v>
      </c>
      <c r="AM175" s="33">
        <v>0.22500000000000001</v>
      </c>
      <c r="AN175" s="43">
        <f t="shared" ref="AN175:AN214" si="49">(1-AL175-AM175)/2</f>
        <v>0.26250000000000001</v>
      </c>
      <c r="AO175" s="42">
        <v>0.67</v>
      </c>
      <c r="AP175" s="18">
        <v>0.33</v>
      </c>
      <c r="AQ175">
        <v>0</v>
      </c>
      <c r="AR175" s="40">
        <f t="shared" si="45"/>
        <v>1</v>
      </c>
      <c r="AS175">
        <v>0.38</v>
      </c>
      <c r="AT175" s="40">
        <v>0.62</v>
      </c>
      <c r="AU175">
        <v>0</v>
      </c>
      <c r="AV175" s="18">
        <v>1</v>
      </c>
      <c r="AW175">
        <f t="shared" ref="AW175:AW222" si="50">1-AX175</f>
        <v>0.44099999999999995</v>
      </c>
      <c r="AX175" s="18">
        <v>0.55900000000000005</v>
      </c>
      <c r="AY175" s="18" t="s">
        <v>10</v>
      </c>
      <c r="AZ175">
        <v>0</v>
      </c>
      <c r="BA175">
        <v>0</v>
      </c>
      <c r="BB175">
        <v>0</v>
      </c>
      <c r="BC175">
        <v>0</v>
      </c>
      <c r="BD175">
        <v>0</v>
      </c>
      <c r="BE175">
        <v>0</v>
      </c>
      <c r="BF175" s="18">
        <v>1</v>
      </c>
      <c r="BG175">
        <v>0</v>
      </c>
      <c r="BH175">
        <v>0</v>
      </c>
      <c r="BI175" s="18">
        <v>1</v>
      </c>
      <c r="BJ175" t="s">
        <v>98</v>
      </c>
      <c r="BK175">
        <v>28</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5"/>
        <v>3.0601415187402314</v>
      </c>
      <c r="H176" s="16">
        <f t="shared" si="36"/>
        <v>4.1414636101678752</v>
      </c>
      <c r="I176" s="11">
        <f t="shared" si="39"/>
        <v>0.11835711912237923</v>
      </c>
      <c r="J176" s="33">
        <f t="shared" si="40"/>
        <v>1.7771339207564449E-2</v>
      </c>
      <c r="K176" s="33">
        <f t="shared" si="41"/>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 t="shared" si="47"/>
        <v>24.175000000000001</v>
      </c>
      <c r="Y176" s="9">
        <v>0</v>
      </c>
      <c r="Z176" s="9">
        <v>1</v>
      </c>
      <c r="AA176" s="9">
        <v>0</v>
      </c>
      <c r="AB176" s="9">
        <v>0</v>
      </c>
      <c r="AC176" s="9">
        <v>1</v>
      </c>
      <c r="AD176" s="9">
        <v>0</v>
      </c>
      <c r="AE176" s="8">
        <v>0</v>
      </c>
      <c r="AF176" s="9">
        <v>1</v>
      </c>
      <c r="AG176" s="30">
        <v>0</v>
      </c>
      <c r="AH176" s="9">
        <v>0</v>
      </c>
      <c r="AI176" s="30">
        <v>1</v>
      </c>
      <c r="AJ176" s="21">
        <v>1992</v>
      </c>
      <c r="AK176" s="33">
        <f t="shared" si="48"/>
        <v>0.26250000000000001</v>
      </c>
      <c r="AL176" s="33">
        <v>0.25</v>
      </c>
      <c r="AM176" s="33">
        <v>0.22500000000000001</v>
      </c>
      <c r="AN176" s="43">
        <f t="shared" si="49"/>
        <v>0.26250000000000001</v>
      </c>
      <c r="AO176" s="42">
        <v>0.67</v>
      </c>
      <c r="AP176" s="18">
        <v>0.33</v>
      </c>
      <c r="AQ176">
        <v>0</v>
      </c>
      <c r="AR176" s="40">
        <f t="shared" si="45"/>
        <v>1</v>
      </c>
      <c r="AS176">
        <v>0.38</v>
      </c>
      <c r="AT176" s="40">
        <v>0.62</v>
      </c>
      <c r="AU176">
        <v>0</v>
      </c>
      <c r="AV176" s="18">
        <v>1</v>
      </c>
      <c r="AW176">
        <f t="shared" si="50"/>
        <v>0.44099999999999995</v>
      </c>
      <c r="AX176" s="18">
        <v>0.55900000000000005</v>
      </c>
      <c r="AY176" s="18" t="s">
        <v>10</v>
      </c>
      <c r="AZ176">
        <v>0</v>
      </c>
      <c r="BA176">
        <v>0</v>
      </c>
      <c r="BB176">
        <v>0</v>
      </c>
      <c r="BC176">
        <v>0</v>
      </c>
      <c r="BD176">
        <v>0</v>
      </c>
      <c r="BE176">
        <v>0</v>
      </c>
      <c r="BF176" s="18">
        <v>1</v>
      </c>
      <c r="BG176">
        <v>0</v>
      </c>
      <c r="BH176">
        <v>0</v>
      </c>
      <c r="BI176" s="18">
        <v>1</v>
      </c>
      <c r="BJ176" t="s">
        <v>98</v>
      </c>
      <c r="BK176">
        <v>28</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1.0622231041423611</v>
      </c>
      <c r="F177" s="7">
        <v>6.03</v>
      </c>
      <c r="G177" s="7">
        <f t="shared" si="35"/>
        <v>5.3429822138360743</v>
      </c>
      <c r="H177" s="16">
        <f t="shared" si="36"/>
        <v>7.467428422120796</v>
      </c>
      <c r="I177" s="11">
        <f t="shared" si="39"/>
        <v>0.10729671724387244</v>
      </c>
      <c r="J177" s="33">
        <f t="shared" si="40"/>
        <v>1.7793817121703553E-2</v>
      </c>
      <c r="K177" s="33">
        <f t="shared" si="41"/>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 t="shared" si="47"/>
        <v>24.175000000000001</v>
      </c>
      <c r="Y177" s="9">
        <v>0</v>
      </c>
      <c r="Z177" s="9">
        <v>1</v>
      </c>
      <c r="AA177" s="9">
        <v>0</v>
      </c>
      <c r="AB177" s="9">
        <v>0</v>
      </c>
      <c r="AC177" s="9">
        <v>1</v>
      </c>
      <c r="AD177" s="9">
        <v>0</v>
      </c>
      <c r="AE177" s="8">
        <v>0</v>
      </c>
      <c r="AF177" s="9">
        <v>1</v>
      </c>
      <c r="AG177" s="30">
        <v>0</v>
      </c>
      <c r="AH177" s="9">
        <v>0</v>
      </c>
      <c r="AI177" s="30">
        <v>1</v>
      </c>
      <c r="AJ177" s="21">
        <v>1992</v>
      </c>
      <c r="AK177" s="33">
        <f t="shared" si="48"/>
        <v>0.26250000000000001</v>
      </c>
      <c r="AL177" s="33">
        <v>0.25</v>
      </c>
      <c r="AM177" s="33">
        <v>0.22500000000000001</v>
      </c>
      <c r="AN177" s="43">
        <f t="shared" si="49"/>
        <v>0.26250000000000001</v>
      </c>
      <c r="AO177" s="42">
        <v>0.67</v>
      </c>
      <c r="AP177" s="18">
        <v>0.33</v>
      </c>
      <c r="AQ177">
        <v>0</v>
      </c>
      <c r="AR177" s="40">
        <f t="shared" si="45"/>
        <v>1</v>
      </c>
      <c r="AS177">
        <v>0.38</v>
      </c>
      <c r="AT177" s="40">
        <v>0.62</v>
      </c>
      <c r="AU177">
        <v>0</v>
      </c>
      <c r="AV177" s="18">
        <v>1</v>
      </c>
      <c r="AW177">
        <f t="shared" si="50"/>
        <v>0.44099999999999995</v>
      </c>
      <c r="AX177" s="18">
        <v>0.55900000000000005</v>
      </c>
      <c r="AY177" s="18" t="s">
        <v>10</v>
      </c>
      <c r="AZ177">
        <v>0</v>
      </c>
      <c r="BA177">
        <v>0</v>
      </c>
      <c r="BB177">
        <v>0</v>
      </c>
      <c r="BC177">
        <v>0</v>
      </c>
      <c r="BD177">
        <v>0</v>
      </c>
      <c r="BE177">
        <v>0</v>
      </c>
      <c r="BF177" s="18">
        <v>1</v>
      </c>
      <c r="BG177">
        <v>0</v>
      </c>
      <c r="BH177">
        <v>0</v>
      </c>
      <c r="BI177" s="18">
        <v>1</v>
      </c>
      <c r="BJ177" t="s">
        <v>98</v>
      </c>
      <c r="BK177">
        <v>28</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2.6847967769341188</v>
      </c>
      <c r="F178" s="7">
        <v>3.38</v>
      </c>
      <c r="G178" s="7">
        <f t="shared" si="35"/>
        <v>6.3898163291032031</v>
      </c>
      <c r="H178" s="16">
        <f t="shared" si="36"/>
        <v>11.759409882971442</v>
      </c>
      <c r="I178" s="11">
        <f t="shared" si="39"/>
        <v>6.0381943826493679E-2</v>
      </c>
      <c r="J178" s="33">
        <f t="shared" si="40"/>
        <v>1.7864480422039548E-2</v>
      </c>
      <c r="K178" s="33">
        <f t="shared" si="41"/>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 t="shared" si="47"/>
        <v>24.175000000000001</v>
      </c>
      <c r="Y178" s="9">
        <v>0</v>
      </c>
      <c r="Z178" s="9">
        <v>1</v>
      </c>
      <c r="AA178" s="9">
        <v>0</v>
      </c>
      <c r="AB178" s="9">
        <v>0</v>
      </c>
      <c r="AC178" s="9">
        <v>1</v>
      </c>
      <c r="AD178" s="9">
        <v>0</v>
      </c>
      <c r="AE178" s="8">
        <v>0</v>
      </c>
      <c r="AF178" s="9">
        <v>1</v>
      </c>
      <c r="AG178" s="30">
        <v>0</v>
      </c>
      <c r="AH178" s="9">
        <v>0</v>
      </c>
      <c r="AI178" s="30">
        <v>1</v>
      </c>
      <c r="AJ178" s="21">
        <v>1992</v>
      </c>
      <c r="AK178" s="33">
        <f t="shared" si="48"/>
        <v>0.26250000000000001</v>
      </c>
      <c r="AL178" s="33">
        <v>0.25</v>
      </c>
      <c r="AM178" s="33">
        <v>0.22500000000000001</v>
      </c>
      <c r="AN178" s="43">
        <f t="shared" si="49"/>
        <v>0.26250000000000001</v>
      </c>
      <c r="AO178" s="42">
        <v>0.67</v>
      </c>
      <c r="AP178" s="18">
        <v>0.33</v>
      </c>
      <c r="AQ178">
        <v>0</v>
      </c>
      <c r="AR178" s="40">
        <f t="shared" si="45"/>
        <v>1</v>
      </c>
      <c r="AS178">
        <v>0.38</v>
      </c>
      <c r="AT178" s="40">
        <v>0.62</v>
      </c>
      <c r="AU178">
        <v>0</v>
      </c>
      <c r="AV178" s="18">
        <v>1</v>
      </c>
      <c r="AW178">
        <f t="shared" si="50"/>
        <v>0.44099999999999995</v>
      </c>
      <c r="AX178" s="18">
        <v>0.55900000000000005</v>
      </c>
      <c r="AY178" s="18" t="s">
        <v>10</v>
      </c>
      <c r="AZ178">
        <v>0</v>
      </c>
      <c r="BA178">
        <v>0</v>
      </c>
      <c r="BB178">
        <v>0</v>
      </c>
      <c r="BC178">
        <v>0</v>
      </c>
      <c r="BD178">
        <v>0</v>
      </c>
      <c r="BE178">
        <v>0</v>
      </c>
      <c r="BF178" s="18">
        <v>1</v>
      </c>
      <c r="BG178">
        <v>0</v>
      </c>
      <c r="BH178">
        <v>0</v>
      </c>
      <c r="BI178" s="18">
        <v>1</v>
      </c>
      <c r="BJ178" t="s">
        <v>98</v>
      </c>
      <c r="BK178">
        <v>28</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5"/>
        <v>-0.42906249461447388</v>
      </c>
      <c r="H179" s="16">
        <f t="shared" si="36"/>
        <v>1.2211778692873487</v>
      </c>
      <c r="I179" s="11">
        <f t="shared" si="39"/>
        <v>8.3440660789958192E-3</v>
      </c>
      <c r="J179" s="33">
        <f t="shared" si="40"/>
        <v>1.7383470997907959E-2</v>
      </c>
      <c r="K179" s="33">
        <f t="shared" si="41"/>
        <v>57.525910683795345</v>
      </c>
      <c r="L179" s="8">
        <v>0</v>
      </c>
      <c r="M179" s="9">
        <v>1</v>
      </c>
      <c r="N179" s="8">
        <v>0</v>
      </c>
      <c r="O179" s="9">
        <v>0</v>
      </c>
      <c r="P179" s="9">
        <v>1</v>
      </c>
      <c r="Q179" s="9">
        <v>0</v>
      </c>
      <c r="R179" s="9">
        <v>0</v>
      </c>
      <c r="S179" s="8">
        <v>3319</v>
      </c>
      <c r="T179" s="9">
        <v>9</v>
      </c>
      <c r="U179" s="9">
        <f t="shared" si="37"/>
        <v>3309</v>
      </c>
      <c r="V179" s="9">
        <f t="shared" si="38"/>
        <v>48</v>
      </c>
      <c r="W179" s="7">
        <v>10.52</v>
      </c>
      <c r="X179" s="7">
        <f t="shared" si="47"/>
        <v>23.48</v>
      </c>
      <c r="Y179" s="9">
        <v>0</v>
      </c>
      <c r="Z179" s="9">
        <v>1</v>
      </c>
      <c r="AA179" s="9">
        <v>0</v>
      </c>
      <c r="AB179" s="9">
        <v>0</v>
      </c>
      <c r="AC179" s="9">
        <v>1</v>
      </c>
      <c r="AD179" s="9">
        <v>0</v>
      </c>
      <c r="AE179" s="8">
        <v>0</v>
      </c>
      <c r="AF179" s="9">
        <v>1</v>
      </c>
      <c r="AG179" s="30">
        <v>0</v>
      </c>
      <c r="AH179" s="9">
        <v>0</v>
      </c>
      <c r="AI179" s="30">
        <v>1</v>
      </c>
      <c r="AJ179" s="21">
        <v>1992</v>
      </c>
      <c r="AK179" s="33">
        <f t="shared" si="48"/>
        <v>0.17</v>
      </c>
      <c r="AL179" s="33">
        <v>0.2</v>
      </c>
      <c r="AM179" s="33">
        <v>0.46</v>
      </c>
      <c r="AN179" s="43">
        <f t="shared" si="49"/>
        <v>0.17</v>
      </c>
      <c r="AO179" s="42">
        <v>0.67</v>
      </c>
      <c r="AP179" s="18">
        <v>0.33</v>
      </c>
      <c r="AQ179">
        <v>1</v>
      </c>
      <c r="AR179" s="40">
        <f t="shared" si="45"/>
        <v>0</v>
      </c>
      <c r="AS179">
        <v>0.31</v>
      </c>
      <c r="AT179" s="40">
        <v>0.69</v>
      </c>
      <c r="AU179">
        <v>0</v>
      </c>
      <c r="AV179" s="18">
        <v>1</v>
      </c>
      <c r="AW179">
        <f t="shared" si="50"/>
        <v>0.56800000000000006</v>
      </c>
      <c r="AX179" s="18">
        <v>0.432</v>
      </c>
      <c r="AY179" s="18" t="s">
        <v>10</v>
      </c>
      <c r="AZ179">
        <v>0</v>
      </c>
      <c r="BA179">
        <v>0</v>
      </c>
      <c r="BB179">
        <v>0</v>
      </c>
      <c r="BC179">
        <v>0</v>
      </c>
      <c r="BD179">
        <v>0</v>
      </c>
      <c r="BE179">
        <v>0</v>
      </c>
      <c r="BF179" s="18">
        <v>1</v>
      </c>
      <c r="BG179">
        <v>0</v>
      </c>
      <c r="BH179">
        <v>0</v>
      </c>
      <c r="BI179" s="18">
        <v>1</v>
      </c>
      <c r="BJ179" t="s">
        <v>98</v>
      </c>
      <c r="BK179">
        <v>28</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5"/>
        <v>2.9881668625087756</v>
      </c>
      <c r="H180" s="16">
        <f t="shared" si="36"/>
        <v>4.9736597944082943</v>
      </c>
      <c r="I180" s="11">
        <f t="shared" si="39"/>
        <v>6.9541381927090723E-2</v>
      </c>
      <c r="J180" s="33">
        <f t="shared" si="40"/>
        <v>1.7341990505508911E-2</v>
      </c>
      <c r="K180" s="33">
        <f t="shared" si="41"/>
        <v>57.663507524256623</v>
      </c>
      <c r="L180" s="8">
        <v>0</v>
      </c>
      <c r="M180" s="9">
        <v>1</v>
      </c>
      <c r="N180" s="8">
        <v>0</v>
      </c>
      <c r="O180" s="9">
        <v>0</v>
      </c>
      <c r="P180" s="9">
        <v>1</v>
      </c>
      <c r="Q180" s="9">
        <v>0</v>
      </c>
      <c r="R180" s="9">
        <v>0</v>
      </c>
      <c r="S180" s="8">
        <v>3319</v>
      </c>
      <c r="T180" s="9">
        <v>9</v>
      </c>
      <c r="U180" s="9">
        <f t="shared" si="37"/>
        <v>3309</v>
      </c>
      <c r="V180" s="9">
        <f t="shared" si="38"/>
        <v>48</v>
      </c>
      <c r="W180" s="7">
        <v>10.52</v>
      </c>
      <c r="X180" s="7">
        <f t="shared" si="47"/>
        <v>23.48</v>
      </c>
      <c r="Y180" s="9">
        <v>0</v>
      </c>
      <c r="Z180" s="9">
        <v>1</v>
      </c>
      <c r="AA180" s="9">
        <v>0</v>
      </c>
      <c r="AB180" s="9">
        <v>0</v>
      </c>
      <c r="AC180" s="9">
        <v>1</v>
      </c>
      <c r="AD180" s="9">
        <v>0</v>
      </c>
      <c r="AE180" s="8">
        <v>0</v>
      </c>
      <c r="AF180" s="9">
        <v>1</v>
      </c>
      <c r="AG180" s="30">
        <v>0</v>
      </c>
      <c r="AH180" s="9">
        <v>0</v>
      </c>
      <c r="AI180" s="30">
        <v>1</v>
      </c>
      <c r="AJ180" s="21">
        <v>1992</v>
      </c>
      <c r="AK180" s="33">
        <f t="shared" si="48"/>
        <v>0.17</v>
      </c>
      <c r="AL180" s="33">
        <v>0.2</v>
      </c>
      <c r="AM180" s="33">
        <v>0.46</v>
      </c>
      <c r="AN180" s="43">
        <f t="shared" si="49"/>
        <v>0.17</v>
      </c>
      <c r="AO180" s="42">
        <v>0.67</v>
      </c>
      <c r="AP180" s="18">
        <v>0.33</v>
      </c>
      <c r="AQ180">
        <v>1</v>
      </c>
      <c r="AR180" s="40">
        <f t="shared" si="45"/>
        <v>0</v>
      </c>
      <c r="AS180">
        <v>0.31</v>
      </c>
      <c r="AT180" s="40">
        <v>0.69</v>
      </c>
      <c r="AU180">
        <v>0</v>
      </c>
      <c r="AV180" s="18">
        <v>1</v>
      </c>
      <c r="AW180">
        <f t="shared" si="50"/>
        <v>0.56800000000000006</v>
      </c>
      <c r="AX180" s="18">
        <v>0.432</v>
      </c>
      <c r="AY180" s="18" t="s">
        <v>10</v>
      </c>
      <c r="AZ180">
        <v>0</v>
      </c>
      <c r="BA180">
        <v>0</v>
      </c>
      <c r="BB180">
        <v>0</v>
      </c>
      <c r="BC180">
        <v>0</v>
      </c>
      <c r="BD180">
        <v>0</v>
      </c>
      <c r="BE180">
        <v>0</v>
      </c>
      <c r="BF180" s="18">
        <v>1</v>
      </c>
      <c r="BG180">
        <v>0</v>
      </c>
      <c r="BH180">
        <v>0</v>
      </c>
      <c r="BI180" s="18">
        <v>1</v>
      </c>
      <c r="BJ180" t="s">
        <v>98</v>
      </c>
      <c r="BK180">
        <v>28</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5"/>
        <v>5.5228789842913386</v>
      </c>
      <c r="H181" s="16">
        <f t="shared" si="36"/>
        <v>7.4744263285638954</v>
      </c>
      <c r="I181" s="11">
        <f t="shared" si="39"/>
        <v>0.1150096877331656</v>
      </c>
      <c r="J181" s="33">
        <f t="shared" si="40"/>
        <v>1.7268721881856693E-2</v>
      </c>
      <c r="K181" s="33">
        <f t="shared" si="41"/>
        <v>57.908165227366688</v>
      </c>
      <c r="L181" s="8">
        <v>0</v>
      </c>
      <c r="M181" s="9">
        <v>1</v>
      </c>
      <c r="N181" s="8">
        <v>0</v>
      </c>
      <c r="O181" s="9">
        <v>0</v>
      </c>
      <c r="P181" s="9">
        <v>1</v>
      </c>
      <c r="Q181" s="9">
        <v>0</v>
      </c>
      <c r="R181" s="9">
        <v>0</v>
      </c>
      <c r="S181" s="8">
        <v>3319</v>
      </c>
      <c r="T181" s="9">
        <v>9</v>
      </c>
      <c r="U181" s="9">
        <f t="shared" si="37"/>
        <v>3309</v>
      </c>
      <c r="V181" s="9">
        <f t="shared" si="38"/>
        <v>48</v>
      </c>
      <c r="W181" s="7">
        <v>10.52</v>
      </c>
      <c r="X181" s="7">
        <f t="shared" si="47"/>
        <v>23.48</v>
      </c>
      <c r="Y181" s="9">
        <v>0</v>
      </c>
      <c r="Z181" s="9">
        <v>1</v>
      </c>
      <c r="AA181" s="9">
        <v>0</v>
      </c>
      <c r="AB181" s="9">
        <v>0</v>
      </c>
      <c r="AC181" s="9">
        <v>1</v>
      </c>
      <c r="AD181" s="9">
        <v>0</v>
      </c>
      <c r="AE181" s="8">
        <v>0</v>
      </c>
      <c r="AF181" s="9">
        <v>1</v>
      </c>
      <c r="AG181" s="30">
        <v>0</v>
      </c>
      <c r="AH181" s="9">
        <v>0</v>
      </c>
      <c r="AI181" s="30">
        <v>1</v>
      </c>
      <c r="AJ181" s="21">
        <v>1992</v>
      </c>
      <c r="AK181" s="33">
        <f t="shared" si="48"/>
        <v>0.17</v>
      </c>
      <c r="AL181" s="33">
        <v>0.2</v>
      </c>
      <c r="AM181" s="33">
        <v>0.46</v>
      </c>
      <c r="AN181" s="43">
        <f t="shared" si="49"/>
        <v>0.17</v>
      </c>
      <c r="AO181" s="42">
        <v>0.67</v>
      </c>
      <c r="AP181" s="18">
        <v>0.33</v>
      </c>
      <c r="AQ181">
        <v>1</v>
      </c>
      <c r="AR181" s="40">
        <f t="shared" si="45"/>
        <v>0</v>
      </c>
      <c r="AS181">
        <v>0.31</v>
      </c>
      <c r="AT181" s="40">
        <v>0.69</v>
      </c>
      <c r="AU181">
        <v>0</v>
      </c>
      <c r="AV181" s="18">
        <v>1</v>
      </c>
      <c r="AW181">
        <f t="shared" si="50"/>
        <v>0.56800000000000006</v>
      </c>
      <c r="AX181" s="18">
        <v>0.432</v>
      </c>
      <c r="AY181" s="18" t="s">
        <v>10</v>
      </c>
      <c r="AZ181">
        <v>0</v>
      </c>
      <c r="BA181">
        <v>0</v>
      </c>
      <c r="BB181">
        <v>0</v>
      </c>
      <c r="BC181">
        <v>0</v>
      </c>
      <c r="BD181">
        <v>0</v>
      </c>
      <c r="BE181">
        <v>0</v>
      </c>
      <c r="BF181" s="18">
        <v>1</v>
      </c>
      <c r="BG181">
        <v>0</v>
      </c>
      <c r="BH181">
        <v>0</v>
      </c>
      <c r="BI181" s="18">
        <v>1</v>
      </c>
      <c r="BJ181" t="s">
        <v>98</v>
      </c>
      <c r="BK181">
        <v>28</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v>
      </c>
      <c r="E182" s="14">
        <v>1.7252947883924989</v>
      </c>
      <c r="F182" s="7">
        <v>5.93</v>
      </c>
      <c r="G182" s="7">
        <f t="shared" si="35"/>
        <v>8.5057033067750201</v>
      </c>
      <c r="H182" s="16">
        <f t="shared" si="36"/>
        <v>11.956292883560019</v>
      </c>
      <c r="I182" s="11">
        <f t="shared" si="39"/>
        <v>0.10254414096067127</v>
      </c>
      <c r="J182" s="33">
        <f t="shared" si="40"/>
        <v>1.7292435237887233E-2</v>
      </c>
      <c r="K182" s="33">
        <f t="shared" si="41"/>
        <v>57.828754958065623</v>
      </c>
      <c r="L182" s="8">
        <v>0</v>
      </c>
      <c r="M182" s="9">
        <v>1</v>
      </c>
      <c r="N182" s="8">
        <v>0</v>
      </c>
      <c r="O182" s="9">
        <v>0</v>
      </c>
      <c r="P182" s="9">
        <v>1</v>
      </c>
      <c r="Q182" s="9">
        <v>0</v>
      </c>
      <c r="R182" s="9">
        <v>0</v>
      </c>
      <c r="S182" s="8">
        <v>3319</v>
      </c>
      <c r="T182" s="9">
        <v>9</v>
      </c>
      <c r="U182" s="9">
        <f t="shared" si="37"/>
        <v>3309</v>
      </c>
      <c r="V182" s="9">
        <f t="shared" si="38"/>
        <v>48</v>
      </c>
      <c r="W182" s="7">
        <v>10.52</v>
      </c>
      <c r="X182" s="7">
        <f t="shared" si="47"/>
        <v>23.48</v>
      </c>
      <c r="Y182" s="9">
        <v>0</v>
      </c>
      <c r="Z182" s="9">
        <v>1</v>
      </c>
      <c r="AA182" s="9">
        <v>0</v>
      </c>
      <c r="AB182" s="9">
        <v>0</v>
      </c>
      <c r="AC182" s="9">
        <v>1</v>
      </c>
      <c r="AD182" s="9">
        <v>0</v>
      </c>
      <c r="AE182" s="8">
        <v>0</v>
      </c>
      <c r="AF182" s="9">
        <v>1</v>
      </c>
      <c r="AG182" s="30">
        <v>0</v>
      </c>
      <c r="AH182" s="9">
        <v>0</v>
      </c>
      <c r="AI182" s="30">
        <v>1</v>
      </c>
      <c r="AJ182" s="21">
        <v>1992</v>
      </c>
      <c r="AK182" s="33">
        <f t="shared" si="48"/>
        <v>0.17</v>
      </c>
      <c r="AL182" s="33">
        <v>0.2</v>
      </c>
      <c r="AM182" s="33">
        <v>0.46</v>
      </c>
      <c r="AN182" s="43">
        <f t="shared" si="49"/>
        <v>0.17</v>
      </c>
      <c r="AO182" s="42">
        <v>0.67</v>
      </c>
      <c r="AP182" s="18">
        <v>0.33</v>
      </c>
      <c r="AQ182">
        <v>1</v>
      </c>
      <c r="AR182" s="40">
        <f t="shared" si="45"/>
        <v>0</v>
      </c>
      <c r="AS182">
        <v>0.31</v>
      </c>
      <c r="AT182" s="40">
        <v>0.69</v>
      </c>
      <c r="AU182">
        <v>0</v>
      </c>
      <c r="AV182" s="18">
        <v>1</v>
      </c>
      <c r="AW182">
        <f t="shared" si="50"/>
        <v>0.56800000000000006</v>
      </c>
      <c r="AX182" s="18">
        <v>0.432</v>
      </c>
      <c r="AY182" s="18" t="s">
        <v>10</v>
      </c>
      <c r="AZ182">
        <v>0</v>
      </c>
      <c r="BA182">
        <v>0</v>
      </c>
      <c r="BB182">
        <v>0</v>
      </c>
      <c r="BC182">
        <v>0</v>
      </c>
      <c r="BD182">
        <v>0</v>
      </c>
      <c r="BE182">
        <v>0</v>
      </c>
      <c r="BF182" s="18">
        <v>1</v>
      </c>
      <c r="BG182">
        <v>0</v>
      </c>
      <c r="BH182">
        <v>0</v>
      </c>
      <c r="BI182" s="18">
        <v>1</v>
      </c>
      <c r="BJ182" t="s">
        <v>98</v>
      </c>
      <c r="BK182">
        <v>28</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5"/>
        <v>3.4469245240605071</v>
      </c>
      <c r="H183" s="16">
        <f t="shared" si="36"/>
        <v>5.4925770605949333</v>
      </c>
      <c r="I183" s="11">
        <f t="shared" si="39"/>
        <v>9.2496418034845096E-2</v>
      </c>
      <c r="J183" s="33">
        <f t="shared" si="40"/>
        <v>2.1166228383259746E-2</v>
      </c>
      <c r="K183" s="33">
        <f t="shared" si="41"/>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 t="shared" si="47"/>
        <v>24.155000000000001</v>
      </c>
      <c r="Y183" s="9">
        <v>0</v>
      </c>
      <c r="Z183" s="9">
        <v>1</v>
      </c>
      <c r="AA183" s="9">
        <v>0</v>
      </c>
      <c r="AB183" s="9">
        <v>0</v>
      </c>
      <c r="AC183" s="9">
        <v>1</v>
      </c>
      <c r="AD183" s="9">
        <v>0</v>
      </c>
      <c r="AE183" s="8">
        <v>0</v>
      </c>
      <c r="AF183" s="9">
        <v>1</v>
      </c>
      <c r="AG183" s="30">
        <v>0</v>
      </c>
      <c r="AH183" s="9">
        <v>0</v>
      </c>
      <c r="AI183" s="30">
        <v>1</v>
      </c>
      <c r="AJ183" s="21">
        <v>1999</v>
      </c>
      <c r="AK183" s="33">
        <f t="shared" si="48"/>
        <v>0.19249999999999998</v>
      </c>
      <c r="AL183" s="33">
        <v>0.28999999999999998</v>
      </c>
      <c r="AM183" s="33">
        <v>0.32500000000000001</v>
      </c>
      <c r="AN183" s="43">
        <f t="shared" si="49"/>
        <v>0.19249999999999998</v>
      </c>
      <c r="AO183" s="42">
        <v>0.67</v>
      </c>
      <c r="AP183" s="18">
        <v>0.33</v>
      </c>
      <c r="AQ183">
        <v>0</v>
      </c>
      <c r="AR183" s="40">
        <f t="shared" si="45"/>
        <v>1</v>
      </c>
      <c r="AS183">
        <v>0.38</v>
      </c>
      <c r="AT183" s="40">
        <v>0.62</v>
      </c>
      <c r="AU183">
        <v>0</v>
      </c>
      <c r="AV183" s="18">
        <v>1</v>
      </c>
      <c r="AW183">
        <f t="shared" si="50"/>
        <v>0.48099999999999998</v>
      </c>
      <c r="AX183" s="18">
        <v>0.51900000000000002</v>
      </c>
      <c r="AY183" s="18" t="s">
        <v>10</v>
      </c>
      <c r="AZ183">
        <v>0</v>
      </c>
      <c r="BA183">
        <v>0</v>
      </c>
      <c r="BB183">
        <v>0</v>
      </c>
      <c r="BC183">
        <v>0</v>
      </c>
      <c r="BD183">
        <v>0</v>
      </c>
      <c r="BE183">
        <v>0</v>
      </c>
      <c r="BF183" s="18">
        <v>1</v>
      </c>
      <c r="BG183">
        <v>0</v>
      </c>
      <c r="BH183">
        <v>0</v>
      </c>
      <c r="BI183" s="18">
        <v>1</v>
      </c>
      <c r="BJ183" t="s">
        <v>98</v>
      </c>
      <c r="BK183">
        <v>22</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3.802557760590775</v>
      </c>
      <c r="E184" s="14">
        <v>0.56924517374113393</v>
      </c>
      <c r="F184" s="7">
        <v>6.68</v>
      </c>
      <c r="G184" s="7">
        <f t="shared" si="35"/>
        <v>3.2333125868496411</v>
      </c>
      <c r="H184" s="16">
        <f t="shared" si="36"/>
        <v>4.3718029343319085</v>
      </c>
      <c r="I184" s="11">
        <f t="shared" si="39"/>
        <v>0.14058882775051673</v>
      </c>
      <c r="J184" s="33">
        <f t="shared" si="40"/>
        <v>2.1046231699179154E-2</v>
      </c>
      <c r="K184" s="33">
        <f t="shared" si="41"/>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 t="shared" si="47"/>
        <v>24.155000000000001</v>
      </c>
      <c r="Y184" s="9">
        <v>0</v>
      </c>
      <c r="Z184" s="9">
        <v>1</v>
      </c>
      <c r="AA184" s="9">
        <v>0</v>
      </c>
      <c r="AB184" s="9">
        <v>0</v>
      </c>
      <c r="AC184" s="9">
        <v>1</v>
      </c>
      <c r="AD184" s="9">
        <v>0</v>
      </c>
      <c r="AE184" s="8">
        <v>0</v>
      </c>
      <c r="AF184" s="9">
        <v>1</v>
      </c>
      <c r="AG184" s="30">
        <v>0</v>
      </c>
      <c r="AH184" s="9">
        <v>0</v>
      </c>
      <c r="AI184" s="30">
        <v>1</v>
      </c>
      <c r="AJ184" s="21">
        <v>1999</v>
      </c>
      <c r="AK184" s="33">
        <f t="shared" si="48"/>
        <v>0.19249999999999998</v>
      </c>
      <c r="AL184" s="33">
        <v>0.28999999999999998</v>
      </c>
      <c r="AM184" s="33">
        <v>0.32500000000000001</v>
      </c>
      <c r="AN184" s="43">
        <f t="shared" si="49"/>
        <v>0.19249999999999998</v>
      </c>
      <c r="AO184" s="42">
        <v>0.67</v>
      </c>
      <c r="AP184" s="18">
        <v>0.33</v>
      </c>
      <c r="AQ184">
        <v>0</v>
      </c>
      <c r="AR184" s="40">
        <f t="shared" si="45"/>
        <v>1</v>
      </c>
      <c r="AS184">
        <v>0.38</v>
      </c>
      <c r="AT184" s="40">
        <v>0.62</v>
      </c>
      <c r="AU184">
        <v>0</v>
      </c>
      <c r="AV184" s="18">
        <v>1</v>
      </c>
      <c r="AW184">
        <f t="shared" si="50"/>
        <v>0.48099999999999998</v>
      </c>
      <c r="AX184" s="18">
        <v>0.51900000000000002</v>
      </c>
      <c r="AY184" s="18" t="s">
        <v>10</v>
      </c>
      <c r="AZ184">
        <v>0</v>
      </c>
      <c r="BA184">
        <v>0</v>
      </c>
      <c r="BB184">
        <v>0</v>
      </c>
      <c r="BC184">
        <v>0</v>
      </c>
      <c r="BD184">
        <v>0</v>
      </c>
      <c r="BE184">
        <v>0</v>
      </c>
      <c r="BF184" s="18">
        <v>1</v>
      </c>
      <c r="BG184">
        <v>0</v>
      </c>
      <c r="BH184">
        <v>0</v>
      </c>
      <c r="BI184" s="18">
        <v>1</v>
      </c>
      <c r="BJ184" t="s">
        <v>98</v>
      </c>
      <c r="BK184">
        <v>22</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5"/>
        <v>8.1972402381419407</v>
      </c>
      <c r="H185" s="16">
        <f t="shared" si="36"/>
        <v>11.898025898702638</v>
      </c>
      <c r="I185" s="11">
        <f t="shared" si="39"/>
        <v>0.11466610641194247</v>
      </c>
      <c r="J185" s="33">
        <f t="shared" si="40"/>
        <v>2.1117146668866014E-2</v>
      </c>
      <c r="K185" s="33">
        <f t="shared" si="41"/>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 t="shared" si="47"/>
        <v>24.155000000000001</v>
      </c>
      <c r="Y185" s="9">
        <v>0</v>
      </c>
      <c r="Z185" s="9">
        <v>1</v>
      </c>
      <c r="AA185" s="9">
        <v>0</v>
      </c>
      <c r="AB185" s="9">
        <v>0</v>
      </c>
      <c r="AC185" s="9">
        <v>1</v>
      </c>
      <c r="AD185" s="9">
        <v>0</v>
      </c>
      <c r="AE185" s="8">
        <v>0</v>
      </c>
      <c r="AF185" s="9">
        <v>1</v>
      </c>
      <c r="AG185" s="30">
        <v>0</v>
      </c>
      <c r="AH185" s="9">
        <v>0</v>
      </c>
      <c r="AI185" s="30">
        <v>1</v>
      </c>
      <c r="AJ185" s="21">
        <v>1999</v>
      </c>
      <c r="AK185" s="33">
        <f t="shared" si="48"/>
        <v>0.19249999999999998</v>
      </c>
      <c r="AL185" s="33">
        <v>0.28999999999999998</v>
      </c>
      <c r="AM185" s="33">
        <v>0.32500000000000001</v>
      </c>
      <c r="AN185" s="43">
        <f t="shared" si="49"/>
        <v>0.19249999999999998</v>
      </c>
      <c r="AO185" s="42">
        <v>0.67</v>
      </c>
      <c r="AP185" s="18">
        <v>0.33</v>
      </c>
      <c r="AQ185">
        <v>0</v>
      </c>
      <c r="AR185" s="40">
        <f t="shared" si="45"/>
        <v>1</v>
      </c>
      <c r="AS185">
        <v>0.38</v>
      </c>
      <c r="AT185" s="40">
        <v>0.62</v>
      </c>
      <c r="AU185">
        <v>0</v>
      </c>
      <c r="AV185" s="18">
        <v>1</v>
      </c>
      <c r="AW185">
        <f t="shared" si="50"/>
        <v>0.48099999999999998</v>
      </c>
      <c r="AX185" s="18">
        <v>0.51900000000000002</v>
      </c>
      <c r="AY185" s="18" t="s">
        <v>10</v>
      </c>
      <c r="AZ185">
        <v>0</v>
      </c>
      <c r="BA185">
        <v>0</v>
      </c>
      <c r="BB185">
        <v>0</v>
      </c>
      <c r="BC185">
        <v>0</v>
      </c>
      <c r="BD185">
        <v>0</v>
      </c>
      <c r="BE185">
        <v>0</v>
      </c>
      <c r="BF185" s="18">
        <v>1</v>
      </c>
      <c r="BG185">
        <v>0</v>
      </c>
      <c r="BH185">
        <v>0</v>
      </c>
      <c r="BI185" s="18">
        <v>1</v>
      </c>
      <c r="BJ185" t="s">
        <v>98</v>
      </c>
      <c r="BK185">
        <v>22</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13.171657196739091</v>
      </c>
      <c r="E186" s="14">
        <v>3.795866627302332</v>
      </c>
      <c r="F186" s="7">
        <v>3.47</v>
      </c>
      <c r="G186" s="7">
        <f t="shared" si="35"/>
        <v>9.3757905694367594</v>
      </c>
      <c r="H186" s="16">
        <f t="shared" si="36"/>
        <v>16.967523824041422</v>
      </c>
      <c r="I186" s="11">
        <f t="shared" si="39"/>
        <v>7.3563176755564355E-2</v>
      </c>
      <c r="J186" s="33">
        <f t="shared" si="40"/>
        <v>2.1199762753764943E-2</v>
      </c>
      <c r="K186" s="33">
        <f t="shared" si="41"/>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 t="shared" si="47"/>
        <v>24.155000000000001</v>
      </c>
      <c r="Y186" s="9">
        <v>0</v>
      </c>
      <c r="Z186" s="9">
        <v>1</v>
      </c>
      <c r="AA186" s="9">
        <v>0</v>
      </c>
      <c r="AB186" s="9">
        <v>0</v>
      </c>
      <c r="AC186" s="9">
        <v>1</v>
      </c>
      <c r="AD186" s="9">
        <v>0</v>
      </c>
      <c r="AE186" s="8">
        <v>0</v>
      </c>
      <c r="AF186" s="9">
        <v>1</v>
      </c>
      <c r="AG186" s="30">
        <v>0</v>
      </c>
      <c r="AH186" s="9">
        <v>0</v>
      </c>
      <c r="AI186" s="30">
        <v>1</v>
      </c>
      <c r="AJ186" s="21">
        <v>1999</v>
      </c>
      <c r="AK186" s="33">
        <f t="shared" si="48"/>
        <v>0.19249999999999998</v>
      </c>
      <c r="AL186" s="33">
        <v>0.28999999999999998</v>
      </c>
      <c r="AM186" s="33">
        <v>0.32500000000000001</v>
      </c>
      <c r="AN186" s="43">
        <f t="shared" si="49"/>
        <v>0.19249999999999998</v>
      </c>
      <c r="AO186" s="42">
        <v>0.67</v>
      </c>
      <c r="AP186" s="18">
        <v>0.33</v>
      </c>
      <c r="AQ186">
        <v>0</v>
      </c>
      <c r="AR186" s="40">
        <f t="shared" si="45"/>
        <v>1</v>
      </c>
      <c r="AS186">
        <v>0.38</v>
      </c>
      <c r="AT186" s="40">
        <v>0.62</v>
      </c>
      <c r="AU186">
        <v>0</v>
      </c>
      <c r="AV186" s="18">
        <v>1</v>
      </c>
      <c r="AW186">
        <f t="shared" si="50"/>
        <v>0.48099999999999998</v>
      </c>
      <c r="AX186" s="18">
        <v>0.51900000000000002</v>
      </c>
      <c r="AY186" s="18" t="s">
        <v>10</v>
      </c>
      <c r="AZ186">
        <v>0</v>
      </c>
      <c r="BA186">
        <v>0</v>
      </c>
      <c r="BB186">
        <v>0</v>
      </c>
      <c r="BC186">
        <v>0</v>
      </c>
      <c r="BD186">
        <v>0</v>
      </c>
      <c r="BE186">
        <v>0</v>
      </c>
      <c r="BF186" s="18">
        <v>1</v>
      </c>
      <c r="BG186">
        <v>0</v>
      </c>
      <c r="BH186">
        <v>0</v>
      </c>
      <c r="BI186" s="18">
        <v>1</v>
      </c>
      <c r="BJ186" t="s">
        <v>98</v>
      </c>
      <c r="BK186">
        <v>22</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1.2596589090453361</v>
      </c>
      <c r="E187" s="14">
        <v>1.384240559390479</v>
      </c>
      <c r="F187" s="7">
        <v>0.91</v>
      </c>
      <c r="G187" s="7">
        <f t="shared" si="35"/>
        <v>-0.1245816503451429</v>
      </c>
      <c r="H187" s="16">
        <f t="shared" si="36"/>
        <v>2.6438994684358148</v>
      </c>
      <c r="I187" s="11">
        <f t="shared" si="39"/>
        <v>2.1987937949940178E-2</v>
      </c>
      <c r="J187" s="33">
        <f t="shared" si="40"/>
        <v>2.4162569175758434E-2</v>
      </c>
      <c r="K187" s="33">
        <f t="shared" si="41"/>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 t="shared" si="47"/>
        <v>23.475000000000001</v>
      </c>
      <c r="Y187" s="9">
        <v>0</v>
      </c>
      <c r="Z187" s="9">
        <v>1</v>
      </c>
      <c r="AA187" s="9">
        <v>0</v>
      </c>
      <c r="AB187" s="9">
        <v>0</v>
      </c>
      <c r="AC187" s="9">
        <v>1</v>
      </c>
      <c r="AD187" s="9">
        <v>0</v>
      </c>
      <c r="AE187" s="8">
        <v>0</v>
      </c>
      <c r="AF187" s="9">
        <v>1</v>
      </c>
      <c r="AG187" s="30">
        <v>0</v>
      </c>
      <c r="AH187" s="9">
        <v>0</v>
      </c>
      <c r="AI187" s="30">
        <v>1</v>
      </c>
      <c r="AJ187" s="21">
        <v>1999</v>
      </c>
      <c r="AK187" s="33">
        <f t="shared" si="48"/>
        <v>0.12</v>
      </c>
      <c r="AL187" s="33">
        <v>0.23</v>
      </c>
      <c r="AM187" s="33">
        <v>0.53</v>
      </c>
      <c r="AN187" s="43">
        <f t="shared" si="49"/>
        <v>0.12</v>
      </c>
      <c r="AO187" s="42">
        <v>0.67</v>
      </c>
      <c r="AP187" s="18">
        <v>0.33</v>
      </c>
      <c r="AQ187">
        <v>1</v>
      </c>
      <c r="AR187" s="40">
        <f t="shared" si="45"/>
        <v>0</v>
      </c>
      <c r="AS187">
        <v>0.31</v>
      </c>
      <c r="AT187" s="40">
        <v>0.69</v>
      </c>
      <c r="AU187">
        <v>0</v>
      </c>
      <c r="AV187" s="18">
        <v>1</v>
      </c>
      <c r="AW187">
        <f t="shared" si="50"/>
        <v>0.41400000000000003</v>
      </c>
      <c r="AX187" s="18">
        <v>0.58599999999999997</v>
      </c>
      <c r="AY187" s="18" t="s">
        <v>10</v>
      </c>
      <c r="AZ187">
        <v>0</v>
      </c>
      <c r="BA187">
        <v>0</v>
      </c>
      <c r="BB187">
        <v>0</v>
      </c>
      <c r="BC187">
        <v>0</v>
      </c>
      <c r="BD187">
        <v>0</v>
      </c>
      <c r="BE187">
        <v>0</v>
      </c>
      <c r="BF187" s="18">
        <v>1</v>
      </c>
      <c r="BG187">
        <v>0</v>
      </c>
      <c r="BH187">
        <v>0</v>
      </c>
      <c r="BI187" s="18">
        <v>1</v>
      </c>
      <c r="BJ187" t="s">
        <v>98</v>
      </c>
      <c r="BK187">
        <v>22</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1.3371662606187089</v>
      </c>
      <c r="F188" s="7">
        <v>3.86</v>
      </c>
      <c r="G188" s="7">
        <f t="shared" si="35"/>
        <v>3.8242955053695091</v>
      </c>
      <c r="H188" s="16">
        <f t="shared" si="36"/>
        <v>6.4986280266069265</v>
      </c>
      <c r="I188" s="11">
        <f t="shared" si="39"/>
        <v>9.2886748403319508E-2</v>
      </c>
      <c r="J188" s="33">
        <f t="shared" si="40"/>
        <v>2.4063924456818524E-2</v>
      </c>
      <c r="K188" s="33">
        <f t="shared" si="41"/>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 t="shared" si="47"/>
        <v>23.475000000000001</v>
      </c>
      <c r="Y188" s="9">
        <v>0</v>
      </c>
      <c r="Z188" s="9">
        <v>1</v>
      </c>
      <c r="AA188" s="9">
        <v>0</v>
      </c>
      <c r="AB188" s="9">
        <v>0</v>
      </c>
      <c r="AC188" s="9">
        <v>1</v>
      </c>
      <c r="AD188" s="9">
        <v>0</v>
      </c>
      <c r="AE188" s="8">
        <v>0</v>
      </c>
      <c r="AF188" s="9">
        <v>1</v>
      </c>
      <c r="AG188" s="30">
        <v>0</v>
      </c>
      <c r="AH188" s="9">
        <v>0</v>
      </c>
      <c r="AI188" s="30">
        <v>1</v>
      </c>
      <c r="AJ188" s="21">
        <v>1999</v>
      </c>
      <c r="AK188" s="33">
        <f t="shared" si="48"/>
        <v>0.12</v>
      </c>
      <c r="AL188" s="33">
        <v>0.23</v>
      </c>
      <c r="AM188" s="33">
        <v>0.53</v>
      </c>
      <c r="AN188" s="43">
        <f t="shared" si="49"/>
        <v>0.12</v>
      </c>
      <c r="AO188" s="42">
        <v>0.67</v>
      </c>
      <c r="AP188" s="18">
        <v>0.33</v>
      </c>
      <c r="AQ188">
        <v>1</v>
      </c>
      <c r="AR188" s="40">
        <f t="shared" si="45"/>
        <v>0</v>
      </c>
      <c r="AS188">
        <v>0.31</v>
      </c>
      <c r="AT188" s="40">
        <v>0.69</v>
      </c>
      <c r="AU188">
        <v>0</v>
      </c>
      <c r="AV188" s="18">
        <v>1</v>
      </c>
      <c r="AW188">
        <f t="shared" si="50"/>
        <v>0.41400000000000003</v>
      </c>
      <c r="AX188" s="18">
        <v>0.58599999999999997</v>
      </c>
      <c r="AY188" s="18" t="s">
        <v>10</v>
      </c>
      <c r="AZ188">
        <v>0</v>
      </c>
      <c r="BA188">
        <v>0</v>
      </c>
      <c r="BB188">
        <v>0</v>
      </c>
      <c r="BC188">
        <v>0</v>
      </c>
      <c r="BD188">
        <v>0</v>
      </c>
      <c r="BE188">
        <v>0</v>
      </c>
      <c r="BF188" s="18">
        <v>1</v>
      </c>
      <c r="BG188">
        <v>0</v>
      </c>
      <c r="BH188">
        <v>0</v>
      </c>
      <c r="BI188" s="18">
        <v>1</v>
      </c>
      <c r="BJ188" t="s">
        <v>98</v>
      </c>
      <c r="BK188">
        <v>22</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v>
      </c>
      <c r="F189" s="7">
        <v>4.28</v>
      </c>
      <c r="G189" s="7">
        <f t="shared" si="35"/>
        <v>3.9414129360055883</v>
      </c>
      <c r="H189" s="16">
        <f t="shared" si="36"/>
        <v>6.3447135067407023</v>
      </c>
      <c r="I189" s="11">
        <f t="shared" si="39"/>
        <v>0.10289179789375939</v>
      </c>
      <c r="J189" s="33">
        <f t="shared" si="40"/>
        <v>2.4040139694803595E-2</v>
      </c>
      <c r="K189" s="33">
        <f t="shared" si="41"/>
        <v>41.59709605248905</v>
      </c>
      <c r="L189" s="8">
        <v>0</v>
      </c>
      <c r="M189" s="9">
        <v>1</v>
      </c>
      <c r="N189" s="8">
        <v>0</v>
      </c>
      <c r="O189" s="9">
        <v>0</v>
      </c>
      <c r="P189" s="9">
        <v>1</v>
      </c>
      <c r="Q189" s="9">
        <v>0</v>
      </c>
      <c r="R189" s="9">
        <v>0</v>
      </c>
      <c r="S189" s="8">
        <v>1722</v>
      </c>
      <c r="T189" s="9">
        <v>9</v>
      </c>
      <c r="U189" s="9">
        <f t="shared" si="37"/>
        <v>1712</v>
      </c>
      <c r="V189" s="9">
        <f t="shared" si="38"/>
        <v>48</v>
      </c>
      <c r="W189" s="7">
        <v>10.525</v>
      </c>
      <c r="X189" s="7">
        <f t="shared" si="47"/>
        <v>23.475000000000001</v>
      </c>
      <c r="Y189" s="9">
        <v>0</v>
      </c>
      <c r="Z189" s="9">
        <v>1</v>
      </c>
      <c r="AA189" s="9">
        <v>0</v>
      </c>
      <c r="AB189" s="9">
        <v>0</v>
      </c>
      <c r="AC189" s="9">
        <v>1</v>
      </c>
      <c r="AD189" s="9">
        <v>0</v>
      </c>
      <c r="AE189" s="8">
        <v>0</v>
      </c>
      <c r="AF189" s="9">
        <v>1</v>
      </c>
      <c r="AG189" s="30">
        <v>0</v>
      </c>
      <c r="AH189" s="9">
        <v>0</v>
      </c>
      <c r="AI189" s="30">
        <v>1</v>
      </c>
      <c r="AJ189" s="21">
        <v>1999</v>
      </c>
      <c r="AK189" s="33">
        <f t="shared" si="48"/>
        <v>0.12</v>
      </c>
      <c r="AL189" s="33">
        <v>0.23</v>
      </c>
      <c r="AM189" s="33">
        <v>0.53</v>
      </c>
      <c r="AN189" s="43">
        <f t="shared" si="49"/>
        <v>0.12</v>
      </c>
      <c r="AO189" s="42">
        <v>0.67</v>
      </c>
      <c r="AP189" s="18">
        <v>0.33</v>
      </c>
      <c r="AQ189">
        <v>1</v>
      </c>
      <c r="AR189" s="40">
        <f t="shared" si="45"/>
        <v>0</v>
      </c>
      <c r="AS189">
        <v>0.31</v>
      </c>
      <c r="AT189" s="40">
        <v>0.69</v>
      </c>
      <c r="AU189">
        <v>0</v>
      </c>
      <c r="AV189" s="18">
        <v>1</v>
      </c>
      <c r="AW189">
        <f t="shared" si="50"/>
        <v>0.41400000000000003</v>
      </c>
      <c r="AX189" s="18">
        <v>0.58599999999999997</v>
      </c>
      <c r="AY189" s="18" t="s">
        <v>10</v>
      </c>
      <c r="AZ189">
        <v>0</v>
      </c>
      <c r="BA189">
        <v>0</v>
      </c>
      <c r="BB189">
        <v>0</v>
      </c>
      <c r="BC189">
        <v>0</v>
      </c>
      <c r="BD189">
        <v>0</v>
      </c>
      <c r="BE189">
        <v>0</v>
      </c>
      <c r="BF189" s="18">
        <v>1</v>
      </c>
      <c r="BG189">
        <v>0</v>
      </c>
      <c r="BH189">
        <v>0</v>
      </c>
      <c r="BI189" s="18">
        <v>1</v>
      </c>
      <c r="BJ189" t="s">
        <v>98</v>
      </c>
      <c r="BK189">
        <v>22</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v>
      </c>
      <c r="E190" s="14">
        <v>2.8921004638065901</v>
      </c>
      <c r="F190" s="7">
        <v>4.6500000000000004</v>
      </c>
      <c r="G190" s="7">
        <f t="shared" si="35"/>
        <v>10.556166692894049</v>
      </c>
      <c r="H190" s="16">
        <f t="shared" si="36"/>
        <v>16.34036762050723</v>
      </c>
      <c r="I190" s="11">
        <f t="shared" si="39"/>
        <v>0.11168007204614576</v>
      </c>
      <c r="J190" s="33">
        <f t="shared" si="40"/>
        <v>2.4017219794870051E-2</v>
      </c>
      <c r="K190" s="33">
        <f t="shared" si="41"/>
        <v>41.636792623832115</v>
      </c>
      <c r="L190" s="8">
        <v>0</v>
      </c>
      <c r="M190" s="9">
        <v>1</v>
      </c>
      <c r="N190" s="8">
        <v>0</v>
      </c>
      <c r="O190" s="9">
        <v>0</v>
      </c>
      <c r="P190" s="9">
        <v>1</v>
      </c>
      <c r="Q190" s="9">
        <v>0</v>
      </c>
      <c r="R190" s="9">
        <v>0</v>
      </c>
      <c r="S190" s="8">
        <v>1722</v>
      </c>
      <c r="T190" s="9">
        <v>9</v>
      </c>
      <c r="U190" s="9">
        <f t="shared" si="37"/>
        <v>1712</v>
      </c>
      <c r="V190" s="9">
        <f t="shared" si="38"/>
        <v>48</v>
      </c>
      <c r="W190" s="7">
        <v>10.53</v>
      </c>
      <c r="X190" s="7">
        <f t="shared" si="47"/>
        <v>23.47</v>
      </c>
      <c r="Y190" s="9">
        <v>0</v>
      </c>
      <c r="Z190" s="9">
        <v>1</v>
      </c>
      <c r="AA190" s="9">
        <v>0</v>
      </c>
      <c r="AB190" s="9">
        <v>0</v>
      </c>
      <c r="AC190" s="9">
        <v>1</v>
      </c>
      <c r="AD190" s="9">
        <v>0</v>
      </c>
      <c r="AE190" s="8">
        <v>0</v>
      </c>
      <c r="AF190" s="9">
        <v>1</v>
      </c>
      <c r="AG190" s="30">
        <v>0</v>
      </c>
      <c r="AH190" s="9">
        <v>0</v>
      </c>
      <c r="AI190" s="30">
        <v>1</v>
      </c>
      <c r="AJ190" s="21">
        <v>1999</v>
      </c>
      <c r="AK190" s="33">
        <f t="shared" si="48"/>
        <v>0.12</v>
      </c>
      <c r="AL190" s="33">
        <v>0.23</v>
      </c>
      <c r="AM190" s="33">
        <v>0.53</v>
      </c>
      <c r="AN190" s="43">
        <f t="shared" si="49"/>
        <v>0.12</v>
      </c>
      <c r="AO190" s="42">
        <v>0.67</v>
      </c>
      <c r="AP190" s="18">
        <v>0.33</v>
      </c>
      <c r="AQ190">
        <v>1</v>
      </c>
      <c r="AR190" s="40">
        <f t="shared" si="45"/>
        <v>0</v>
      </c>
      <c r="AS190">
        <v>0.31</v>
      </c>
      <c r="AT190" s="40">
        <v>0.69</v>
      </c>
      <c r="AU190">
        <v>0</v>
      </c>
      <c r="AV190" s="18">
        <v>1</v>
      </c>
      <c r="AW190">
        <f t="shared" si="50"/>
        <v>0.41400000000000003</v>
      </c>
      <c r="AX190" s="18">
        <v>0.58599999999999997</v>
      </c>
      <c r="AY190" s="18" t="s">
        <v>10</v>
      </c>
      <c r="AZ190">
        <v>0</v>
      </c>
      <c r="BA190">
        <v>0</v>
      </c>
      <c r="BB190">
        <v>0</v>
      </c>
      <c r="BC190">
        <v>0</v>
      </c>
      <c r="BD190">
        <v>0</v>
      </c>
      <c r="BE190">
        <v>0</v>
      </c>
      <c r="BF190" s="18">
        <v>1</v>
      </c>
      <c r="BG190">
        <v>0</v>
      </c>
      <c r="BH190">
        <v>0</v>
      </c>
      <c r="BI190" s="18">
        <v>1</v>
      </c>
      <c r="BJ190" t="s">
        <v>98</v>
      </c>
      <c r="BK190">
        <v>22</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2.98486577125241</v>
      </c>
      <c r="E191" s="14">
        <v>0.81331492404697814</v>
      </c>
      <c r="F191" s="7">
        <v>3.67</v>
      </c>
      <c r="G191" s="7">
        <f t="shared" si="35"/>
        <v>2.1715508472054319</v>
      </c>
      <c r="H191" s="16">
        <f t="shared" si="36"/>
        <v>3.7981806952993882</v>
      </c>
      <c r="I191" s="11">
        <f t="shared" si="39"/>
        <v>6.5656535286206769E-2</v>
      </c>
      <c r="J191" s="33">
        <f t="shared" si="40"/>
        <v>1.7890064110683043E-2</v>
      </c>
      <c r="K191" s="33">
        <f t="shared" si="41"/>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 t="shared" si="47"/>
        <v>24.175000000000001</v>
      </c>
      <c r="Y191" s="9">
        <v>0</v>
      </c>
      <c r="Z191" s="9">
        <v>1</v>
      </c>
      <c r="AA191" s="9">
        <v>0</v>
      </c>
      <c r="AB191" s="9">
        <v>0</v>
      </c>
      <c r="AC191" s="9">
        <v>1</v>
      </c>
      <c r="AD191" s="9">
        <v>0</v>
      </c>
      <c r="AE191" s="8">
        <v>0</v>
      </c>
      <c r="AF191" s="9">
        <v>1</v>
      </c>
      <c r="AG191" s="30">
        <v>0</v>
      </c>
      <c r="AH191" s="9">
        <v>0</v>
      </c>
      <c r="AI191" s="30">
        <v>1</v>
      </c>
      <c r="AJ191" s="21">
        <v>1992</v>
      </c>
      <c r="AK191" s="33">
        <f t="shared" si="48"/>
        <v>0.26250000000000001</v>
      </c>
      <c r="AL191" s="33">
        <v>0.25</v>
      </c>
      <c r="AM191" s="33">
        <v>0.22500000000000001</v>
      </c>
      <c r="AN191" s="43">
        <f t="shared" si="49"/>
        <v>0.26250000000000001</v>
      </c>
      <c r="AO191" s="42">
        <v>0.67</v>
      </c>
      <c r="AP191" s="18">
        <v>0.33</v>
      </c>
      <c r="AQ191">
        <v>0</v>
      </c>
      <c r="AR191" s="40">
        <f t="shared" si="45"/>
        <v>1</v>
      </c>
      <c r="AS191">
        <v>0.38</v>
      </c>
      <c r="AT191" s="40">
        <v>0.62</v>
      </c>
      <c r="AU191">
        <v>0</v>
      </c>
      <c r="AV191" s="18">
        <v>1</v>
      </c>
      <c r="AW191">
        <f t="shared" si="50"/>
        <v>0.44099999999999995</v>
      </c>
      <c r="AX191" s="18">
        <v>0.55900000000000005</v>
      </c>
      <c r="AY191" s="18" t="s">
        <v>10</v>
      </c>
      <c r="AZ191">
        <v>0</v>
      </c>
      <c r="BA191">
        <v>0</v>
      </c>
      <c r="BB191">
        <v>0</v>
      </c>
      <c r="BC191">
        <v>0</v>
      </c>
      <c r="BD191">
        <v>0</v>
      </c>
      <c r="BE191">
        <v>0</v>
      </c>
      <c r="BF191" s="18">
        <v>1</v>
      </c>
      <c r="BG191">
        <v>0</v>
      </c>
      <c r="BH191">
        <v>0</v>
      </c>
      <c r="BI191" s="18">
        <v>1</v>
      </c>
      <c r="BJ191" t="s">
        <v>98</v>
      </c>
      <c r="BK191">
        <v>28</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3.4882050689460491</v>
      </c>
      <c r="E192" s="14">
        <v>0.58526930687014245</v>
      </c>
      <c r="F192" s="7">
        <v>5.9599999999999991</v>
      </c>
      <c r="G192" s="7">
        <f t="shared" si="35"/>
        <v>2.9029357620759066</v>
      </c>
      <c r="H192" s="16">
        <f t="shared" si="36"/>
        <v>4.0734743758161915</v>
      </c>
      <c r="I192" s="11">
        <f t="shared" si="39"/>
        <v>0.10625048008086851</v>
      </c>
      <c r="J192" s="33">
        <f t="shared" si="40"/>
        <v>1.7827261758534989E-2</v>
      </c>
      <c r="K192" s="33">
        <f t="shared" si="41"/>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 t="shared" si="47"/>
        <v>24.175000000000001</v>
      </c>
      <c r="Y192" s="9">
        <v>0</v>
      </c>
      <c r="Z192" s="9">
        <v>1</v>
      </c>
      <c r="AA192" s="9">
        <v>0</v>
      </c>
      <c r="AB192" s="9">
        <v>0</v>
      </c>
      <c r="AC192" s="9">
        <v>1</v>
      </c>
      <c r="AD192" s="9">
        <v>0</v>
      </c>
      <c r="AE192" s="8">
        <v>0</v>
      </c>
      <c r="AF192" s="9">
        <v>1</v>
      </c>
      <c r="AG192" s="30">
        <v>0</v>
      </c>
      <c r="AH192" s="9">
        <v>0</v>
      </c>
      <c r="AI192" s="30">
        <v>1</v>
      </c>
      <c r="AJ192" s="21">
        <v>1992</v>
      </c>
      <c r="AK192" s="33">
        <f t="shared" si="48"/>
        <v>0.26250000000000001</v>
      </c>
      <c r="AL192" s="33">
        <v>0.25</v>
      </c>
      <c r="AM192" s="33">
        <v>0.22500000000000001</v>
      </c>
      <c r="AN192" s="43">
        <f t="shared" si="49"/>
        <v>0.26250000000000001</v>
      </c>
      <c r="AO192" s="42">
        <v>0.67</v>
      </c>
      <c r="AP192" s="18">
        <v>0.33</v>
      </c>
      <c r="AQ192">
        <v>0</v>
      </c>
      <c r="AR192" s="40">
        <f t="shared" si="45"/>
        <v>1</v>
      </c>
      <c r="AS192">
        <v>0.38</v>
      </c>
      <c r="AT192" s="40">
        <v>0.62</v>
      </c>
      <c r="AU192">
        <v>0</v>
      </c>
      <c r="AV192" s="18">
        <v>1</v>
      </c>
      <c r="AW192">
        <f t="shared" si="50"/>
        <v>0.44099999999999995</v>
      </c>
      <c r="AX192" s="18">
        <v>0.55900000000000005</v>
      </c>
      <c r="AY192" s="18" t="s">
        <v>10</v>
      </c>
      <c r="AZ192">
        <v>0</v>
      </c>
      <c r="BA192">
        <v>0</v>
      </c>
      <c r="BB192">
        <v>0</v>
      </c>
      <c r="BC192">
        <v>0</v>
      </c>
      <c r="BD192">
        <v>0</v>
      </c>
      <c r="BE192">
        <v>0</v>
      </c>
      <c r="BF192" s="18">
        <v>1</v>
      </c>
      <c r="BG192">
        <v>0</v>
      </c>
      <c r="BH192">
        <v>0</v>
      </c>
      <c r="BI192" s="18">
        <v>1</v>
      </c>
      <c r="BJ192" t="s">
        <v>98</v>
      </c>
      <c r="BK192">
        <v>28</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1.1165840937713789</v>
      </c>
      <c r="F193" s="7">
        <v>5.5400000000000009</v>
      </c>
      <c r="G193" s="7">
        <f t="shared" si="35"/>
        <v>5.0692917857220623</v>
      </c>
      <c r="H193" s="16">
        <f t="shared" si="36"/>
        <v>7.3024599732648197</v>
      </c>
      <c r="I193" s="11">
        <f t="shared" si="39"/>
        <v>9.8838919550565119E-2</v>
      </c>
      <c r="J193" s="33">
        <f t="shared" si="40"/>
        <v>1.7840960207683235E-2</v>
      </c>
      <c r="K193" s="33">
        <f t="shared" si="41"/>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 t="shared" si="47"/>
        <v>24.175000000000001</v>
      </c>
      <c r="Y193" s="9">
        <v>0</v>
      </c>
      <c r="Z193" s="9">
        <v>1</v>
      </c>
      <c r="AA193" s="9">
        <v>0</v>
      </c>
      <c r="AB193" s="9">
        <v>0</v>
      </c>
      <c r="AC193" s="9">
        <v>1</v>
      </c>
      <c r="AD193" s="9">
        <v>0</v>
      </c>
      <c r="AE193" s="8">
        <v>0</v>
      </c>
      <c r="AF193" s="9">
        <v>1</v>
      </c>
      <c r="AG193" s="30">
        <v>0</v>
      </c>
      <c r="AH193" s="9">
        <v>0</v>
      </c>
      <c r="AI193" s="30">
        <v>1</v>
      </c>
      <c r="AJ193" s="21">
        <v>1992</v>
      </c>
      <c r="AK193" s="33">
        <f t="shared" si="48"/>
        <v>0.26250000000000001</v>
      </c>
      <c r="AL193" s="33">
        <v>0.25</v>
      </c>
      <c r="AM193" s="33">
        <v>0.22500000000000001</v>
      </c>
      <c r="AN193" s="43">
        <f t="shared" si="49"/>
        <v>0.26250000000000001</v>
      </c>
      <c r="AO193" s="42">
        <v>0.67</v>
      </c>
      <c r="AP193" s="18">
        <v>0.33</v>
      </c>
      <c r="AQ193">
        <v>0</v>
      </c>
      <c r="AR193" s="40">
        <f t="shared" si="45"/>
        <v>1</v>
      </c>
      <c r="AS193">
        <v>0.38</v>
      </c>
      <c r="AT193" s="40">
        <v>0.62</v>
      </c>
      <c r="AU193">
        <v>0</v>
      </c>
      <c r="AV193" s="18">
        <v>1</v>
      </c>
      <c r="AW193">
        <f t="shared" si="50"/>
        <v>0.44099999999999995</v>
      </c>
      <c r="AX193" s="18">
        <v>0.55900000000000005</v>
      </c>
      <c r="AY193" s="18" t="s">
        <v>10</v>
      </c>
      <c r="AZ193">
        <v>0</v>
      </c>
      <c r="BA193">
        <v>0</v>
      </c>
      <c r="BB193">
        <v>0</v>
      </c>
      <c r="BC193">
        <v>0</v>
      </c>
      <c r="BD193">
        <v>0</v>
      </c>
      <c r="BE193">
        <v>0</v>
      </c>
      <c r="BF193" s="18">
        <v>1</v>
      </c>
      <c r="BG193">
        <v>0</v>
      </c>
      <c r="BH193">
        <v>0</v>
      </c>
      <c r="BI193" s="18">
        <v>1</v>
      </c>
      <c r="BJ193" t="s">
        <v>98</v>
      </c>
      <c r="BK193">
        <v>28</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51">D194-E194</f>
        <v>6.2385120094118536</v>
      </c>
      <c r="H194" s="16">
        <f t="shared" ref="H194:H257" si="52">D194+E194</f>
        <v>11.759319097386946</v>
      </c>
      <c r="I194" s="11">
        <f t="shared" si="39"/>
        <v>5.834814507735156E-2</v>
      </c>
      <c r="J194" s="33">
        <f t="shared" si="40"/>
        <v>1.7898204011457534E-2</v>
      </c>
      <c r="K194" s="33">
        <f t="shared" si="41"/>
        <v>55.871527632596546</v>
      </c>
      <c r="L194" s="8">
        <v>0</v>
      </c>
      <c r="M194" s="9">
        <v>1</v>
      </c>
      <c r="N194" s="8">
        <v>0</v>
      </c>
      <c r="O194" s="9">
        <v>0</v>
      </c>
      <c r="P194" s="9">
        <v>1</v>
      </c>
      <c r="Q194" s="9">
        <v>0</v>
      </c>
      <c r="R194" s="9">
        <v>0</v>
      </c>
      <c r="S194" s="8">
        <v>3124</v>
      </c>
      <c r="T194" s="9">
        <v>12</v>
      </c>
      <c r="U194" s="9">
        <f t="shared" ref="U194:U257" si="53">S194-T194-1</f>
        <v>3111</v>
      </c>
      <c r="V194" s="9">
        <f t="shared" ref="V194:V257" si="54">COUNTIF(B:B,B194)</f>
        <v>48</v>
      </c>
      <c r="W194" s="7">
        <v>9.8249999999999993</v>
      </c>
      <c r="X194" s="7">
        <f t="shared" si="47"/>
        <v>24.175000000000001</v>
      </c>
      <c r="Y194" s="9">
        <v>0</v>
      </c>
      <c r="Z194" s="9">
        <v>1</v>
      </c>
      <c r="AA194" s="9">
        <v>0</v>
      </c>
      <c r="AB194" s="9">
        <v>0</v>
      </c>
      <c r="AC194" s="9">
        <v>1</v>
      </c>
      <c r="AD194" s="9">
        <v>0</v>
      </c>
      <c r="AE194" s="8">
        <v>0</v>
      </c>
      <c r="AF194" s="9">
        <v>1</v>
      </c>
      <c r="AG194" s="30">
        <v>0</v>
      </c>
      <c r="AH194" s="9">
        <v>0</v>
      </c>
      <c r="AI194" s="30">
        <v>1</v>
      </c>
      <c r="AJ194" s="21">
        <v>1992</v>
      </c>
      <c r="AK194" s="33">
        <f t="shared" si="48"/>
        <v>0.26250000000000001</v>
      </c>
      <c r="AL194" s="33">
        <v>0.25</v>
      </c>
      <c r="AM194" s="33">
        <v>0.22500000000000001</v>
      </c>
      <c r="AN194" s="43">
        <f t="shared" si="49"/>
        <v>0.26250000000000001</v>
      </c>
      <c r="AO194" s="42">
        <v>0.67</v>
      </c>
      <c r="AP194" s="18">
        <v>0.33</v>
      </c>
      <c r="AQ194">
        <v>0</v>
      </c>
      <c r="AR194" s="40">
        <f t="shared" si="45"/>
        <v>1</v>
      </c>
      <c r="AS194">
        <v>0.38</v>
      </c>
      <c r="AT194" s="40">
        <v>0.62</v>
      </c>
      <c r="AU194">
        <v>0</v>
      </c>
      <c r="AV194" s="18">
        <v>1</v>
      </c>
      <c r="AW194">
        <f t="shared" si="50"/>
        <v>0.44099999999999995</v>
      </c>
      <c r="AX194" s="18">
        <v>0.55900000000000005</v>
      </c>
      <c r="AY194" s="18" t="s">
        <v>10</v>
      </c>
      <c r="AZ194">
        <v>0</v>
      </c>
      <c r="BA194">
        <v>0</v>
      </c>
      <c r="BB194">
        <v>0</v>
      </c>
      <c r="BC194">
        <v>0</v>
      </c>
      <c r="BD194">
        <v>0</v>
      </c>
      <c r="BE194">
        <v>0</v>
      </c>
      <c r="BF194" s="18">
        <v>1</v>
      </c>
      <c r="BG194">
        <v>0</v>
      </c>
      <c r="BH194">
        <v>0</v>
      </c>
      <c r="BI194" s="18">
        <v>1</v>
      </c>
      <c r="BJ194" t="s">
        <v>98</v>
      </c>
      <c r="BK194">
        <v>28</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v>
      </c>
      <c r="E195" s="14">
        <v>0.8025636696018924</v>
      </c>
      <c r="F195" s="7">
        <v>3.88</v>
      </c>
      <c r="G195" s="7">
        <f t="shared" si="51"/>
        <v>2.3113833684534497</v>
      </c>
      <c r="H195" s="16">
        <f t="shared" si="52"/>
        <v>3.9165107076572343</v>
      </c>
      <c r="I195" s="11">
        <f t="shared" si="39"/>
        <v>6.9307217002947966E-2</v>
      </c>
      <c r="J195" s="33">
        <f t="shared" si="40"/>
        <v>1.7862684794574219E-2</v>
      </c>
      <c r="K195" s="33">
        <f t="shared" si="41"/>
        <v>55.982625876248427</v>
      </c>
      <c r="L195" s="8">
        <v>0</v>
      </c>
      <c r="M195" s="9">
        <v>1</v>
      </c>
      <c r="N195" s="8">
        <v>0</v>
      </c>
      <c r="O195" s="9">
        <v>0</v>
      </c>
      <c r="P195" s="9">
        <v>1</v>
      </c>
      <c r="Q195" s="9">
        <v>0</v>
      </c>
      <c r="R195" s="9">
        <v>0</v>
      </c>
      <c r="S195" s="8">
        <v>3132</v>
      </c>
      <c r="T195" s="9">
        <v>12</v>
      </c>
      <c r="U195" s="9">
        <f t="shared" si="53"/>
        <v>3119</v>
      </c>
      <c r="V195" s="9">
        <f t="shared" si="54"/>
        <v>48</v>
      </c>
      <c r="W195" s="7">
        <v>9.8249999999999993</v>
      </c>
      <c r="X195" s="7">
        <f t="shared" si="47"/>
        <v>24.175000000000001</v>
      </c>
      <c r="Y195" s="9">
        <v>0</v>
      </c>
      <c r="Z195" s="9">
        <v>1</v>
      </c>
      <c r="AA195" s="9">
        <v>0</v>
      </c>
      <c r="AB195" s="9">
        <v>0</v>
      </c>
      <c r="AC195" s="9">
        <v>1</v>
      </c>
      <c r="AD195" s="9">
        <v>0</v>
      </c>
      <c r="AE195" s="8">
        <v>0</v>
      </c>
      <c r="AF195" s="9">
        <v>1</v>
      </c>
      <c r="AG195" s="30">
        <v>0</v>
      </c>
      <c r="AH195" s="9">
        <v>0</v>
      </c>
      <c r="AI195" s="30">
        <v>1</v>
      </c>
      <c r="AJ195" s="21">
        <v>1992</v>
      </c>
      <c r="AK195" s="33">
        <f t="shared" si="48"/>
        <v>0.26250000000000001</v>
      </c>
      <c r="AL195" s="33">
        <v>0.25</v>
      </c>
      <c r="AM195" s="33">
        <v>0.22500000000000001</v>
      </c>
      <c r="AN195" s="43">
        <f t="shared" si="49"/>
        <v>0.26250000000000001</v>
      </c>
      <c r="AO195" s="42">
        <v>0.67</v>
      </c>
      <c r="AP195" s="18">
        <v>0.33</v>
      </c>
      <c r="AQ195">
        <v>0</v>
      </c>
      <c r="AR195" s="40">
        <f t="shared" si="45"/>
        <v>1</v>
      </c>
      <c r="AS195">
        <v>0.38</v>
      </c>
      <c r="AT195" s="40">
        <v>0.62</v>
      </c>
      <c r="AU195">
        <v>0</v>
      </c>
      <c r="AV195" s="18">
        <v>1</v>
      </c>
      <c r="AW195">
        <f t="shared" si="50"/>
        <v>0.44099999999999995</v>
      </c>
      <c r="AX195" s="18">
        <v>0.55900000000000005</v>
      </c>
      <c r="AY195" s="18" t="s">
        <v>10</v>
      </c>
      <c r="AZ195">
        <v>0</v>
      </c>
      <c r="BA195">
        <v>0</v>
      </c>
      <c r="BB195">
        <v>0</v>
      </c>
      <c r="BC195">
        <v>0</v>
      </c>
      <c r="BD195">
        <v>0</v>
      </c>
      <c r="BE195">
        <v>0</v>
      </c>
      <c r="BF195" s="18">
        <v>1</v>
      </c>
      <c r="BG195">
        <v>0</v>
      </c>
      <c r="BH195">
        <v>0</v>
      </c>
      <c r="BI195" s="18">
        <v>1</v>
      </c>
      <c r="BJ195" t="s">
        <v>98</v>
      </c>
      <c r="BK195">
        <v>28</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3.4204697615358488</v>
      </c>
      <c r="E196" s="14">
        <v>0.5516886712154595</v>
      </c>
      <c r="F196" s="7">
        <v>6.2</v>
      </c>
      <c r="G196" s="7">
        <f t="shared" si="51"/>
        <v>2.8687810903203892</v>
      </c>
      <c r="H196" s="16">
        <f t="shared" si="52"/>
        <v>3.9721584327513084</v>
      </c>
      <c r="I196" s="11">
        <f t="shared" si="39"/>
        <v>0.11033775320857062</v>
      </c>
      <c r="J196" s="33">
        <f t="shared" si="40"/>
        <v>1.7796411807833971E-2</v>
      </c>
      <c r="K196" s="33">
        <f t="shared" si="41"/>
        <v>56.191102498527286</v>
      </c>
      <c r="L196" s="8">
        <v>0</v>
      </c>
      <c r="M196" s="9">
        <v>1</v>
      </c>
      <c r="N196" s="8">
        <v>0</v>
      </c>
      <c r="O196" s="9">
        <v>0</v>
      </c>
      <c r="P196" s="9">
        <v>1</v>
      </c>
      <c r="Q196" s="9">
        <v>0</v>
      </c>
      <c r="R196" s="9">
        <v>0</v>
      </c>
      <c r="S196" s="8">
        <v>3132</v>
      </c>
      <c r="T196" s="9">
        <v>12</v>
      </c>
      <c r="U196" s="9">
        <f t="shared" si="53"/>
        <v>3119</v>
      </c>
      <c r="V196" s="9">
        <f t="shared" si="54"/>
        <v>48</v>
      </c>
      <c r="W196" s="7">
        <v>9.8249999999999993</v>
      </c>
      <c r="X196" s="7">
        <f t="shared" si="47"/>
        <v>24.175000000000001</v>
      </c>
      <c r="Y196" s="9">
        <v>0</v>
      </c>
      <c r="Z196" s="9">
        <v>1</v>
      </c>
      <c r="AA196" s="9">
        <v>0</v>
      </c>
      <c r="AB196" s="9">
        <v>0</v>
      </c>
      <c r="AC196" s="9">
        <v>1</v>
      </c>
      <c r="AD196" s="9">
        <v>0</v>
      </c>
      <c r="AE196" s="8">
        <v>0</v>
      </c>
      <c r="AF196" s="9">
        <v>1</v>
      </c>
      <c r="AG196" s="30">
        <v>0</v>
      </c>
      <c r="AH196" s="9">
        <v>0</v>
      </c>
      <c r="AI196" s="30">
        <v>1</v>
      </c>
      <c r="AJ196" s="21">
        <v>1992</v>
      </c>
      <c r="AK196" s="33">
        <f t="shared" si="48"/>
        <v>0.26250000000000001</v>
      </c>
      <c r="AL196" s="33">
        <v>0.25</v>
      </c>
      <c r="AM196" s="33">
        <v>0.22500000000000001</v>
      </c>
      <c r="AN196" s="43">
        <f t="shared" si="49"/>
        <v>0.26250000000000001</v>
      </c>
      <c r="AO196" s="42">
        <v>0.67</v>
      </c>
      <c r="AP196" s="18">
        <v>0.33</v>
      </c>
      <c r="AQ196">
        <v>0</v>
      </c>
      <c r="AR196" s="40">
        <f t="shared" si="45"/>
        <v>1</v>
      </c>
      <c r="AS196">
        <v>0.38</v>
      </c>
      <c r="AT196" s="40">
        <v>0.62</v>
      </c>
      <c r="AU196">
        <v>0</v>
      </c>
      <c r="AV196" s="18">
        <v>1</v>
      </c>
      <c r="AW196">
        <f t="shared" si="50"/>
        <v>0.44099999999999995</v>
      </c>
      <c r="AX196" s="18">
        <v>0.55900000000000005</v>
      </c>
      <c r="AY196" s="18" t="s">
        <v>10</v>
      </c>
      <c r="AZ196">
        <v>0</v>
      </c>
      <c r="BA196">
        <v>0</v>
      </c>
      <c r="BB196">
        <v>0</v>
      </c>
      <c r="BC196">
        <v>0</v>
      </c>
      <c r="BD196">
        <v>0</v>
      </c>
      <c r="BE196">
        <v>0</v>
      </c>
      <c r="BF196" s="18">
        <v>1</v>
      </c>
      <c r="BG196">
        <v>0</v>
      </c>
      <c r="BH196">
        <v>0</v>
      </c>
      <c r="BI196" s="18">
        <v>1</v>
      </c>
      <c r="BJ196" t="s">
        <v>98</v>
      </c>
      <c r="BK196">
        <v>28</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51"/>
        <v>5.0482955414909414</v>
      </c>
      <c r="H197" s="16">
        <f t="shared" si="52"/>
        <v>7.2289847602775259</v>
      </c>
      <c r="I197" s="11">
        <f t="shared" si="39"/>
        <v>0.10030095821492577</v>
      </c>
      <c r="J197" s="33">
        <f t="shared" si="40"/>
        <v>1.7815445508867808E-2</v>
      </c>
      <c r="K197" s="33">
        <f t="shared" si="41"/>
        <v>56.131068936908733</v>
      </c>
      <c r="L197" s="8">
        <v>0</v>
      </c>
      <c r="M197" s="9">
        <v>1</v>
      </c>
      <c r="N197" s="8">
        <v>0</v>
      </c>
      <c r="O197" s="9">
        <v>0</v>
      </c>
      <c r="P197" s="9">
        <v>1</v>
      </c>
      <c r="Q197" s="9">
        <v>0</v>
      </c>
      <c r="R197" s="9">
        <v>0</v>
      </c>
      <c r="S197" s="8">
        <v>3132</v>
      </c>
      <c r="T197" s="9">
        <v>12</v>
      </c>
      <c r="U197" s="9">
        <f t="shared" si="53"/>
        <v>3119</v>
      </c>
      <c r="V197" s="9">
        <f t="shared" si="54"/>
        <v>48</v>
      </c>
      <c r="W197" s="7">
        <v>9.8249999999999993</v>
      </c>
      <c r="X197" s="7">
        <f t="shared" si="47"/>
        <v>24.175000000000001</v>
      </c>
      <c r="Y197" s="9">
        <v>0</v>
      </c>
      <c r="Z197" s="9">
        <v>1</v>
      </c>
      <c r="AA197" s="9">
        <v>0</v>
      </c>
      <c r="AB197" s="9">
        <v>0</v>
      </c>
      <c r="AC197" s="9">
        <v>1</v>
      </c>
      <c r="AD197" s="9">
        <v>0</v>
      </c>
      <c r="AE197" s="8">
        <v>0</v>
      </c>
      <c r="AF197" s="9">
        <v>1</v>
      </c>
      <c r="AG197" s="30">
        <v>0</v>
      </c>
      <c r="AH197" s="9">
        <v>0</v>
      </c>
      <c r="AI197" s="30">
        <v>1</v>
      </c>
      <c r="AJ197" s="21">
        <v>1992</v>
      </c>
      <c r="AK197" s="33">
        <f t="shared" si="48"/>
        <v>0.26250000000000001</v>
      </c>
      <c r="AL197" s="33">
        <v>0.25</v>
      </c>
      <c r="AM197" s="33">
        <v>0.22500000000000001</v>
      </c>
      <c r="AN197" s="43">
        <f t="shared" si="49"/>
        <v>0.26250000000000001</v>
      </c>
      <c r="AO197" s="42">
        <v>0.67</v>
      </c>
      <c r="AP197" s="18">
        <v>0.33</v>
      </c>
      <c r="AQ197">
        <v>0</v>
      </c>
      <c r="AR197" s="40">
        <f t="shared" si="45"/>
        <v>1</v>
      </c>
      <c r="AS197">
        <v>0.38</v>
      </c>
      <c r="AT197" s="40">
        <v>0.62</v>
      </c>
      <c r="AU197">
        <v>0</v>
      </c>
      <c r="AV197" s="18">
        <v>1</v>
      </c>
      <c r="AW197">
        <f t="shared" si="50"/>
        <v>0.44099999999999995</v>
      </c>
      <c r="AX197" s="18">
        <v>0.55900000000000005</v>
      </c>
      <c r="AY197" s="18" t="s">
        <v>10</v>
      </c>
      <c r="AZ197">
        <v>0</v>
      </c>
      <c r="BA197">
        <v>0</v>
      </c>
      <c r="BB197">
        <v>0</v>
      </c>
      <c r="BC197">
        <v>0</v>
      </c>
      <c r="BD197">
        <v>0</v>
      </c>
      <c r="BE197">
        <v>0</v>
      </c>
      <c r="BF197" s="18">
        <v>1</v>
      </c>
      <c r="BG197">
        <v>0</v>
      </c>
      <c r="BH197">
        <v>0</v>
      </c>
      <c r="BI197" s="18">
        <v>1</v>
      </c>
      <c r="BJ197" t="s">
        <v>98</v>
      </c>
      <c r="BK197">
        <v>28</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2.7578617547034132</v>
      </c>
      <c r="F198" s="7">
        <v>3.31</v>
      </c>
      <c r="G198" s="7">
        <f t="shared" si="51"/>
        <v>6.3706606533648831</v>
      </c>
      <c r="H198" s="16">
        <f t="shared" si="52"/>
        <v>11.886384162771709</v>
      </c>
      <c r="I198" s="11">
        <f t="shared" si="39"/>
        <v>5.9164182853938298E-2</v>
      </c>
      <c r="J198" s="33">
        <f t="shared" si="40"/>
        <v>1.7874375484573501E-2</v>
      </c>
      <c r="K198" s="33">
        <f t="shared" si="41"/>
        <v>55.946010581631292</v>
      </c>
      <c r="L198" s="8">
        <v>0</v>
      </c>
      <c r="M198" s="9">
        <v>1</v>
      </c>
      <c r="N198" s="8">
        <v>0</v>
      </c>
      <c r="O198" s="9">
        <v>0</v>
      </c>
      <c r="P198" s="9">
        <v>1</v>
      </c>
      <c r="Q198" s="9">
        <v>0</v>
      </c>
      <c r="R198" s="9">
        <v>0</v>
      </c>
      <c r="S198" s="8">
        <v>3132</v>
      </c>
      <c r="T198" s="9">
        <v>12</v>
      </c>
      <c r="U198" s="9">
        <f t="shared" si="53"/>
        <v>3119</v>
      </c>
      <c r="V198" s="9">
        <f t="shared" si="54"/>
        <v>48</v>
      </c>
      <c r="W198" s="7">
        <v>9.8249999999999993</v>
      </c>
      <c r="X198" s="7">
        <f t="shared" si="47"/>
        <v>24.175000000000001</v>
      </c>
      <c r="Y198" s="9">
        <v>0</v>
      </c>
      <c r="Z198" s="9">
        <v>1</v>
      </c>
      <c r="AA198" s="9">
        <v>0</v>
      </c>
      <c r="AB198" s="9">
        <v>0</v>
      </c>
      <c r="AC198" s="9">
        <v>1</v>
      </c>
      <c r="AD198" s="9">
        <v>0</v>
      </c>
      <c r="AE198" s="8">
        <v>0</v>
      </c>
      <c r="AF198" s="9">
        <v>1</v>
      </c>
      <c r="AG198" s="30">
        <v>0</v>
      </c>
      <c r="AH198" s="9">
        <v>0</v>
      </c>
      <c r="AI198" s="30">
        <v>1</v>
      </c>
      <c r="AJ198" s="21">
        <v>1992</v>
      </c>
      <c r="AK198" s="33">
        <f t="shared" si="48"/>
        <v>0.26250000000000001</v>
      </c>
      <c r="AL198" s="33">
        <v>0.25</v>
      </c>
      <c r="AM198" s="33">
        <v>0.22500000000000001</v>
      </c>
      <c r="AN198" s="43">
        <f t="shared" si="49"/>
        <v>0.26250000000000001</v>
      </c>
      <c r="AO198" s="42">
        <v>0.67</v>
      </c>
      <c r="AP198" s="18">
        <v>0.33</v>
      </c>
      <c r="AQ198">
        <v>0</v>
      </c>
      <c r="AR198" s="40">
        <f t="shared" si="45"/>
        <v>1</v>
      </c>
      <c r="AS198">
        <v>0.38</v>
      </c>
      <c r="AT198" s="40">
        <v>0.62</v>
      </c>
      <c r="AU198">
        <v>0</v>
      </c>
      <c r="AV198" s="18">
        <v>1</v>
      </c>
      <c r="AW198">
        <f t="shared" si="50"/>
        <v>0.44099999999999995</v>
      </c>
      <c r="AX198" s="18">
        <v>0.55900000000000005</v>
      </c>
      <c r="AY198" s="18" t="s">
        <v>10</v>
      </c>
      <c r="AZ198">
        <v>0</v>
      </c>
      <c r="BA198">
        <v>0</v>
      </c>
      <c r="BB198">
        <v>0</v>
      </c>
      <c r="BC198">
        <v>0</v>
      </c>
      <c r="BD198">
        <v>0</v>
      </c>
      <c r="BE198">
        <v>0</v>
      </c>
      <c r="BF198" s="18">
        <v>1</v>
      </c>
      <c r="BG198">
        <v>0</v>
      </c>
      <c r="BH198">
        <v>0</v>
      </c>
      <c r="BI198" s="18">
        <v>1</v>
      </c>
      <c r="BJ198" t="s">
        <v>98</v>
      </c>
      <c r="BK198">
        <v>28</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51"/>
        <v>-0.54614415894559976</v>
      </c>
      <c r="H199" s="16">
        <f t="shared" si="52"/>
        <v>1.1088381408895511</v>
      </c>
      <c r="I199" s="11">
        <f t="shared" si="39"/>
        <v>5.9239242863641309E-3</v>
      </c>
      <c r="J199" s="33">
        <f t="shared" si="40"/>
        <v>1.7423306724600386E-2</v>
      </c>
      <c r="K199" s="33">
        <f t="shared" si="41"/>
        <v>57.394386485091026</v>
      </c>
      <c r="L199" s="8">
        <v>0</v>
      </c>
      <c r="M199" s="9">
        <v>1</v>
      </c>
      <c r="N199" s="8">
        <v>0</v>
      </c>
      <c r="O199" s="9">
        <v>0</v>
      </c>
      <c r="P199" s="9">
        <v>1</v>
      </c>
      <c r="Q199" s="9">
        <v>0</v>
      </c>
      <c r="R199" s="9">
        <v>0</v>
      </c>
      <c r="S199" s="8">
        <v>3307</v>
      </c>
      <c r="T199" s="9">
        <v>12</v>
      </c>
      <c r="U199" s="9">
        <f t="shared" si="53"/>
        <v>3294</v>
      </c>
      <c r="V199" s="9">
        <f t="shared" si="54"/>
        <v>48</v>
      </c>
      <c r="W199" s="7">
        <v>10.52</v>
      </c>
      <c r="X199" s="7">
        <f t="shared" si="47"/>
        <v>23.48</v>
      </c>
      <c r="Y199" s="9">
        <v>0</v>
      </c>
      <c r="Z199" s="9">
        <v>1</v>
      </c>
      <c r="AA199" s="9">
        <v>0</v>
      </c>
      <c r="AB199" s="9">
        <v>0</v>
      </c>
      <c r="AC199" s="9">
        <v>1</v>
      </c>
      <c r="AD199" s="9">
        <v>0</v>
      </c>
      <c r="AE199" s="8">
        <v>0</v>
      </c>
      <c r="AF199" s="9">
        <v>1</v>
      </c>
      <c r="AG199" s="30">
        <v>0</v>
      </c>
      <c r="AH199" s="9">
        <v>0</v>
      </c>
      <c r="AI199" s="30">
        <v>1</v>
      </c>
      <c r="AJ199" s="21">
        <v>1992</v>
      </c>
      <c r="AK199" s="33">
        <f t="shared" si="48"/>
        <v>0.17</v>
      </c>
      <c r="AL199" s="33">
        <v>0.2</v>
      </c>
      <c r="AM199" s="33">
        <v>0.46</v>
      </c>
      <c r="AN199" s="43">
        <f t="shared" si="49"/>
        <v>0.17</v>
      </c>
      <c r="AO199" s="42">
        <v>0.67</v>
      </c>
      <c r="AP199" s="18">
        <v>0.33</v>
      </c>
      <c r="AQ199">
        <v>1</v>
      </c>
      <c r="AR199" s="40">
        <f t="shared" si="45"/>
        <v>0</v>
      </c>
      <c r="AS199">
        <v>0.31</v>
      </c>
      <c r="AT199" s="40">
        <v>0.69</v>
      </c>
      <c r="AU199">
        <v>0</v>
      </c>
      <c r="AV199" s="18">
        <v>1</v>
      </c>
      <c r="AW199">
        <f t="shared" si="50"/>
        <v>0.56800000000000006</v>
      </c>
      <c r="AX199" s="18">
        <v>0.432</v>
      </c>
      <c r="AY199" s="18" t="s">
        <v>10</v>
      </c>
      <c r="AZ199">
        <v>0</v>
      </c>
      <c r="BA199">
        <v>0</v>
      </c>
      <c r="BB199">
        <v>0</v>
      </c>
      <c r="BC199">
        <v>0</v>
      </c>
      <c r="BD199">
        <v>0</v>
      </c>
      <c r="BE199">
        <v>0</v>
      </c>
      <c r="BF199" s="18">
        <v>1</v>
      </c>
      <c r="BG199">
        <v>0</v>
      </c>
      <c r="BH199">
        <v>0</v>
      </c>
      <c r="BI199" s="18">
        <v>1</v>
      </c>
      <c r="BJ199" t="s">
        <v>98</v>
      </c>
      <c r="BK199">
        <v>28</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51"/>
        <v>2.9798112990786594</v>
      </c>
      <c r="H200" s="16">
        <f t="shared" si="52"/>
        <v>5.0709069475549109</v>
      </c>
      <c r="I200" s="11">
        <f t="shared" ref="I200:I263" si="55">IFERROR(F200/SQRT(F200^2+U200), "X")</f>
        <v>6.6930488438157312E-2</v>
      </c>
      <c r="J200" s="33">
        <f t="shared" ref="J200:J263" si="56">IFERROR(SQRT((1-I200^2)/U200), "X")</f>
        <v>1.7384542451469431E-2</v>
      </c>
      <c r="K200" s="33">
        <f t="shared" ref="K200:K263" si="57">IFERROR(1/J200, "X")</f>
        <v>57.522365215627225</v>
      </c>
      <c r="L200" s="8">
        <v>0</v>
      </c>
      <c r="M200" s="9">
        <v>1</v>
      </c>
      <c r="N200" s="8">
        <v>0</v>
      </c>
      <c r="O200" s="9">
        <v>0</v>
      </c>
      <c r="P200" s="9">
        <v>1</v>
      </c>
      <c r="Q200" s="9">
        <v>0</v>
      </c>
      <c r="R200" s="9">
        <v>0</v>
      </c>
      <c r="S200" s="8">
        <v>3307</v>
      </c>
      <c r="T200" s="9">
        <v>12</v>
      </c>
      <c r="U200" s="9">
        <f t="shared" si="53"/>
        <v>3294</v>
      </c>
      <c r="V200" s="9">
        <f t="shared" si="54"/>
        <v>48</v>
      </c>
      <c r="W200" s="7">
        <v>10.52</v>
      </c>
      <c r="X200" s="7">
        <f t="shared" si="47"/>
        <v>23.48</v>
      </c>
      <c r="Y200" s="9">
        <v>0</v>
      </c>
      <c r="Z200" s="9">
        <v>1</v>
      </c>
      <c r="AA200" s="9">
        <v>0</v>
      </c>
      <c r="AB200" s="9">
        <v>0</v>
      </c>
      <c r="AC200" s="9">
        <v>1</v>
      </c>
      <c r="AD200" s="9">
        <v>0</v>
      </c>
      <c r="AE200" s="8">
        <v>0</v>
      </c>
      <c r="AF200" s="9">
        <v>1</v>
      </c>
      <c r="AG200" s="30">
        <v>0</v>
      </c>
      <c r="AH200" s="9">
        <v>0</v>
      </c>
      <c r="AI200" s="30">
        <v>1</v>
      </c>
      <c r="AJ200" s="21">
        <v>1992</v>
      </c>
      <c r="AK200" s="33">
        <f t="shared" si="48"/>
        <v>0.17</v>
      </c>
      <c r="AL200" s="33">
        <v>0.2</v>
      </c>
      <c r="AM200" s="33">
        <v>0.46</v>
      </c>
      <c r="AN200" s="43">
        <f t="shared" si="49"/>
        <v>0.17</v>
      </c>
      <c r="AO200" s="42">
        <v>0.67</v>
      </c>
      <c r="AP200" s="18">
        <v>0.33</v>
      </c>
      <c r="AQ200">
        <v>1</v>
      </c>
      <c r="AR200" s="40">
        <f t="shared" si="45"/>
        <v>0</v>
      </c>
      <c r="AS200">
        <v>0.31</v>
      </c>
      <c r="AT200" s="40">
        <v>0.69</v>
      </c>
      <c r="AU200">
        <v>0</v>
      </c>
      <c r="AV200" s="18">
        <v>1</v>
      </c>
      <c r="AW200">
        <f t="shared" si="50"/>
        <v>0.56800000000000006</v>
      </c>
      <c r="AX200" s="18">
        <v>0.432</v>
      </c>
      <c r="AY200" s="18" t="s">
        <v>10</v>
      </c>
      <c r="AZ200">
        <v>0</v>
      </c>
      <c r="BA200">
        <v>0</v>
      </c>
      <c r="BB200">
        <v>0</v>
      </c>
      <c r="BC200">
        <v>0</v>
      </c>
      <c r="BD200">
        <v>0</v>
      </c>
      <c r="BE200">
        <v>0</v>
      </c>
      <c r="BF200" s="18">
        <v>1</v>
      </c>
      <c r="BG200">
        <v>0</v>
      </c>
      <c r="BH200">
        <v>0</v>
      </c>
      <c r="BI200" s="18">
        <v>1</v>
      </c>
      <c r="BJ200" t="s">
        <v>98</v>
      </c>
      <c r="BK200">
        <v>28</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1.0086312367404009</v>
      </c>
      <c r="F201" s="7">
        <v>6.52</v>
      </c>
      <c r="G201" s="7">
        <f t="shared" si="51"/>
        <v>5.5676444268070142</v>
      </c>
      <c r="H201" s="16">
        <f t="shared" si="52"/>
        <v>7.584906900287816</v>
      </c>
      <c r="I201" s="11">
        <f t="shared" si="55"/>
        <v>0.1128759333102024</v>
      </c>
      <c r="J201" s="33">
        <f t="shared" si="56"/>
        <v>1.7312259710153745E-2</v>
      </c>
      <c r="K201" s="33">
        <f t="shared" si="57"/>
        <v>57.762534570428954</v>
      </c>
      <c r="L201" s="8">
        <v>0</v>
      </c>
      <c r="M201" s="9">
        <v>1</v>
      </c>
      <c r="N201" s="8">
        <v>0</v>
      </c>
      <c r="O201" s="9">
        <v>0</v>
      </c>
      <c r="P201" s="9">
        <v>1</v>
      </c>
      <c r="Q201" s="9">
        <v>0</v>
      </c>
      <c r="R201" s="9">
        <v>0</v>
      </c>
      <c r="S201" s="8">
        <v>3307</v>
      </c>
      <c r="T201" s="9">
        <v>12</v>
      </c>
      <c r="U201" s="9">
        <f t="shared" si="53"/>
        <v>3294</v>
      </c>
      <c r="V201" s="9">
        <f t="shared" si="54"/>
        <v>48</v>
      </c>
      <c r="W201" s="7">
        <v>10.52</v>
      </c>
      <c r="X201" s="7">
        <f t="shared" si="47"/>
        <v>23.48</v>
      </c>
      <c r="Y201" s="9">
        <v>0</v>
      </c>
      <c r="Z201" s="9">
        <v>1</v>
      </c>
      <c r="AA201" s="9">
        <v>0</v>
      </c>
      <c r="AB201" s="9">
        <v>0</v>
      </c>
      <c r="AC201" s="9">
        <v>1</v>
      </c>
      <c r="AD201" s="9">
        <v>0</v>
      </c>
      <c r="AE201" s="8">
        <v>0</v>
      </c>
      <c r="AF201" s="9">
        <v>1</v>
      </c>
      <c r="AG201" s="30">
        <v>0</v>
      </c>
      <c r="AH201" s="9">
        <v>0</v>
      </c>
      <c r="AI201" s="30">
        <v>1</v>
      </c>
      <c r="AJ201" s="21">
        <v>1992</v>
      </c>
      <c r="AK201" s="33">
        <f t="shared" si="48"/>
        <v>0.17</v>
      </c>
      <c r="AL201" s="33">
        <v>0.2</v>
      </c>
      <c r="AM201" s="33">
        <v>0.46</v>
      </c>
      <c r="AN201" s="43">
        <f t="shared" si="49"/>
        <v>0.17</v>
      </c>
      <c r="AO201" s="42">
        <v>0.67</v>
      </c>
      <c r="AP201" s="18">
        <v>0.33</v>
      </c>
      <c r="AQ201">
        <v>1</v>
      </c>
      <c r="AR201" s="40">
        <f t="shared" si="45"/>
        <v>0</v>
      </c>
      <c r="AS201">
        <v>0.31</v>
      </c>
      <c r="AT201" s="40">
        <v>0.69</v>
      </c>
      <c r="AU201">
        <v>0</v>
      </c>
      <c r="AV201" s="18">
        <v>1</v>
      </c>
      <c r="AW201">
        <f t="shared" si="50"/>
        <v>0.56800000000000006</v>
      </c>
      <c r="AX201" s="18">
        <v>0.432</v>
      </c>
      <c r="AY201" s="18" t="s">
        <v>10</v>
      </c>
      <c r="AZ201">
        <v>0</v>
      </c>
      <c r="BA201">
        <v>0</v>
      </c>
      <c r="BB201">
        <v>0</v>
      </c>
      <c r="BC201">
        <v>0</v>
      </c>
      <c r="BD201">
        <v>0</v>
      </c>
      <c r="BE201">
        <v>0</v>
      </c>
      <c r="BF201" s="18">
        <v>1</v>
      </c>
      <c r="BG201">
        <v>0</v>
      </c>
      <c r="BH201">
        <v>0</v>
      </c>
      <c r="BI201" s="18">
        <v>1</v>
      </c>
      <c r="BJ201" t="s">
        <v>98</v>
      </c>
      <c r="BK201">
        <v>28</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1.736666916279896</v>
      </c>
      <c r="F202" s="7">
        <v>5.95</v>
      </c>
      <c r="G202" s="7">
        <f t="shared" si="51"/>
        <v>8.5965012355854835</v>
      </c>
      <c r="H202" s="16">
        <f t="shared" si="52"/>
        <v>12.069835068145276</v>
      </c>
      <c r="I202" s="11">
        <f t="shared" si="55"/>
        <v>0.10311784184327458</v>
      </c>
      <c r="J202" s="33">
        <f t="shared" si="56"/>
        <v>1.7330729721558753E-2</v>
      </c>
      <c r="K202" s="33">
        <f t="shared" si="57"/>
        <v>57.700974861782015</v>
      </c>
      <c r="L202" s="8">
        <v>0</v>
      </c>
      <c r="M202" s="9">
        <v>1</v>
      </c>
      <c r="N202" s="8">
        <v>0</v>
      </c>
      <c r="O202" s="9">
        <v>0</v>
      </c>
      <c r="P202" s="9">
        <v>1</v>
      </c>
      <c r="Q202" s="9">
        <v>0</v>
      </c>
      <c r="R202" s="9">
        <v>0</v>
      </c>
      <c r="S202" s="8">
        <v>3307</v>
      </c>
      <c r="T202" s="9">
        <v>12</v>
      </c>
      <c r="U202" s="9">
        <f t="shared" si="53"/>
        <v>3294</v>
      </c>
      <c r="V202" s="9">
        <f t="shared" si="54"/>
        <v>48</v>
      </c>
      <c r="W202" s="7">
        <v>10.52</v>
      </c>
      <c r="X202" s="7">
        <f t="shared" si="47"/>
        <v>23.48</v>
      </c>
      <c r="Y202" s="9">
        <v>0</v>
      </c>
      <c r="Z202" s="9">
        <v>1</v>
      </c>
      <c r="AA202" s="9">
        <v>0</v>
      </c>
      <c r="AB202" s="9">
        <v>0</v>
      </c>
      <c r="AC202" s="9">
        <v>1</v>
      </c>
      <c r="AD202" s="9">
        <v>0</v>
      </c>
      <c r="AE202" s="8">
        <v>0</v>
      </c>
      <c r="AF202" s="9">
        <v>1</v>
      </c>
      <c r="AG202" s="30">
        <v>0</v>
      </c>
      <c r="AH202" s="9">
        <v>0</v>
      </c>
      <c r="AI202" s="30">
        <v>1</v>
      </c>
      <c r="AJ202" s="21">
        <v>1992</v>
      </c>
      <c r="AK202" s="33">
        <f t="shared" si="48"/>
        <v>0.17</v>
      </c>
      <c r="AL202" s="33">
        <v>0.2</v>
      </c>
      <c r="AM202" s="33">
        <v>0.46</v>
      </c>
      <c r="AN202" s="43">
        <f t="shared" si="49"/>
        <v>0.17</v>
      </c>
      <c r="AO202" s="42">
        <v>0.67</v>
      </c>
      <c r="AP202" s="18">
        <v>0.33</v>
      </c>
      <c r="AQ202">
        <v>1</v>
      </c>
      <c r="AR202" s="40">
        <f t="shared" si="45"/>
        <v>0</v>
      </c>
      <c r="AS202">
        <v>0.31</v>
      </c>
      <c r="AT202" s="40">
        <v>0.69</v>
      </c>
      <c r="AU202">
        <v>0</v>
      </c>
      <c r="AV202" s="18">
        <v>1</v>
      </c>
      <c r="AW202">
        <f t="shared" si="50"/>
        <v>0.56800000000000006</v>
      </c>
      <c r="AX202" s="18">
        <v>0.432</v>
      </c>
      <c r="AY202" s="18" t="s">
        <v>10</v>
      </c>
      <c r="AZ202">
        <v>0</v>
      </c>
      <c r="BA202">
        <v>0</v>
      </c>
      <c r="BB202">
        <v>0</v>
      </c>
      <c r="BC202">
        <v>0</v>
      </c>
      <c r="BD202">
        <v>0</v>
      </c>
      <c r="BE202">
        <v>0</v>
      </c>
      <c r="BF202" s="18">
        <v>1</v>
      </c>
      <c r="BG202">
        <v>0</v>
      </c>
      <c r="BH202">
        <v>0</v>
      </c>
      <c r="BI202" s="18">
        <v>1</v>
      </c>
      <c r="BJ202" t="s">
        <v>98</v>
      </c>
      <c r="BK202">
        <v>28</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51"/>
        <v>-0.4640906480425292</v>
      </c>
      <c r="H203" s="16">
        <f t="shared" si="52"/>
        <v>1.2235117084757587</v>
      </c>
      <c r="I203" s="11">
        <f t="shared" si="55"/>
        <v>7.8296962571316932E-3</v>
      </c>
      <c r="J203" s="33">
        <f t="shared" si="56"/>
        <v>1.7399325015848205E-2</v>
      </c>
      <c r="K203" s="33">
        <f t="shared" si="57"/>
        <v>57.473493890662326</v>
      </c>
      <c r="L203" s="8">
        <v>0</v>
      </c>
      <c r="M203" s="9">
        <v>1</v>
      </c>
      <c r="N203" s="8">
        <v>0</v>
      </c>
      <c r="O203" s="9">
        <v>0</v>
      </c>
      <c r="P203" s="9">
        <v>1</v>
      </c>
      <c r="Q203" s="9">
        <v>0</v>
      </c>
      <c r="R203" s="9">
        <v>0</v>
      </c>
      <c r="S203" s="8">
        <v>3316</v>
      </c>
      <c r="T203" s="9">
        <v>12</v>
      </c>
      <c r="U203" s="9">
        <f t="shared" si="53"/>
        <v>3303</v>
      </c>
      <c r="V203" s="9">
        <f t="shared" si="54"/>
        <v>48</v>
      </c>
      <c r="W203" s="7">
        <v>10.52</v>
      </c>
      <c r="X203" s="7">
        <f t="shared" si="47"/>
        <v>23.48</v>
      </c>
      <c r="Y203" s="9">
        <v>0</v>
      </c>
      <c r="Z203" s="9">
        <v>1</v>
      </c>
      <c r="AA203" s="9">
        <v>0</v>
      </c>
      <c r="AB203" s="9">
        <v>0</v>
      </c>
      <c r="AC203" s="9">
        <v>1</v>
      </c>
      <c r="AD203" s="9">
        <v>0</v>
      </c>
      <c r="AE203" s="8">
        <v>0</v>
      </c>
      <c r="AF203" s="9">
        <v>1</v>
      </c>
      <c r="AG203" s="30">
        <v>0</v>
      </c>
      <c r="AH203" s="9">
        <v>0</v>
      </c>
      <c r="AI203" s="30">
        <v>1</v>
      </c>
      <c r="AJ203" s="21">
        <v>1992</v>
      </c>
      <c r="AK203" s="33">
        <f t="shared" si="48"/>
        <v>0.17</v>
      </c>
      <c r="AL203" s="33">
        <v>0.2</v>
      </c>
      <c r="AM203" s="33">
        <v>0.46</v>
      </c>
      <c r="AN203" s="43">
        <f t="shared" si="49"/>
        <v>0.17</v>
      </c>
      <c r="AO203" s="42">
        <v>0.67</v>
      </c>
      <c r="AP203" s="18">
        <v>0.33</v>
      </c>
      <c r="AQ203">
        <v>1</v>
      </c>
      <c r="AR203" s="40">
        <f t="shared" si="45"/>
        <v>0</v>
      </c>
      <c r="AS203">
        <v>0.31</v>
      </c>
      <c r="AT203" s="40">
        <v>0.69</v>
      </c>
      <c r="AU203">
        <v>0</v>
      </c>
      <c r="AV203" s="18">
        <v>1</v>
      </c>
      <c r="AW203">
        <f t="shared" si="50"/>
        <v>0.56800000000000006</v>
      </c>
      <c r="AX203" s="18">
        <v>0.432</v>
      </c>
      <c r="AY203" s="18" t="s">
        <v>10</v>
      </c>
      <c r="AZ203">
        <v>0</v>
      </c>
      <c r="BA203">
        <v>0</v>
      </c>
      <c r="BB203">
        <v>0</v>
      </c>
      <c r="BC203">
        <v>0</v>
      </c>
      <c r="BD203">
        <v>0</v>
      </c>
      <c r="BE203">
        <v>0</v>
      </c>
      <c r="BF203" s="18">
        <v>1</v>
      </c>
      <c r="BG203">
        <v>0</v>
      </c>
      <c r="BH203">
        <v>0</v>
      </c>
      <c r="BI203" s="18">
        <v>1</v>
      </c>
      <c r="BJ203" t="s">
        <v>98</v>
      </c>
      <c r="BK203">
        <v>28</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1.00078583715304</v>
      </c>
      <c r="F204" s="7">
        <v>4</v>
      </c>
      <c r="G204" s="7">
        <f t="shared" si="51"/>
        <v>3.0023575114591194</v>
      </c>
      <c r="H204" s="16">
        <f t="shared" si="52"/>
        <v>5.0039291857651991</v>
      </c>
      <c r="I204" s="11">
        <f t="shared" si="55"/>
        <v>6.9431470784376378E-2</v>
      </c>
      <c r="J204" s="33">
        <f t="shared" si="56"/>
        <v>1.7357867696094095E-2</v>
      </c>
      <c r="K204" s="33">
        <f t="shared" si="57"/>
        <v>57.610762883336307</v>
      </c>
      <c r="L204" s="8">
        <v>0</v>
      </c>
      <c r="M204" s="9">
        <v>1</v>
      </c>
      <c r="N204" s="8">
        <v>0</v>
      </c>
      <c r="O204" s="9">
        <v>0</v>
      </c>
      <c r="P204" s="9">
        <v>1</v>
      </c>
      <c r="Q204" s="9">
        <v>0</v>
      </c>
      <c r="R204" s="9">
        <v>0</v>
      </c>
      <c r="S204" s="8">
        <v>3316</v>
      </c>
      <c r="T204" s="9">
        <v>12</v>
      </c>
      <c r="U204" s="9">
        <f t="shared" si="53"/>
        <v>3303</v>
      </c>
      <c r="V204" s="9">
        <f t="shared" si="54"/>
        <v>48</v>
      </c>
      <c r="W204" s="7">
        <v>10.52</v>
      </c>
      <c r="X204" s="7">
        <f t="shared" si="47"/>
        <v>23.48</v>
      </c>
      <c r="Y204" s="9">
        <v>0</v>
      </c>
      <c r="Z204" s="9">
        <v>1</v>
      </c>
      <c r="AA204" s="9">
        <v>0</v>
      </c>
      <c r="AB204" s="9">
        <v>0</v>
      </c>
      <c r="AC204" s="9">
        <v>1</v>
      </c>
      <c r="AD204" s="9">
        <v>0</v>
      </c>
      <c r="AE204" s="8">
        <v>0</v>
      </c>
      <c r="AF204" s="9">
        <v>1</v>
      </c>
      <c r="AG204" s="30">
        <v>0</v>
      </c>
      <c r="AH204" s="9">
        <v>0</v>
      </c>
      <c r="AI204" s="30">
        <v>1</v>
      </c>
      <c r="AJ204" s="21">
        <v>1992</v>
      </c>
      <c r="AK204" s="33">
        <f t="shared" si="48"/>
        <v>0.17</v>
      </c>
      <c r="AL204" s="33">
        <v>0.2</v>
      </c>
      <c r="AM204" s="33">
        <v>0.46</v>
      </c>
      <c r="AN204" s="43">
        <f t="shared" si="49"/>
        <v>0.17</v>
      </c>
      <c r="AO204" s="42">
        <v>0.67</v>
      </c>
      <c r="AP204" s="18">
        <v>0.33</v>
      </c>
      <c r="AQ204">
        <v>1</v>
      </c>
      <c r="AR204" s="40">
        <f t="shared" si="45"/>
        <v>0</v>
      </c>
      <c r="AS204">
        <v>0.31</v>
      </c>
      <c r="AT204" s="40">
        <v>0.69</v>
      </c>
      <c r="AU204">
        <v>0</v>
      </c>
      <c r="AV204" s="18">
        <v>1</v>
      </c>
      <c r="AW204">
        <f t="shared" si="50"/>
        <v>0.56800000000000006</v>
      </c>
      <c r="AX204" s="18">
        <v>0.432</v>
      </c>
      <c r="AY204" s="18" t="s">
        <v>10</v>
      </c>
      <c r="AZ204">
        <v>0</v>
      </c>
      <c r="BA204">
        <v>0</v>
      </c>
      <c r="BB204">
        <v>0</v>
      </c>
      <c r="BC204">
        <v>0</v>
      </c>
      <c r="BD204">
        <v>0</v>
      </c>
      <c r="BE204">
        <v>0</v>
      </c>
      <c r="BF204" s="18">
        <v>1</v>
      </c>
      <c r="BG204">
        <v>0</v>
      </c>
      <c r="BH204">
        <v>0</v>
      </c>
      <c r="BI204" s="18">
        <v>1</v>
      </c>
      <c r="BJ204" t="s">
        <v>98</v>
      </c>
      <c r="BK204">
        <v>28</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51"/>
        <v>5.4567271448944057</v>
      </c>
      <c r="H205" s="16">
        <f t="shared" si="52"/>
        <v>7.4160546655028101</v>
      </c>
      <c r="I205" s="11">
        <f t="shared" si="55"/>
        <v>0.11357734174803634</v>
      </c>
      <c r="J205" s="33">
        <f t="shared" si="56"/>
        <v>1.7287266628316034E-2</v>
      </c>
      <c r="K205" s="33">
        <f t="shared" si="57"/>
        <v>57.846044808612454</v>
      </c>
      <c r="L205" s="8">
        <v>0</v>
      </c>
      <c r="M205" s="9">
        <v>1</v>
      </c>
      <c r="N205" s="8">
        <v>0</v>
      </c>
      <c r="O205" s="9">
        <v>0</v>
      </c>
      <c r="P205" s="9">
        <v>1</v>
      </c>
      <c r="Q205" s="9">
        <v>0</v>
      </c>
      <c r="R205" s="9">
        <v>0</v>
      </c>
      <c r="S205" s="8">
        <v>3316</v>
      </c>
      <c r="T205" s="9">
        <v>12</v>
      </c>
      <c r="U205" s="9">
        <f t="shared" si="53"/>
        <v>3303</v>
      </c>
      <c r="V205" s="9">
        <f t="shared" si="54"/>
        <v>48</v>
      </c>
      <c r="W205" s="7">
        <v>10.52</v>
      </c>
      <c r="X205" s="7">
        <f t="shared" si="47"/>
        <v>23.48</v>
      </c>
      <c r="Y205" s="9">
        <v>0</v>
      </c>
      <c r="Z205" s="9">
        <v>1</v>
      </c>
      <c r="AA205" s="9">
        <v>0</v>
      </c>
      <c r="AB205" s="9">
        <v>0</v>
      </c>
      <c r="AC205" s="9">
        <v>1</v>
      </c>
      <c r="AD205" s="9">
        <v>0</v>
      </c>
      <c r="AE205" s="8">
        <v>0</v>
      </c>
      <c r="AF205" s="9">
        <v>1</v>
      </c>
      <c r="AG205" s="30">
        <v>0</v>
      </c>
      <c r="AH205" s="9">
        <v>0</v>
      </c>
      <c r="AI205" s="30">
        <v>1</v>
      </c>
      <c r="AJ205" s="21">
        <v>1992</v>
      </c>
      <c r="AK205" s="33">
        <f t="shared" si="48"/>
        <v>0.17</v>
      </c>
      <c r="AL205" s="33">
        <v>0.2</v>
      </c>
      <c r="AM205" s="33">
        <v>0.46</v>
      </c>
      <c r="AN205" s="43">
        <f t="shared" si="49"/>
        <v>0.17</v>
      </c>
      <c r="AO205" s="42">
        <v>0.67</v>
      </c>
      <c r="AP205" s="18">
        <v>0.33</v>
      </c>
      <c r="AQ205">
        <v>1</v>
      </c>
      <c r="AR205" s="40">
        <f t="shared" si="45"/>
        <v>0</v>
      </c>
      <c r="AS205">
        <v>0.31</v>
      </c>
      <c r="AT205" s="40">
        <v>0.69</v>
      </c>
      <c r="AU205">
        <v>0</v>
      </c>
      <c r="AV205" s="18">
        <v>1</v>
      </c>
      <c r="AW205">
        <f t="shared" si="50"/>
        <v>0.56800000000000006</v>
      </c>
      <c r="AX205" s="18">
        <v>0.432</v>
      </c>
      <c r="AY205" s="18" t="s">
        <v>10</v>
      </c>
      <c r="AZ205">
        <v>0</v>
      </c>
      <c r="BA205">
        <v>0</v>
      </c>
      <c r="BB205">
        <v>0</v>
      </c>
      <c r="BC205">
        <v>0</v>
      </c>
      <c r="BD205">
        <v>0</v>
      </c>
      <c r="BE205">
        <v>0</v>
      </c>
      <c r="BF205" s="18">
        <v>1</v>
      </c>
      <c r="BG205">
        <v>0</v>
      </c>
      <c r="BH205">
        <v>0</v>
      </c>
      <c r="BI205" s="18">
        <v>1</v>
      </c>
      <c r="BJ205" t="s">
        <v>98</v>
      </c>
      <c r="BK205">
        <v>28</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10.087159746540729</v>
      </c>
      <c r="E206" s="14">
        <v>1.7331889598867229</v>
      </c>
      <c r="F206" s="7">
        <v>5.82</v>
      </c>
      <c r="G206" s="7">
        <f t="shared" si="51"/>
        <v>8.3539707866540063</v>
      </c>
      <c r="H206" s="16">
        <f t="shared" si="52"/>
        <v>11.820348706427453</v>
      </c>
      <c r="I206" s="11">
        <f t="shared" si="55"/>
        <v>0.10075188604331468</v>
      </c>
      <c r="J206" s="33">
        <f t="shared" si="56"/>
        <v>1.7311320625999084E-2</v>
      </c>
      <c r="K206" s="33">
        <f t="shared" si="57"/>
        <v>57.765668004447072</v>
      </c>
      <c r="L206" s="8">
        <v>0</v>
      </c>
      <c r="M206" s="9">
        <v>1</v>
      </c>
      <c r="N206" s="8">
        <v>0</v>
      </c>
      <c r="O206" s="9">
        <v>0</v>
      </c>
      <c r="P206" s="9">
        <v>1</v>
      </c>
      <c r="Q206" s="9">
        <v>0</v>
      </c>
      <c r="R206" s="9">
        <v>0</v>
      </c>
      <c r="S206" s="8">
        <v>3316</v>
      </c>
      <c r="T206" s="9">
        <v>12</v>
      </c>
      <c r="U206" s="9">
        <f t="shared" si="53"/>
        <v>3303</v>
      </c>
      <c r="V206" s="9">
        <f t="shared" si="54"/>
        <v>48</v>
      </c>
      <c r="W206" s="7">
        <v>10.52</v>
      </c>
      <c r="X206" s="7">
        <f t="shared" si="47"/>
        <v>23.48</v>
      </c>
      <c r="Y206" s="9">
        <v>0</v>
      </c>
      <c r="Z206" s="9">
        <v>1</v>
      </c>
      <c r="AA206" s="9">
        <v>0</v>
      </c>
      <c r="AB206" s="9">
        <v>0</v>
      </c>
      <c r="AC206" s="9">
        <v>1</v>
      </c>
      <c r="AD206" s="9">
        <v>0</v>
      </c>
      <c r="AE206" s="8">
        <v>0</v>
      </c>
      <c r="AF206" s="9">
        <v>1</v>
      </c>
      <c r="AG206" s="30">
        <v>0</v>
      </c>
      <c r="AH206" s="9">
        <v>0</v>
      </c>
      <c r="AI206" s="30">
        <v>1</v>
      </c>
      <c r="AJ206" s="21">
        <v>1992</v>
      </c>
      <c r="AK206" s="33">
        <f t="shared" si="48"/>
        <v>0.17</v>
      </c>
      <c r="AL206" s="33">
        <v>0.2</v>
      </c>
      <c r="AM206" s="33">
        <v>0.46</v>
      </c>
      <c r="AN206" s="43">
        <f t="shared" si="49"/>
        <v>0.17</v>
      </c>
      <c r="AO206" s="42">
        <v>0.67</v>
      </c>
      <c r="AP206" s="18">
        <v>0.33</v>
      </c>
      <c r="AQ206">
        <v>1</v>
      </c>
      <c r="AR206" s="40">
        <f t="shared" si="45"/>
        <v>0</v>
      </c>
      <c r="AS206">
        <v>0.31</v>
      </c>
      <c r="AT206" s="40">
        <v>0.69</v>
      </c>
      <c r="AU206">
        <v>0</v>
      </c>
      <c r="AV206" s="18">
        <v>1</v>
      </c>
      <c r="AW206">
        <f t="shared" si="50"/>
        <v>0.56800000000000006</v>
      </c>
      <c r="AX206" s="18">
        <v>0.432</v>
      </c>
      <c r="AY206" s="18" t="s">
        <v>10</v>
      </c>
      <c r="AZ206">
        <v>0</v>
      </c>
      <c r="BA206">
        <v>0</v>
      </c>
      <c r="BB206">
        <v>0</v>
      </c>
      <c r="BC206">
        <v>0</v>
      </c>
      <c r="BD206">
        <v>0</v>
      </c>
      <c r="BE206">
        <v>0</v>
      </c>
      <c r="BF206" s="18">
        <v>1</v>
      </c>
      <c r="BG206">
        <v>0</v>
      </c>
      <c r="BH206">
        <v>0</v>
      </c>
      <c r="BI206" s="18">
        <v>1</v>
      </c>
      <c r="BJ206" t="s">
        <v>98</v>
      </c>
      <c r="BK206">
        <v>28</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v>
      </c>
      <c r="F207" s="7">
        <v>4.24</v>
      </c>
      <c r="G207" s="7">
        <f t="shared" si="51"/>
        <v>3.4053263029842347</v>
      </c>
      <c r="H207" s="16">
        <f t="shared" si="52"/>
        <v>5.5073795764312932</v>
      </c>
      <c r="I207" s="11">
        <f t="shared" si="55"/>
        <v>9.0111297961682588E-2</v>
      </c>
      <c r="J207" s="33">
        <f t="shared" si="56"/>
        <v>2.1252664613604384E-2</v>
      </c>
      <c r="K207" s="33">
        <f t="shared" si="57"/>
        <v>47.05292339483276</v>
      </c>
      <c r="L207" s="8">
        <v>0</v>
      </c>
      <c r="M207" s="9">
        <v>1</v>
      </c>
      <c r="N207" s="8">
        <v>0</v>
      </c>
      <c r="O207" s="9">
        <v>0</v>
      </c>
      <c r="P207" s="9">
        <v>1</v>
      </c>
      <c r="Q207" s="9">
        <v>0</v>
      </c>
      <c r="R207" s="9">
        <v>0</v>
      </c>
      <c r="S207" s="8">
        <v>2209</v>
      </c>
      <c r="T207" s="9">
        <v>12</v>
      </c>
      <c r="U207" s="9">
        <f t="shared" si="53"/>
        <v>2196</v>
      </c>
      <c r="V207" s="9">
        <f t="shared" si="54"/>
        <v>48</v>
      </c>
      <c r="W207" s="7">
        <v>9.8450000000000006</v>
      </c>
      <c r="X207" s="7">
        <f t="shared" si="47"/>
        <v>24.155000000000001</v>
      </c>
      <c r="Y207" s="9">
        <v>0</v>
      </c>
      <c r="Z207" s="9">
        <v>1</v>
      </c>
      <c r="AA207" s="9">
        <v>0</v>
      </c>
      <c r="AB207" s="9">
        <v>0</v>
      </c>
      <c r="AC207" s="9">
        <v>1</v>
      </c>
      <c r="AD207" s="9">
        <v>0</v>
      </c>
      <c r="AE207" s="8">
        <v>0</v>
      </c>
      <c r="AF207" s="9">
        <v>1</v>
      </c>
      <c r="AG207" s="30">
        <v>0</v>
      </c>
      <c r="AH207" s="9">
        <v>0</v>
      </c>
      <c r="AI207" s="30">
        <v>1</v>
      </c>
      <c r="AJ207" s="21">
        <v>1999</v>
      </c>
      <c r="AK207" s="33">
        <f t="shared" si="48"/>
        <v>0.19249999999999998</v>
      </c>
      <c r="AL207" s="33">
        <v>0.28999999999999998</v>
      </c>
      <c r="AM207" s="33">
        <v>0.32500000000000001</v>
      </c>
      <c r="AN207" s="43">
        <f t="shared" si="49"/>
        <v>0.19249999999999998</v>
      </c>
      <c r="AO207" s="42">
        <v>0.67</v>
      </c>
      <c r="AP207" s="18">
        <v>0.33</v>
      </c>
      <c r="AQ207">
        <v>0</v>
      </c>
      <c r="AR207" s="40">
        <f t="shared" si="45"/>
        <v>1</v>
      </c>
      <c r="AS207">
        <v>0.38</v>
      </c>
      <c r="AT207" s="40">
        <v>0.62</v>
      </c>
      <c r="AU207">
        <v>0</v>
      </c>
      <c r="AV207" s="18">
        <v>1</v>
      </c>
      <c r="AW207">
        <f t="shared" si="50"/>
        <v>0.48099999999999998</v>
      </c>
      <c r="AX207" s="18">
        <v>0.51900000000000002</v>
      </c>
      <c r="AY207" s="18" t="s">
        <v>10</v>
      </c>
      <c r="AZ207">
        <v>0</v>
      </c>
      <c r="BA207">
        <v>0</v>
      </c>
      <c r="BB207">
        <v>0</v>
      </c>
      <c r="BC207">
        <v>0</v>
      </c>
      <c r="BD207">
        <v>0</v>
      </c>
      <c r="BE207">
        <v>0</v>
      </c>
      <c r="BF207" s="18">
        <v>1</v>
      </c>
      <c r="BG207">
        <v>0</v>
      </c>
      <c r="BH207">
        <v>0</v>
      </c>
      <c r="BI207" s="18">
        <v>1</v>
      </c>
      <c r="BJ207" t="s">
        <v>98</v>
      </c>
      <c r="BK207">
        <v>22</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3.9141375817288488</v>
      </c>
      <c r="E208" s="14">
        <v>0.60684303592695332</v>
      </c>
      <c r="F208" s="7">
        <v>6.45</v>
      </c>
      <c r="G208" s="7">
        <f t="shared" si="51"/>
        <v>3.3072945458018954</v>
      </c>
      <c r="H208" s="16">
        <f t="shared" si="52"/>
        <v>4.5209806176558018</v>
      </c>
      <c r="I208" s="11">
        <f t="shared" si="55"/>
        <v>0.13635411386705673</v>
      </c>
      <c r="J208" s="33">
        <f t="shared" si="56"/>
        <v>2.1140172692566933E-2</v>
      </c>
      <c r="K208" s="33">
        <f t="shared" si="57"/>
        <v>47.303303267319507</v>
      </c>
      <c r="L208" s="8">
        <v>0</v>
      </c>
      <c r="M208" s="9">
        <v>1</v>
      </c>
      <c r="N208" s="8">
        <v>0</v>
      </c>
      <c r="O208" s="9">
        <v>0</v>
      </c>
      <c r="P208" s="9">
        <v>1</v>
      </c>
      <c r="Q208" s="9">
        <v>0</v>
      </c>
      <c r="R208" s="9">
        <v>0</v>
      </c>
      <c r="S208" s="8">
        <v>2209</v>
      </c>
      <c r="T208" s="9">
        <v>12</v>
      </c>
      <c r="U208" s="9">
        <f t="shared" si="53"/>
        <v>2196</v>
      </c>
      <c r="V208" s="9">
        <f t="shared" si="54"/>
        <v>48</v>
      </c>
      <c r="W208" s="7">
        <v>9.8450000000000006</v>
      </c>
      <c r="X208" s="7">
        <f t="shared" si="47"/>
        <v>24.155000000000001</v>
      </c>
      <c r="Y208" s="9">
        <v>0</v>
      </c>
      <c r="Z208" s="9">
        <v>1</v>
      </c>
      <c r="AA208" s="9">
        <v>0</v>
      </c>
      <c r="AB208" s="9">
        <v>0</v>
      </c>
      <c r="AC208" s="9">
        <v>1</v>
      </c>
      <c r="AD208" s="9">
        <v>0</v>
      </c>
      <c r="AE208" s="8">
        <v>0</v>
      </c>
      <c r="AF208" s="9">
        <v>1</v>
      </c>
      <c r="AG208" s="30">
        <v>0</v>
      </c>
      <c r="AH208" s="9">
        <v>0</v>
      </c>
      <c r="AI208" s="30">
        <v>1</v>
      </c>
      <c r="AJ208" s="21">
        <v>1999</v>
      </c>
      <c r="AK208" s="33">
        <f t="shared" si="48"/>
        <v>0.19249999999999998</v>
      </c>
      <c r="AL208" s="33">
        <v>0.28999999999999998</v>
      </c>
      <c r="AM208" s="33">
        <v>0.32500000000000001</v>
      </c>
      <c r="AN208" s="43">
        <f t="shared" si="49"/>
        <v>0.19249999999999998</v>
      </c>
      <c r="AO208" s="42">
        <v>0.67</v>
      </c>
      <c r="AP208" s="18">
        <v>0.33</v>
      </c>
      <c r="AQ208">
        <v>0</v>
      </c>
      <c r="AR208" s="40">
        <f t="shared" si="45"/>
        <v>1</v>
      </c>
      <c r="AS208">
        <v>0.38</v>
      </c>
      <c r="AT208" s="40">
        <v>0.62</v>
      </c>
      <c r="AU208">
        <v>0</v>
      </c>
      <c r="AV208" s="18">
        <v>1</v>
      </c>
      <c r="AW208">
        <f t="shared" si="50"/>
        <v>0.48099999999999998</v>
      </c>
      <c r="AX208" s="18">
        <v>0.51900000000000002</v>
      </c>
      <c r="AY208" s="18" t="s">
        <v>10</v>
      </c>
      <c r="AZ208">
        <v>0</v>
      </c>
      <c r="BA208">
        <v>0</v>
      </c>
      <c r="BB208">
        <v>0</v>
      </c>
      <c r="BC208">
        <v>0</v>
      </c>
      <c r="BD208">
        <v>0</v>
      </c>
      <c r="BE208">
        <v>0</v>
      </c>
      <c r="BF208" s="18">
        <v>1</v>
      </c>
      <c r="BG208">
        <v>0</v>
      </c>
      <c r="BH208">
        <v>0</v>
      </c>
      <c r="BI208" s="18">
        <v>1</v>
      </c>
      <c r="BJ208" t="s">
        <v>98</v>
      </c>
      <c r="BK208">
        <v>22</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v>
      </c>
      <c r="E209" s="14">
        <v>1.876143915697511</v>
      </c>
      <c r="F209" s="7">
        <v>5.37</v>
      </c>
      <c r="G209" s="7">
        <f t="shared" si="51"/>
        <v>8.198748911598118</v>
      </c>
      <c r="H209" s="16">
        <f t="shared" si="52"/>
        <v>11.951036742993141</v>
      </c>
      <c r="I209" s="11">
        <f t="shared" si="55"/>
        <v>0.11384794510822124</v>
      </c>
      <c r="J209" s="33">
        <f t="shared" si="56"/>
        <v>2.1200734657024437E-2</v>
      </c>
      <c r="K209" s="33">
        <f t="shared" si="57"/>
        <v>47.168176772056817</v>
      </c>
      <c r="L209" s="8">
        <v>0</v>
      </c>
      <c r="M209" s="9">
        <v>1</v>
      </c>
      <c r="N209" s="8">
        <v>0</v>
      </c>
      <c r="O209" s="9">
        <v>0</v>
      </c>
      <c r="P209" s="9">
        <v>1</v>
      </c>
      <c r="Q209" s="9">
        <v>0</v>
      </c>
      <c r="R209" s="9">
        <v>0</v>
      </c>
      <c r="S209" s="8">
        <v>2209</v>
      </c>
      <c r="T209" s="9">
        <v>12</v>
      </c>
      <c r="U209" s="9">
        <f t="shared" si="53"/>
        <v>2196</v>
      </c>
      <c r="V209" s="9">
        <f t="shared" si="54"/>
        <v>48</v>
      </c>
      <c r="W209" s="7">
        <v>9.8450000000000006</v>
      </c>
      <c r="X209" s="7">
        <f t="shared" si="47"/>
        <v>24.155000000000001</v>
      </c>
      <c r="Y209" s="9">
        <v>0</v>
      </c>
      <c r="Z209" s="9">
        <v>1</v>
      </c>
      <c r="AA209" s="9">
        <v>0</v>
      </c>
      <c r="AB209" s="9">
        <v>0</v>
      </c>
      <c r="AC209" s="9">
        <v>1</v>
      </c>
      <c r="AD209" s="9">
        <v>0</v>
      </c>
      <c r="AE209" s="8">
        <v>0</v>
      </c>
      <c r="AF209" s="9">
        <v>1</v>
      </c>
      <c r="AG209" s="30">
        <v>0</v>
      </c>
      <c r="AH209" s="9">
        <v>0</v>
      </c>
      <c r="AI209" s="30">
        <v>1</v>
      </c>
      <c r="AJ209" s="21">
        <v>1999</v>
      </c>
      <c r="AK209" s="33">
        <f t="shared" si="48"/>
        <v>0.19249999999999998</v>
      </c>
      <c r="AL209" s="33">
        <v>0.28999999999999998</v>
      </c>
      <c r="AM209" s="33">
        <v>0.32500000000000001</v>
      </c>
      <c r="AN209" s="43">
        <f t="shared" si="49"/>
        <v>0.19249999999999998</v>
      </c>
      <c r="AO209" s="42">
        <v>0.67</v>
      </c>
      <c r="AP209" s="18">
        <v>0.33</v>
      </c>
      <c r="AQ209">
        <v>0</v>
      </c>
      <c r="AR209" s="40">
        <f t="shared" si="45"/>
        <v>1</v>
      </c>
      <c r="AS209">
        <v>0.38</v>
      </c>
      <c r="AT209" s="40">
        <v>0.62</v>
      </c>
      <c r="AU209">
        <v>0</v>
      </c>
      <c r="AV209" s="18">
        <v>1</v>
      </c>
      <c r="AW209">
        <f t="shared" si="50"/>
        <v>0.48099999999999998</v>
      </c>
      <c r="AX209" s="18">
        <v>0.51900000000000002</v>
      </c>
      <c r="AY209" s="18" t="s">
        <v>10</v>
      </c>
      <c r="AZ209">
        <v>0</v>
      </c>
      <c r="BA209">
        <v>0</v>
      </c>
      <c r="BB209">
        <v>0</v>
      </c>
      <c r="BC209">
        <v>0</v>
      </c>
      <c r="BD209">
        <v>0</v>
      </c>
      <c r="BE209">
        <v>0</v>
      </c>
      <c r="BF209" s="18">
        <v>1</v>
      </c>
      <c r="BG209">
        <v>0</v>
      </c>
      <c r="BH209">
        <v>0</v>
      </c>
      <c r="BI209" s="18">
        <v>1</v>
      </c>
      <c r="BJ209" t="s">
        <v>98</v>
      </c>
      <c r="BK209">
        <v>22</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3.8087898453408791</v>
      </c>
      <c r="F210" s="7">
        <v>3.47</v>
      </c>
      <c r="G210" s="7">
        <f t="shared" si="51"/>
        <v>9.4077109179919702</v>
      </c>
      <c r="H210" s="16">
        <f t="shared" si="52"/>
        <v>17.025290608673728</v>
      </c>
      <c r="I210" s="11">
        <f t="shared" si="55"/>
        <v>7.3845820103091431E-2</v>
      </c>
      <c r="J210" s="33">
        <f t="shared" si="56"/>
        <v>2.1281216168037877E-2</v>
      </c>
      <c r="K210" s="33">
        <f t="shared" si="57"/>
        <v>46.989795700768909</v>
      </c>
      <c r="L210" s="8">
        <v>0</v>
      </c>
      <c r="M210" s="9">
        <v>1</v>
      </c>
      <c r="N210" s="8">
        <v>0</v>
      </c>
      <c r="O210" s="9">
        <v>0</v>
      </c>
      <c r="P210" s="9">
        <v>1</v>
      </c>
      <c r="Q210" s="9">
        <v>0</v>
      </c>
      <c r="R210" s="9">
        <v>0</v>
      </c>
      <c r="S210" s="8">
        <v>2209</v>
      </c>
      <c r="T210" s="9">
        <v>12</v>
      </c>
      <c r="U210" s="9">
        <f t="shared" si="53"/>
        <v>2196</v>
      </c>
      <c r="V210" s="9">
        <f t="shared" si="54"/>
        <v>48</v>
      </c>
      <c r="W210" s="7">
        <v>9.8450000000000006</v>
      </c>
      <c r="X210" s="7">
        <f t="shared" si="47"/>
        <v>24.155000000000001</v>
      </c>
      <c r="Y210" s="9">
        <v>0</v>
      </c>
      <c r="Z210" s="9">
        <v>1</v>
      </c>
      <c r="AA210" s="9">
        <v>0</v>
      </c>
      <c r="AB210" s="9">
        <v>0</v>
      </c>
      <c r="AC210" s="9">
        <v>1</v>
      </c>
      <c r="AD210" s="9">
        <v>0</v>
      </c>
      <c r="AE210" s="8">
        <v>0</v>
      </c>
      <c r="AF210" s="9">
        <v>1</v>
      </c>
      <c r="AG210" s="30">
        <v>0</v>
      </c>
      <c r="AH210" s="9">
        <v>0</v>
      </c>
      <c r="AI210" s="30">
        <v>1</v>
      </c>
      <c r="AJ210" s="21">
        <v>1999</v>
      </c>
      <c r="AK210" s="33">
        <f t="shared" si="48"/>
        <v>0.19249999999999998</v>
      </c>
      <c r="AL210" s="33">
        <v>0.28999999999999998</v>
      </c>
      <c r="AM210" s="33">
        <v>0.32500000000000001</v>
      </c>
      <c r="AN210" s="43">
        <f t="shared" si="49"/>
        <v>0.19249999999999998</v>
      </c>
      <c r="AO210" s="42">
        <v>0.67</v>
      </c>
      <c r="AP210" s="18">
        <v>0.33</v>
      </c>
      <c r="AQ210">
        <v>0</v>
      </c>
      <c r="AR210" s="40">
        <f t="shared" si="45"/>
        <v>1</v>
      </c>
      <c r="AS210">
        <v>0.38</v>
      </c>
      <c r="AT210" s="40">
        <v>0.62</v>
      </c>
      <c r="AU210">
        <v>0</v>
      </c>
      <c r="AV210" s="18">
        <v>1</v>
      </c>
      <c r="AW210">
        <f t="shared" si="50"/>
        <v>0.48099999999999998</v>
      </c>
      <c r="AX210" s="18">
        <v>0.51900000000000002</v>
      </c>
      <c r="AY210" s="18" t="s">
        <v>10</v>
      </c>
      <c r="AZ210">
        <v>0</v>
      </c>
      <c r="BA210">
        <v>0</v>
      </c>
      <c r="BB210">
        <v>0</v>
      </c>
      <c r="BC210">
        <v>0</v>
      </c>
      <c r="BD210">
        <v>0</v>
      </c>
      <c r="BE210">
        <v>0</v>
      </c>
      <c r="BF210" s="18">
        <v>1</v>
      </c>
      <c r="BG210">
        <v>0</v>
      </c>
      <c r="BH210">
        <v>0</v>
      </c>
      <c r="BI210" s="18">
        <v>1</v>
      </c>
      <c r="BJ210" t="s">
        <v>98</v>
      </c>
      <c r="BK210">
        <v>22</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51"/>
        <v>3.4374757825522653</v>
      </c>
      <c r="H211" s="16">
        <f t="shared" si="52"/>
        <v>5.5020258021031747</v>
      </c>
      <c r="I211" s="11">
        <f t="shared" si="55"/>
        <v>9.1800996606447416E-2</v>
      </c>
      <c r="J211" s="33">
        <f t="shared" si="56"/>
        <v>2.1201153950680698E-2</v>
      </c>
      <c r="K211" s="33">
        <f t="shared" si="57"/>
        <v>47.167243930507539</v>
      </c>
      <c r="L211" s="8">
        <v>0</v>
      </c>
      <c r="M211" s="9">
        <v>1</v>
      </c>
      <c r="N211" s="8">
        <v>0</v>
      </c>
      <c r="O211" s="9">
        <v>0</v>
      </c>
      <c r="P211" s="9">
        <v>1</v>
      </c>
      <c r="Q211" s="9">
        <v>0</v>
      </c>
      <c r="R211" s="9">
        <v>0</v>
      </c>
      <c r="S211" s="8">
        <v>2219</v>
      </c>
      <c r="T211" s="9">
        <v>12</v>
      </c>
      <c r="U211" s="9">
        <f t="shared" si="53"/>
        <v>2206</v>
      </c>
      <c r="V211" s="9">
        <f t="shared" si="54"/>
        <v>48</v>
      </c>
      <c r="W211" s="7">
        <v>9.8450000000000006</v>
      </c>
      <c r="X211" s="7">
        <f t="shared" si="47"/>
        <v>24.155000000000001</v>
      </c>
      <c r="Y211" s="9">
        <v>0</v>
      </c>
      <c r="Z211" s="9">
        <v>1</v>
      </c>
      <c r="AA211" s="9">
        <v>0</v>
      </c>
      <c r="AB211" s="9">
        <v>0</v>
      </c>
      <c r="AC211" s="9">
        <v>1</v>
      </c>
      <c r="AD211" s="9">
        <v>0</v>
      </c>
      <c r="AE211" s="8">
        <v>0</v>
      </c>
      <c r="AF211" s="9">
        <v>1</v>
      </c>
      <c r="AG211" s="30">
        <v>0</v>
      </c>
      <c r="AH211" s="9">
        <v>0</v>
      </c>
      <c r="AI211" s="30">
        <v>1</v>
      </c>
      <c r="AJ211" s="21">
        <v>1999</v>
      </c>
      <c r="AK211" s="33">
        <f t="shared" si="48"/>
        <v>0.19249999999999998</v>
      </c>
      <c r="AL211" s="33">
        <v>0.28999999999999998</v>
      </c>
      <c r="AM211" s="33">
        <v>0.32500000000000001</v>
      </c>
      <c r="AN211" s="43">
        <f t="shared" si="49"/>
        <v>0.19249999999999998</v>
      </c>
      <c r="AO211" s="42">
        <v>0.67</v>
      </c>
      <c r="AP211" s="18">
        <v>0.33</v>
      </c>
      <c r="AQ211">
        <v>0</v>
      </c>
      <c r="AR211" s="40">
        <f t="shared" si="45"/>
        <v>1</v>
      </c>
      <c r="AS211">
        <v>0.38</v>
      </c>
      <c r="AT211" s="40">
        <v>0.62</v>
      </c>
      <c r="AU211">
        <v>0</v>
      </c>
      <c r="AV211" s="18">
        <v>1</v>
      </c>
      <c r="AW211">
        <f t="shared" si="50"/>
        <v>0.48099999999999998</v>
      </c>
      <c r="AX211" s="18">
        <v>0.51900000000000002</v>
      </c>
      <c r="AY211" s="18" t="s">
        <v>10</v>
      </c>
      <c r="AZ211">
        <v>0</v>
      </c>
      <c r="BA211">
        <v>0</v>
      </c>
      <c r="BB211">
        <v>0</v>
      </c>
      <c r="BC211">
        <v>0</v>
      </c>
      <c r="BD211">
        <v>0</v>
      </c>
      <c r="BE211">
        <v>0</v>
      </c>
      <c r="BF211" s="18">
        <v>1</v>
      </c>
      <c r="BG211">
        <v>0</v>
      </c>
      <c r="BH211">
        <v>0</v>
      </c>
      <c r="BI211" s="18">
        <v>1</v>
      </c>
      <c r="BJ211" t="s">
        <v>98</v>
      </c>
      <c r="BK211">
        <v>22</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51"/>
        <v>3.239159405280009</v>
      </c>
      <c r="H212" s="16">
        <f t="shared" si="52"/>
        <v>4.4106456278044242</v>
      </c>
      <c r="I212" s="11">
        <f t="shared" si="55"/>
        <v>0.1377060840526772</v>
      </c>
      <c r="J212" s="33">
        <f t="shared" si="56"/>
        <v>2.1088221141298193E-2</v>
      </c>
      <c r="K212" s="33">
        <f t="shared" si="57"/>
        <v>47.419836566567788</v>
      </c>
      <c r="L212" s="8">
        <v>0</v>
      </c>
      <c r="M212" s="9">
        <v>1</v>
      </c>
      <c r="N212" s="8">
        <v>0</v>
      </c>
      <c r="O212" s="9">
        <v>0</v>
      </c>
      <c r="P212" s="9">
        <v>1</v>
      </c>
      <c r="Q212" s="9">
        <v>0</v>
      </c>
      <c r="R212" s="9">
        <v>0</v>
      </c>
      <c r="S212" s="8">
        <v>2219</v>
      </c>
      <c r="T212" s="9">
        <v>12</v>
      </c>
      <c r="U212" s="9">
        <f t="shared" si="53"/>
        <v>2206</v>
      </c>
      <c r="V212" s="9">
        <f t="shared" si="54"/>
        <v>48</v>
      </c>
      <c r="W212" s="7">
        <v>9.8450000000000006</v>
      </c>
      <c r="X212" s="7">
        <f t="shared" si="47"/>
        <v>24.155000000000001</v>
      </c>
      <c r="Y212" s="9">
        <v>0</v>
      </c>
      <c r="Z212" s="9">
        <v>1</v>
      </c>
      <c r="AA212" s="9">
        <v>0</v>
      </c>
      <c r="AB212" s="9">
        <v>0</v>
      </c>
      <c r="AC212" s="9">
        <v>1</v>
      </c>
      <c r="AD212" s="9">
        <v>0</v>
      </c>
      <c r="AE212" s="8">
        <v>0</v>
      </c>
      <c r="AF212" s="9">
        <v>1</v>
      </c>
      <c r="AG212" s="30">
        <v>0</v>
      </c>
      <c r="AH212" s="9">
        <v>0</v>
      </c>
      <c r="AI212" s="30">
        <v>1</v>
      </c>
      <c r="AJ212" s="21">
        <v>1999</v>
      </c>
      <c r="AK212" s="33">
        <f t="shared" si="48"/>
        <v>0.19249999999999998</v>
      </c>
      <c r="AL212" s="33">
        <v>0.28999999999999998</v>
      </c>
      <c r="AM212" s="33">
        <v>0.32500000000000001</v>
      </c>
      <c r="AN212" s="43">
        <f t="shared" si="49"/>
        <v>0.19249999999999998</v>
      </c>
      <c r="AO212" s="42">
        <v>0.67</v>
      </c>
      <c r="AP212" s="18">
        <v>0.33</v>
      </c>
      <c r="AQ212">
        <v>0</v>
      </c>
      <c r="AR212" s="40">
        <f t="shared" si="45"/>
        <v>1</v>
      </c>
      <c r="AS212">
        <v>0.38</v>
      </c>
      <c r="AT212" s="40">
        <v>0.62</v>
      </c>
      <c r="AU212">
        <v>0</v>
      </c>
      <c r="AV212" s="18">
        <v>1</v>
      </c>
      <c r="AW212">
        <f t="shared" si="50"/>
        <v>0.48099999999999998</v>
      </c>
      <c r="AX212" s="18">
        <v>0.51900000000000002</v>
      </c>
      <c r="AY212" s="18" t="s">
        <v>10</v>
      </c>
      <c r="AZ212">
        <v>0</v>
      </c>
      <c r="BA212">
        <v>0</v>
      </c>
      <c r="BB212">
        <v>0</v>
      </c>
      <c r="BC212">
        <v>0</v>
      </c>
      <c r="BD212">
        <v>0</v>
      </c>
      <c r="BE212">
        <v>0</v>
      </c>
      <c r="BF212" s="18">
        <v>1</v>
      </c>
      <c r="BG212">
        <v>0</v>
      </c>
      <c r="BH212">
        <v>0</v>
      </c>
      <c r="BI212" s="18">
        <v>1</v>
      </c>
      <c r="BJ212" t="s">
        <v>98</v>
      </c>
      <c r="BK212">
        <v>22</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10.10212560965598</v>
      </c>
      <c r="E213" s="14">
        <v>1.8777185148059441</v>
      </c>
      <c r="F213" s="7">
        <v>5.38</v>
      </c>
      <c r="G213" s="7">
        <f t="shared" si="51"/>
        <v>8.2244070948500365</v>
      </c>
      <c r="H213" s="16">
        <f t="shared" si="52"/>
        <v>11.979844124461923</v>
      </c>
      <c r="I213" s="11">
        <f t="shared" si="55"/>
        <v>0.11380174303938229</v>
      </c>
      <c r="J213" s="33">
        <f t="shared" si="56"/>
        <v>2.1152740341892618E-2</v>
      </c>
      <c r="K213" s="33">
        <f t="shared" si="57"/>
        <v>47.275198571766992</v>
      </c>
      <c r="L213" s="8">
        <v>0</v>
      </c>
      <c r="M213" s="9">
        <v>1</v>
      </c>
      <c r="N213" s="8">
        <v>0</v>
      </c>
      <c r="O213" s="9">
        <v>0</v>
      </c>
      <c r="P213" s="9">
        <v>1</v>
      </c>
      <c r="Q213" s="9">
        <v>0</v>
      </c>
      <c r="R213" s="9">
        <v>0</v>
      </c>
      <c r="S213" s="8">
        <v>2219</v>
      </c>
      <c r="T213" s="9">
        <v>12</v>
      </c>
      <c r="U213" s="9">
        <f t="shared" si="53"/>
        <v>2206</v>
      </c>
      <c r="V213" s="9">
        <f t="shared" si="54"/>
        <v>48</v>
      </c>
      <c r="W213" s="7">
        <v>9.8450000000000006</v>
      </c>
      <c r="X213" s="7">
        <f t="shared" si="47"/>
        <v>24.155000000000001</v>
      </c>
      <c r="Y213" s="9">
        <v>0</v>
      </c>
      <c r="Z213" s="9">
        <v>1</v>
      </c>
      <c r="AA213" s="9">
        <v>0</v>
      </c>
      <c r="AB213" s="9">
        <v>0</v>
      </c>
      <c r="AC213" s="9">
        <v>1</v>
      </c>
      <c r="AD213" s="9">
        <v>0</v>
      </c>
      <c r="AE213" s="8">
        <v>0</v>
      </c>
      <c r="AF213" s="9">
        <v>1</v>
      </c>
      <c r="AG213" s="30">
        <v>0</v>
      </c>
      <c r="AH213" s="9">
        <v>0</v>
      </c>
      <c r="AI213" s="30">
        <v>1</v>
      </c>
      <c r="AJ213" s="21">
        <v>1999</v>
      </c>
      <c r="AK213" s="33">
        <f t="shared" si="48"/>
        <v>0.19249999999999998</v>
      </c>
      <c r="AL213" s="33">
        <v>0.28999999999999998</v>
      </c>
      <c r="AM213" s="33">
        <v>0.32500000000000001</v>
      </c>
      <c r="AN213" s="43">
        <f t="shared" si="49"/>
        <v>0.19249999999999998</v>
      </c>
      <c r="AO213" s="42">
        <v>0.67</v>
      </c>
      <c r="AP213" s="18">
        <v>0.33</v>
      </c>
      <c r="AQ213">
        <v>0</v>
      </c>
      <c r="AR213" s="40">
        <f t="shared" si="45"/>
        <v>1</v>
      </c>
      <c r="AS213">
        <v>0.38</v>
      </c>
      <c r="AT213" s="40">
        <v>0.62</v>
      </c>
      <c r="AU213">
        <v>0</v>
      </c>
      <c r="AV213" s="18">
        <v>1</v>
      </c>
      <c r="AW213">
        <f t="shared" si="50"/>
        <v>0.48099999999999998</v>
      </c>
      <c r="AX213" s="18">
        <v>0.51900000000000002</v>
      </c>
      <c r="AY213" s="18" t="s">
        <v>10</v>
      </c>
      <c r="AZ213">
        <v>0</v>
      </c>
      <c r="BA213">
        <v>0</v>
      </c>
      <c r="BB213">
        <v>0</v>
      </c>
      <c r="BC213">
        <v>0</v>
      </c>
      <c r="BD213">
        <v>0</v>
      </c>
      <c r="BE213">
        <v>0</v>
      </c>
      <c r="BF213" s="18">
        <v>1</v>
      </c>
      <c r="BG213">
        <v>0</v>
      </c>
      <c r="BH213">
        <v>0</v>
      </c>
      <c r="BI213" s="18">
        <v>1</v>
      </c>
      <c r="BJ213" t="s">
        <v>98</v>
      </c>
      <c r="BK213">
        <v>22</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13.394992519395471</v>
      </c>
      <c r="E214" s="14">
        <v>3.849135781435479</v>
      </c>
      <c r="F214" s="7">
        <v>3.48</v>
      </c>
      <c r="G214" s="7">
        <f t="shared" si="51"/>
        <v>9.5458567379599923</v>
      </c>
      <c r="H214" s="16">
        <f t="shared" si="52"/>
        <v>17.244128300830951</v>
      </c>
      <c r="I214" s="11">
        <f t="shared" si="55"/>
        <v>7.3890339994261867E-2</v>
      </c>
      <c r="J214" s="33">
        <f t="shared" si="56"/>
        <v>2.1232856320190192E-2</v>
      </c>
      <c r="K214" s="33">
        <f t="shared" si="57"/>
        <v>47.096819425519598</v>
      </c>
      <c r="L214" s="8">
        <v>0</v>
      </c>
      <c r="M214" s="9">
        <v>1</v>
      </c>
      <c r="N214" s="8">
        <v>0</v>
      </c>
      <c r="O214" s="9">
        <v>0</v>
      </c>
      <c r="P214" s="9">
        <v>1</v>
      </c>
      <c r="Q214" s="9">
        <v>0</v>
      </c>
      <c r="R214" s="9">
        <v>0</v>
      </c>
      <c r="S214" s="8">
        <v>2219</v>
      </c>
      <c r="T214" s="9">
        <v>12</v>
      </c>
      <c r="U214" s="9">
        <f t="shared" si="53"/>
        <v>2206</v>
      </c>
      <c r="V214" s="9">
        <f t="shared" si="54"/>
        <v>48</v>
      </c>
      <c r="W214" s="7">
        <v>9.8450000000000006</v>
      </c>
      <c r="X214" s="7">
        <f t="shared" si="47"/>
        <v>24.155000000000001</v>
      </c>
      <c r="Y214" s="9">
        <v>0</v>
      </c>
      <c r="Z214" s="9">
        <v>1</v>
      </c>
      <c r="AA214" s="9">
        <v>0</v>
      </c>
      <c r="AB214" s="9">
        <v>0</v>
      </c>
      <c r="AC214" s="9">
        <v>1</v>
      </c>
      <c r="AD214" s="9">
        <v>0</v>
      </c>
      <c r="AE214" s="8">
        <v>0</v>
      </c>
      <c r="AF214" s="9">
        <v>1</v>
      </c>
      <c r="AG214" s="30">
        <v>0</v>
      </c>
      <c r="AH214" s="9">
        <v>0</v>
      </c>
      <c r="AI214" s="30">
        <v>1</v>
      </c>
      <c r="AJ214" s="21">
        <v>1999</v>
      </c>
      <c r="AK214" s="33">
        <f t="shared" si="48"/>
        <v>0.19249999999999998</v>
      </c>
      <c r="AL214" s="33">
        <v>0.28999999999999998</v>
      </c>
      <c r="AM214" s="33">
        <v>0.32500000000000001</v>
      </c>
      <c r="AN214" s="43">
        <f t="shared" si="49"/>
        <v>0.19249999999999998</v>
      </c>
      <c r="AO214" s="42">
        <v>0.67</v>
      </c>
      <c r="AP214" s="18">
        <v>0.33</v>
      </c>
      <c r="AQ214">
        <v>0</v>
      </c>
      <c r="AR214" s="40">
        <f t="shared" si="45"/>
        <v>1</v>
      </c>
      <c r="AS214">
        <v>0.38</v>
      </c>
      <c r="AT214" s="40">
        <v>0.62</v>
      </c>
      <c r="AU214">
        <v>0</v>
      </c>
      <c r="AV214" s="18">
        <v>1</v>
      </c>
      <c r="AW214">
        <f t="shared" si="50"/>
        <v>0.48099999999999998</v>
      </c>
      <c r="AX214" s="18">
        <v>0.51900000000000002</v>
      </c>
      <c r="AY214" s="18" t="s">
        <v>10</v>
      </c>
      <c r="AZ214">
        <v>0</v>
      </c>
      <c r="BA214">
        <v>0</v>
      </c>
      <c r="BB214">
        <v>0</v>
      </c>
      <c r="BC214">
        <v>0</v>
      </c>
      <c r="BD214">
        <v>0</v>
      </c>
      <c r="BE214">
        <v>0</v>
      </c>
      <c r="BF214" s="18">
        <v>1</v>
      </c>
      <c r="BG214">
        <v>0</v>
      </c>
      <c r="BH214">
        <v>0</v>
      </c>
      <c r="BI214" s="18">
        <v>1</v>
      </c>
      <c r="BJ214" t="s">
        <v>98</v>
      </c>
      <c r="BK214">
        <v>22</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0.1328910494906799</v>
      </c>
      <c r="E215" s="14">
        <v>1.4765672165631101</v>
      </c>
      <c r="F215" s="7">
        <v>0.09</v>
      </c>
      <c r="G215" s="7">
        <f t="shared" si="51"/>
        <v>-1.3436761670724302</v>
      </c>
      <c r="H215" s="16">
        <f t="shared" si="52"/>
        <v>1.6094582660537899</v>
      </c>
      <c r="I215" s="11">
        <f t="shared" si="55"/>
        <v>2.1873233617308667E-3</v>
      </c>
      <c r="J215" s="33">
        <f t="shared" si="56"/>
        <v>2.4303592908120744E-2</v>
      </c>
      <c r="K215" s="33">
        <f t="shared" si="57"/>
        <v>41.146179652550977</v>
      </c>
      <c r="L215" s="8">
        <v>0</v>
      </c>
      <c r="M215" s="9">
        <v>1</v>
      </c>
      <c r="N215" s="8">
        <v>0</v>
      </c>
      <c r="O215" s="9">
        <v>0</v>
      </c>
      <c r="P215" s="9">
        <v>1</v>
      </c>
      <c r="Q215" s="9">
        <v>0</v>
      </c>
      <c r="R215" s="9">
        <v>0</v>
      </c>
      <c r="S215" s="8">
        <v>1706</v>
      </c>
      <c r="T215" s="9">
        <v>12</v>
      </c>
      <c r="U215" s="9">
        <f t="shared" si="53"/>
        <v>1693</v>
      </c>
      <c r="V215" s="9">
        <f t="shared" si="54"/>
        <v>48</v>
      </c>
      <c r="W215" s="7">
        <v>10.525</v>
      </c>
      <c r="X215" s="7">
        <f t="shared" si="47"/>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5"/>
        <v>0</v>
      </c>
      <c r="AS215">
        <v>0.31</v>
      </c>
      <c r="AT215" s="40">
        <v>0.69</v>
      </c>
      <c r="AU215">
        <v>0</v>
      </c>
      <c r="AV215" s="18">
        <v>1</v>
      </c>
      <c r="AW215">
        <f t="shared" si="50"/>
        <v>0.41400000000000003</v>
      </c>
      <c r="AX215" s="18">
        <v>0.58599999999999997</v>
      </c>
      <c r="AY215" s="18" t="s">
        <v>10</v>
      </c>
      <c r="AZ215">
        <v>0</v>
      </c>
      <c r="BA215">
        <v>0</v>
      </c>
      <c r="BB215">
        <v>0</v>
      </c>
      <c r="BC215">
        <v>0</v>
      </c>
      <c r="BD215">
        <v>0</v>
      </c>
      <c r="BE215">
        <v>0</v>
      </c>
      <c r="BF215" s="18">
        <v>1</v>
      </c>
      <c r="BG215">
        <v>0</v>
      </c>
      <c r="BH215">
        <v>0</v>
      </c>
      <c r="BI215" s="18">
        <v>1</v>
      </c>
      <c r="BJ215" t="s">
        <v>98</v>
      </c>
      <c r="BK215">
        <v>22</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1.7841294160663459</v>
      </c>
      <c r="F216" s="7">
        <v>2.76</v>
      </c>
      <c r="G216" s="7">
        <f t="shared" si="51"/>
        <v>3.1400677722767698</v>
      </c>
      <c r="H216" s="16">
        <f t="shared" si="52"/>
        <v>6.7083266044094616</v>
      </c>
      <c r="I216" s="11">
        <f t="shared" si="55"/>
        <v>6.692767639841693E-2</v>
      </c>
      <c r="J216" s="33">
        <f t="shared" si="56"/>
        <v>2.4249158115368458E-2</v>
      </c>
      <c r="K216" s="33">
        <f t="shared" si="57"/>
        <v>41.238545076178426</v>
      </c>
      <c r="L216" s="8">
        <v>0</v>
      </c>
      <c r="M216" s="9">
        <v>1</v>
      </c>
      <c r="N216" s="8">
        <v>0</v>
      </c>
      <c r="O216" s="9">
        <v>0</v>
      </c>
      <c r="P216" s="9">
        <v>1</v>
      </c>
      <c r="Q216" s="9">
        <v>0</v>
      </c>
      <c r="R216" s="9">
        <v>0</v>
      </c>
      <c r="S216" s="8">
        <v>1706</v>
      </c>
      <c r="T216" s="9">
        <v>12</v>
      </c>
      <c r="U216" s="9">
        <f t="shared" si="53"/>
        <v>1693</v>
      </c>
      <c r="V216" s="9">
        <f t="shared" si="54"/>
        <v>48</v>
      </c>
      <c r="W216" s="7">
        <v>10.525</v>
      </c>
      <c r="X216" s="7">
        <f t="shared" si="47"/>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5"/>
        <v>0</v>
      </c>
      <c r="AS216">
        <v>0.31</v>
      </c>
      <c r="AT216" s="40">
        <v>0.69</v>
      </c>
      <c r="AU216">
        <v>0</v>
      </c>
      <c r="AV216" s="18">
        <v>1</v>
      </c>
      <c r="AW216">
        <f t="shared" si="50"/>
        <v>0.41400000000000003</v>
      </c>
      <c r="AX216" s="18">
        <v>0.58599999999999997</v>
      </c>
      <c r="AY216" s="18" t="s">
        <v>10</v>
      </c>
      <c r="AZ216">
        <v>0</v>
      </c>
      <c r="BA216">
        <v>0</v>
      </c>
      <c r="BB216">
        <v>0</v>
      </c>
      <c r="BC216">
        <v>0</v>
      </c>
      <c r="BD216">
        <v>0</v>
      </c>
      <c r="BE216">
        <v>0</v>
      </c>
      <c r="BF216" s="18">
        <v>1</v>
      </c>
      <c r="BG216">
        <v>0</v>
      </c>
      <c r="BH216">
        <v>0</v>
      </c>
      <c r="BI216" s="18">
        <v>1</v>
      </c>
      <c r="BJ216" t="s">
        <v>98</v>
      </c>
      <c r="BK216">
        <v>22</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v>
      </c>
      <c r="G217" s="7">
        <f t="shared" si="51"/>
        <v>3.5092519289830877</v>
      </c>
      <c r="H217" s="16">
        <f t="shared" si="52"/>
        <v>6.3166534721695582</v>
      </c>
      <c r="I217" s="11">
        <f t="shared" si="55"/>
        <v>8.4756695340678367E-2</v>
      </c>
      <c r="J217" s="33">
        <f t="shared" si="56"/>
        <v>2.4216198668765246E-2</v>
      </c>
      <c r="K217" s="33">
        <f t="shared" si="57"/>
        <v>41.294672779911942</v>
      </c>
      <c r="L217" s="8">
        <v>0</v>
      </c>
      <c r="M217" s="9">
        <v>1</v>
      </c>
      <c r="N217" s="8">
        <v>0</v>
      </c>
      <c r="O217" s="9">
        <v>0</v>
      </c>
      <c r="P217" s="9">
        <v>1</v>
      </c>
      <c r="Q217" s="9">
        <v>0</v>
      </c>
      <c r="R217" s="9">
        <v>0</v>
      </c>
      <c r="S217" s="8">
        <v>1706</v>
      </c>
      <c r="T217" s="9">
        <v>12</v>
      </c>
      <c r="U217" s="9">
        <f t="shared" si="53"/>
        <v>1693</v>
      </c>
      <c r="V217" s="9">
        <f t="shared" si="54"/>
        <v>48</v>
      </c>
      <c r="W217" s="7">
        <v>10.525</v>
      </c>
      <c r="X217" s="7">
        <f t="shared" si="47"/>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5"/>
        <v>0</v>
      </c>
      <c r="AS217">
        <v>0.31</v>
      </c>
      <c r="AT217" s="40">
        <v>0.69</v>
      </c>
      <c r="AU217">
        <v>0</v>
      </c>
      <c r="AV217" s="18">
        <v>1</v>
      </c>
      <c r="AW217">
        <f t="shared" si="50"/>
        <v>0.41400000000000003</v>
      </c>
      <c r="AX217" s="18">
        <v>0.58599999999999997</v>
      </c>
      <c r="AY217" s="18" t="s">
        <v>10</v>
      </c>
      <c r="AZ217">
        <v>0</v>
      </c>
      <c r="BA217">
        <v>0</v>
      </c>
      <c r="BB217">
        <v>0</v>
      </c>
      <c r="BC217">
        <v>0</v>
      </c>
      <c r="BD217">
        <v>0</v>
      </c>
      <c r="BE217">
        <v>0</v>
      </c>
      <c r="BF217" s="18">
        <v>1</v>
      </c>
      <c r="BG217">
        <v>0</v>
      </c>
      <c r="BH217">
        <v>0</v>
      </c>
      <c r="BI217" s="18">
        <v>1</v>
      </c>
      <c r="BJ217" t="s">
        <v>98</v>
      </c>
      <c r="BK217">
        <v>22</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v>
      </c>
      <c r="E218" s="14">
        <v>3.0618720631131939</v>
      </c>
      <c r="F218" s="7">
        <v>4.24</v>
      </c>
      <c r="G218" s="7">
        <f t="shared" si="51"/>
        <v>9.9204654844867459</v>
      </c>
      <c r="H218" s="16">
        <f t="shared" si="52"/>
        <v>16.044209610713132</v>
      </c>
      <c r="I218" s="11">
        <f t="shared" si="55"/>
        <v>0.10250468011579229</v>
      </c>
      <c r="J218" s="33">
        <f t="shared" si="56"/>
        <v>2.4175632102781199E-2</v>
      </c>
      <c r="K218" s="33">
        <f t="shared" si="57"/>
        <v>41.363964993699526</v>
      </c>
      <c r="L218" s="8">
        <v>0</v>
      </c>
      <c r="M218" s="9">
        <v>1</v>
      </c>
      <c r="N218" s="8">
        <v>0</v>
      </c>
      <c r="O218" s="9">
        <v>0</v>
      </c>
      <c r="P218" s="9">
        <v>1</v>
      </c>
      <c r="Q218" s="9">
        <v>0</v>
      </c>
      <c r="R218" s="9">
        <v>0</v>
      </c>
      <c r="S218" s="8">
        <v>1706</v>
      </c>
      <c r="T218" s="9">
        <v>12</v>
      </c>
      <c r="U218" s="9">
        <f t="shared" si="53"/>
        <v>1693</v>
      </c>
      <c r="V218" s="9">
        <f t="shared" si="54"/>
        <v>48</v>
      </c>
      <c r="W218" s="7">
        <v>10.525</v>
      </c>
      <c r="X218" s="7">
        <f t="shared" si="47"/>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5"/>
        <v>0</v>
      </c>
      <c r="AS218">
        <v>0.31</v>
      </c>
      <c r="AT218" s="40">
        <v>0.69</v>
      </c>
      <c r="AU218">
        <v>0</v>
      </c>
      <c r="AV218" s="18">
        <v>1</v>
      </c>
      <c r="AW218">
        <f t="shared" si="50"/>
        <v>0.41400000000000003</v>
      </c>
      <c r="AX218" s="18">
        <v>0.58599999999999997</v>
      </c>
      <c r="AY218" s="18" t="s">
        <v>10</v>
      </c>
      <c r="AZ218">
        <v>0</v>
      </c>
      <c r="BA218">
        <v>0</v>
      </c>
      <c r="BB218">
        <v>0</v>
      </c>
      <c r="BC218">
        <v>0</v>
      </c>
      <c r="BD218">
        <v>0</v>
      </c>
      <c r="BE218">
        <v>0</v>
      </c>
      <c r="BF218" s="18">
        <v>1</v>
      </c>
      <c r="BG218">
        <v>0</v>
      </c>
      <c r="BH218">
        <v>0</v>
      </c>
      <c r="BI218" s="18">
        <v>1</v>
      </c>
      <c r="BJ218" t="s">
        <v>98</v>
      </c>
      <c r="BK218">
        <v>22</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1.427859298276146</v>
      </c>
      <c r="F219" s="7">
        <v>0.38</v>
      </c>
      <c r="G219" s="7">
        <f t="shared" si="51"/>
        <v>-0.88527276493121065</v>
      </c>
      <c r="H219" s="16">
        <f t="shared" si="52"/>
        <v>1.9704458316210813</v>
      </c>
      <c r="I219" s="11">
        <f t="shared" si="55"/>
        <v>9.2132532004612858E-3</v>
      </c>
      <c r="J219" s="33">
        <f t="shared" si="56"/>
        <v>2.4245403159108649E-2</v>
      </c>
      <c r="K219" s="33">
        <f t="shared" si="57"/>
        <v>41.244931809859985</v>
      </c>
      <c r="L219" s="8">
        <v>0</v>
      </c>
      <c r="M219" s="9">
        <v>1</v>
      </c>
      <c r="N219" s="8">
        <v>0</v>
      </c>
      <c r="O219" s="9">
        <v>0</v>
      </c>
      <c r="P219" s="9">
        <v>1</v>
      </c>
      <c r="Q219" s="9">
        <v>0</v>
      </c>
      <c r="R219" s="9">
        <v>0</v>
      </c>
      <c r="S219" s="8">
        <v>1714</v>
      </c>
      <c r="T219" s="9">
        <v>12</v>
      </c>
      <c r="U219" s="9">
        <f t="shared" si="53"/>
        <v>1701</v>
      </c>
      <c r="V219" s="9">
        <f t="shared" si="54"/>
        <v>48</v>
      </c>
      <c r="W219" s="7">
        <v>10.525</v>
      </c>
      <c r="X219" s="7">
        <f t="shared" si="47"/>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8">1-AQ219</f>
        <v>0</v>
      </c>
      <c r="AS219">
        <v>0.31</v>
      </c>
      <c r="AT219" s="40">
        <v>0.69</v>
      </c>
      <c r="AU219">
        <v>0</v>
      </c>
      <c r="AV219" s="18">
        <v>1</v>
      </c>
      <c r="AW219">
        <f t="shared" si="50"/>
        <v>0.41400000000000003</v>
      </c>
      <c r="AX219" s="18">
        <v>0.58599999999999997</v>
      </c>
      <c r="AY219" s="18" t="s">
        <v>10</v>
      </c>
      <c r="AZ219">
        <v>0</v>
      </c>
      <c r="BA219">
        <v>0</v>
      </c>
      <c r="BB219">
        <v>0</v>
      </c>
      <c r="BC219">
        <v>0</v>
      </c>
      <c r="BD219">
        <v>0</v>
      </c>
      <c r="BE219">
        <v>0</v>
      </c>
      <c r="BF219" s="18">
        <v>1</v>
      </c>
      <c r="BG219">
        <v>0</v>
      </c>
      <c r="BH219">
        <v>0</v>
      </c>
      <c r="BI219" s="18">
        <v>1</v>
      </c>
      <c r="BJ219" t="s">
        <v>98</v>
      </c>
      <c r="BK219">
        <v>22</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1.581525708354671</v>
      </c>
      <c r="F220" s="7">
        <v>3.25</v>
      </c>
      <c r="G220" s="7">
        <f t="shared" si="51"/>
        <v>3.5584328437980082</v>
      </c>
      <c r="H220" s="16">
        <f t="shared" si="52"/>
        <v>6.7214842605073502</v>
      </c>
      <c r="I220" s="11">
        <f t="shared" si="55"/>
        <v>7.8557378008585005E-2</v>
      </c>
      <c r="J220" s="33">
        <f t="shared" si="56"/>
        <v>2.4171500925718459E-2</v>
      </c>
      <c r="K220" s="33">
        <f t="shared" si="57"/>
        <v>41.371034553175008</v>
      </c>
      <c r="L220" s="8">
        <v>0</v>
      </c>
      <c r="M220" s="9">
        <v>1</v>
      </c>
      <c r="N220" s="8">
        <v>0</v>
      </c>
      <c r="O220" s="9">
        <v>0</v>
      </c>
      <c r="P220" s="9">
        <v>1</v>
      </c>
      <c r="Q220" s="9">
        <v>0</v>
      </c>
      <c r="R220" s="9">
        <v>0</v>
      </c>
      <c r="S220" s="8">
        <v>1714</v>
      </c>
      <c r="T220" s="9">
        <v>12</v>
      </c>
      <c r="U220" s="9">
        <f t="shared" si="53"/>
        <v>1701</v>
      </c>
      <c r="V220" s="9">
        <f t="shared" si="54"/>
        <v>48</v>
      </c>
      <c r="W220" s="7">
        <v>10.525</v>
      </c>
      <c r="X220" s="7">
        <f t="shared" si="47"/>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8"/>
        <v>0</v>
      </c>
      <c r="AS220">
        <v>0.31</v>
      </c>
      <c r="AT220" s="40">
        <v>0.69</v>
      </c>
      <c r="AU220">
        <v>0</v>
      </c>
      <c r="AV220" s="18">
        <v>1</v>
      </c>
      <c r="AW220">
        <f t="shared" si="50"/>
        <v>0.41400000000000003</v>
      </c>
      <c r="AX220" s="18">
        <v>0.58599999999999997</v>
      </c>
      <c r="AY220" s="18" t="s">
        <v>10</v>
      </c>
      <c r="AZ220">
        <v>0</v>
      </c>
      <c r="BA220">
        <v>0</v>
      </c>
      <c r="BB220">
        <v>0</v>
      </c>
      <c r="BC220">
        <v>0</v>
      </c>
      <c r="BD220">
        <v>0</v>
      </c>
      <c r="BE220">
        <v>0</v>
      </c>
      <c r="BF220" s="18">
        <v>1</v>
      </c>
      <c r="BG220">
        <v>0</v>
      </c>
      <c r="BH220">
        <v>0</v>
      </c>
      <c r="BI220" s="18">
        <v>1</v>
      </c>
      <c r="BJ220" t="s">
        <v>98</v>
      </c>
      <c r="BK220">
        <v>22</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v>
      </c>
      <c r="F221" s="7">
        <v>3.91</v>
      </c>
      <c r="G221" s="7">
        <f t="shared" si="51"/>
        <v>3.8277017836818041</v>
      </c>
      <c r="H221" s="16">
        <f t="shared" si="52"/>
        <v>6.4584246590644865</v>
      </c>
      <c r="I221" s="11">
        <f t="shared" si="55"/>
        <v>9.4380366995624174E-2</v>
      </c>
      <c r="J221" s="33">
        <f t="shared" si="56"/>
        <v>2.4138201277653239E-2</v>
      </c>
      <c r="K221" s="33">
        <f t="shared" si="57"/>
        <v>41.428107608241049</v>
      </c>
      <c r="L221" s="8">
        <v>0</v>
      </c>
      <c r="M221" s="9">
        <v>1</v>
      </c>
      <c r="N221" s="8">
        <v>0</v>
      </c>
      <c r="O221" s="9">
        <v>0</v>
      </c>
      <c r="P221" s="9">
        <v>1</v>
      </c>
      <c r="Q221" s="9">
        <v>0</v>
      </c>
      <c r="R221" s="9">
        <v>0</v>
      </c>
      <c r="S221" s="8">
        <v>1714</v>
      </c>
      <c r="T221" s="9">
        <v>12</v>
      </c>
      <c r="U221" s="9">
        <f t="shared" si="53"/>
        <v>1701</v>
      </c>
      <c r="V221" s="9">
        <f t="shared" si="54"/>
        <v>48</v>
      </c>
      <c r="W221" s="7">
        <v>10.525</v>
      </c>
      <c r="X221" s="7">
        <f t="shared" si="47"/>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8"/>
        <v>0</v>
      </c>
      <c r="AS221">
        <v>0.31</v>
      </c>
      <c r="AT221" s="40">
        <v>0.69</v>
      </c>
      <c r="AU221">
        <v>0</v>
      </c>
      <c r="AV221" s="18">
        <v>1</v>
      </c>
      <c r="AW221">
        <f t="shared" si="50"/>
        <v>0.41400000000000003</v>
      </c>
      <c r="AX221" s="18">
        <v>0.58599999999999997</v>
      </c>
      <c r="AY221" s="18" t="s">
        <v>10</v>
      </c>
      <c r="AZ221">
        <v>0</v>
      </c>
      <c r="BA221">
        <v>0</v>
      </c>
      <c r="BB221">
        <v>0</v>
      </c>
      <c r="BC221">
        <v>0</v>
      </c>
      <c r="BD221">
        <v>0</v>
      </c>
      <c r="BE221">
        <v>0</v>
      </c>
      <c r="BF221" s="18">
        <v>1</v>
      </c>
      <c r="BG221">
        <v>0</v>
      </c>
      <c r="BH221">
        <v>0</v>
      </c>
      <c r="BI221" s="18">
        <v>1</v>
      </c>
      <c r="BJ221" t="s">
        <v>98</v>
      </c>
      <c r="BK221">
        <v>22</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13.10872656044209</v>
      </c>
      <c r="E222" s="54">
        <v>2.9590804876844441</v>
      </c>
      <c r="F222" s="55">
        <v>4.43</v>
      </c>
      <c r="G222" s="55">
        <f t="shared" si="51"/>
        <v>10.149646072757646</v>
      </c>
      <c r="H222" s="56">
        <f t="shared" si="52"/>
        <v>16.067807048126532</v>
      </c>
      <c r="I222" s="11">
        <f t="shared" si="55"/>
        <v>0.10679738638220909</v>
      </c>
      <c r="J222" s="33">
        <f t="shared" si="56"/>
        <v>2.4107762163026882E-2</v>
      </c>
      <c r="K222" s="33">
        <f t="shared" si="57"/>
        <v>41.480415860981921</v>
      </c>
      <c r="L222" s="59">
        <v>0</v>
      </c>
      <c r="M222" s="60">
        <v>1</v>
      </c>
      <c r="N222" s="59">
        <v>0</v>
      </c>
      <c r="O222" s="60">
        <v>0</v>
      </c>
      <c r="P222" s="60">
        <v>1</v>
      </c>
      <c r="Q222" s="60">
        <v>0</v>
      </c>
      <c r="R222" s="60">
        <v>0</v>
      </c>
      <c r="S222" s="59">
        <v>1714</v>
      </c>
      <c r="T222" s="60">
        <v>12</v>
      </c>
      <c r="U222" s="60">
        <f t="shared" si="53"/>
        <v>1701</v>
      </c>
      <c r="V222" s="60">
        <f t="shared" si="54"/>
        <v>48</v>
      </c>
      <c r="W222" s="55">
        <v>10.525</v>
      </c>
      <c r="X222" s="55">
        <f t="shared" si="47"/>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8"/>
        <v>0</v>
      </c>
      <c r="AS222" s="51">
        <v>0.31</v>
      </c>
      <c r="AT222" s="66">
        <v>0.69</v>
      </c>
      <c r="AU222">
        <v>0</v>
      </c>
      <c r="AV222" s="65">
        <v>1</v>
      </c>
      <c r="AW222" s="51">
        <f t="shared" si="50"/>
        <v>0.41400000000000003</v>
      </c>
      <c r="AX222" s="65">
        <v>0.58599999999999997</v>
      </c>
      <c r="AY222" s="65" t="s">
        <v>10</v>
      </c>
      <c r="AZ222">
        <v>0</v>
      </c>
      <c r="BA222">
        <v>0</v>
      </c>
      <c r="BB222">
        <v>0</v>
      </c>
      <c r="BC222">
        <v>0</v>
      </c>
      <c r="BD222">
        <v>0</v>
      </c>
      <c r="BE222">
        <v>0</v>
      </c>
      <c r="BF222" s="65">
        <v>1</v>
      </c>
      <c r="BG222">
        <v>0</v>
      </c>
      <c r="BH222">
        <v>0</v>
      </c>
      <c r="BI222" s="65">
        <v>1</v>
      </c>
      <c r="BJ222" t="s">
        <v>98</v>
      </c>
      <c r="BK222">
        <v>22</v>
      </c>
      <c r="BL222" s="52">
        <v>40</v>
      </c>
      <c r="BM222" s="51">
        <v>1</v>
      </c>
      <c r="BN222" s="51">
        <v>0</v>
      </c>
      <c r="BO222" s="51">
        <v>0</v>
      </c>
      <c r="BP222" s="51">
        <v>0</v>
      </c>
      <c r="BQ222" s="51">
        <v>0</v>
      </c>
      <c r="BR222" s="51">
        <v>0</v>
      </c>
      <c r="BS222" s="51">
        <v>0</v>
      </c>
      <c r="BT222" s="65">
        <v>0</v>
      </c>
      <c r="BU222" s="51">
        <v>0</v>
      </c>
      <c r="BV222" s="51">
        <v>1</v>
      </c>
      <c r="BW222" s="51">
        <v>0</v>
      </c>
      <c r="BX222" s="65">
        <v>0</v>
      </c>
      <c r="BY222" s="51">
        <v>1</v>
      </c>
      <c r="BZ222" s="51">
        <v>0</v>
      </c>
      <c r="CA222" s="51">
        <v>0</v>
      </c>
      <c r="CB222" s="51">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9">D223/F223</f>
        <v>4.1006523765144458E-2</v>
      </c>
      <c r="F223" s="7">
        <v>214.6</v>
      </c>
      <c r="G223" s="7">
        <f t="shared" si="51"/>
        <v>8.7589934762348562</v>
      </c>
      <c r="H223" s="16">
        <f t="shared" si="52"/>
        <v>8.8410065237651452</v>
      </c>
      <c r="I223" s="11">
        <f t="shared" si="55"/>
        <v>0.56729789934477026</v>
      </c>
      <c r="J223" s="33">
        <f t="shared" si="56"/>
        <v>2.6435130444770285E-3</v>
      </c>
      <c r="K223" s="33">
        <f t="shared" si="57"/>
        <v>378.28449611370542</v>
      </c>
      <c r="L223" s="8">
        <v>1</v>
      </c>
      <c r="M223" s="9">
        <v>0</v>
      </c>
      <c r="N223" s="8">
        <v>0</v>
      </c>
      <c r="O223" s="9">
        <v>0</v>
      </c>
      <c r="P223" s="9">
        <v>0</v>
      </c>
      <c r="Q223" s="9">
        <v>1</v>
      </c>
      <c r="R223" s="9">
        <v>0</v>
      </c>
      <c r="S223" s="8">
        <v>97050</v>
      </c>
      <c r="T223" s="9">
        <v>3</v>
      </c>
      <c r="U223" s="9">
        <f t="shared" si="53"/>
        <v>97046</v>
      </c>
      <c r="V223" s="9">
        <f t="shared" si="54"/>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8"/>
        <v>0.29200000000000004</v>
      </c>
      <c r="AS223">
        <v>0.73599999999999999</v>
      </c>
      <c r="AT223" s="40">
        <v>0.26400000000000001</v>
      </c>
      <c r="AU223">
        <v>0</v>
      </c>
      <c r="AV223" s="18">
        <v>1</v>
      </c>
      <c r="AW223" t="s">
        <v>98</v>
      </c>
      <c r="AX223" s="18" t="s">
        <v>98</v>
      </c>
      <c r="AY223" s="18" t="s">
        <v>29</v>
      </c>
      <c r="AZ223">
        <v>0</v>
      </c>
      <c r="BA223">
        <v>0</v>
      </c>
      <c r="BB223">
        <v>1</v>
      </c>
      <c r="BC223">
        <v>0</v>
      </c>
      <c r="BD223">
        <v>0</v>
      </c>
      <c r="BE223">
        <v>0</v>
      </c>
      <c r="BF223" s="18">
        <v>0</v>
      </c>
      <c r="BG223">
        <v>0</v>
      </c>
      <c r="BH223">
        <v>1</v>
      </c>
      <c r="BI223" s="18">
        <v>0</v>
      </c>
      <c r="BJ223">
        <v>6947</v>
      </c>
      <c r="BK223">
        <v>12580</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9"/>
        <v>4.5559210526315792E-2</v>
      </c>
      <c r="F224" s="7">
        <v>182.4</v>
      </c>
      <c r="G224" s="7">
        <f t="shared" si="51"/>
        <v>8.2644407894736851</v>
      </c>
      <c r="H224" s="16">
        <f t="shared" si="52"/>
        <v>8.3555592105263159</v>
      </c>
      <c r="I224" s="11">
        <f t="shared" si="55"/>
        <v>0.57113962349685266</v>
      </c>
      <c r="J224" s="33">
        <f t="shared" si="56"/>
        <v>3.1312479358380075E-3</v>
      </c>
      <c r="K224" s="33">
        <f t="shared" si="57"/>
        <v>319.36148797248552</v>
      </c>
      <c r="L224" s="8">
        <v>1</v>
      </c>
      <c r="M224" s="9">
        <v>0</v>
      </c>
      <c r="N224" s="8">
        <v>0</v>
      </c>
      <c r="O224" s="9">
        <v>0</v>
      </c>
      <c r="P224" s="9">
        <v>0</v>
      </c>
      <c r="Q224" s="9">
        <v>1</v>
      </c>
      <c r="R224" s="9">
        <v>0</v>
      </c>
      <c r="S224" s="8">
        <v>68726</v>
      </c>
      <c r="T224" s="9">
        <v>3</v>
      </c>
      <c r="U224" s="9">
        <f t="shared" si="53"/>
        <v>68722</v>
      </c>
      <c r="V224" s="9">
        <f t="shared" si="54"/>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v>0</v>
      </c>
      <c r="BF224" s="18">
        <v>0</v>
      </c>
      <c r="BG224">
        <v>0</v>
      </c>
      <c r="BH224">
        <v>1</v>
      </c>
      <c r="BI224" s="18">
        <v>0</v>
      </c>
      <c r="BJ224">
        <v>6947</v>
      </c>
      <c r="BK224">
        <v>12580</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9"/>
        <v>8.45648604269294E-2</v>
      </c>
      <c r="F225" s="7">
        <v>121.8</v>
      </c>
      <c r="G225" s="7">
        <f t="shared" si="51"/>
        <v>10.215435139573071</v>
      </c>
      <c r="H225" s="16">
        <f t="shared" si="52"/>
        <v>10.384564860426931</v>
      </c>
      <c r="I225" s="11">
        <f t="shared" si="55"/>
        <v>0.58631434535014559</v>
      </c>
      <c r="J225" s="33">
        <f t="shared" si="56"/>
        <v>4.8137466777516055E-3</v>
      </c>
      <c r="K225" s="33">
        <f t="shared" si="57"/>
        <v>207.73839317757324</v>
      </c>
      <c r="L225" s="8">
        <v>1</v>
      </c>
      <c r="M225" s="9">
        <v>0</v>
      </c>
      <c r="N225" s="8">
        <v>0</v>
      </c>
      <c r="O225" s="9">
        <v>0</v>
      </c>
      <c r="P225" s="9">
        <v>0</v>
      </c>
      <c r="Q225" s="9">
        <v>1</v>
      </c>
      <c r="R225" s="9">
        <v>0</v>
      </c>
      <c r="S225" s="8">
        <v>28324</v>
      </c>
      <c r="T225" s="9">
        <v>3</v>
      </c>
      <c r="U225" s="9">
        <f t="shared" si="53"/>
        <v>28320</v>
      </c>
      <c r="V225" s="9">
        <f t="shared" si="54"/>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v>0</v>
      </c>
      <c r="BF225" s="18">
        <v>0</v>
      </c>
      <c r="BG225">
        <v>0</v>
      </c>
      <c r="BH225">
        <v>1</v>
      </c>
      <c r="BI225" s="18">
        <v>0</v>
      </c>
      <c r="BJ225">
        <v>6947</v>
      </c>
      <c r="BK225">
        <v>12580</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9"/>
        <v>0.30044843049327352</v>
      </c>
      <c r="F226" s="7">
        <v>44.6</v>
      </c>
      <c r="G226" s="7">
        <f t="shared" si="51"/>
        <v>13.099551569506726</v>
      </c>
      <c r="H226" s="16">
        <f t="shared" si="52"/>
        <v>13.700448430493275</v>
      </c>
      <c r="I226" s="11">
        <f t="shared" si="55"/>
        <v>0.2561815851402216</v>
      </c>
      <c r="J226" s="33">
        <f t="shared" si="56"/>
        <v>5.7439817296013806E-3</v>
      </c>
      <c r="K226" s="33">
        <f t="shared" si="57"/>
        <v>174.09526127956499</v>
      </c>
      <c r="L226" s="8">
        <v>1</v>
      </c>
      <c r="M226" s="9">
        <v>0</v>
      </c>
      <c r="N226" s="8">
        <v>0</v>
      </c>
      <c r="O226" s="9">
        <v>0</v>
      </c>
      <c r="P226" s="9">
        <v>0</v>
      </c>
      <c r="Q226" s="9">
        <v>1</v>
      </c>
      <c r="R226" s="9">
        <v>0</v>
      </c>
      <c r="S226" s="8">
        <v>28324</v>
      </c>
      <c r="T226" s="9">
        <v>3</v>
      </c>
      <c r="U226" s="9">
        <f t="shared" si="53"/>
        <v>28320</v>
      </c>
      <c r="V226" s="9">
        <f t="shared" si="54"/>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v>0</v>
      </c>
      <c r="BF226" s="18">
        <v>0</v>
      </c>
      <c r="BG226">
        <v>0</v>
      </c>
      <c r="BH226">
        <v>1</v>
      </c>
      <c r="BI226" s="18">
        <v>0</v>
      </c>
      <c r="BJ226">
        <v>6947</v>
      </c>
      <c r="BK226">
        <v>12580</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9"/>
        <v>8.856502242152467E-2</v>
      </c>
      <c r="F227" s="7">
        <v>89.2</v>
      </c>
      <c r="G227" s="7">
        <f t="shared" si="51"/>
        <v>7.8114349775784753</v>
      </c>
      <c r="H227" s="16">
        <f t="shared" si="52"/>
        <v>7.9885650224215254</v>
      </c>
      <c r="I227" s="11">
        <f t="shared" si="55"/>
        <v>0.50802802585012474</v>
      </c>
      <c r="J227" s="33">
        <f t="shared" si="56"/>
        <v>5.6953814557188873E-3</v>
      </c>
      <c r="K227" s="33">
        <f t="shared" si="57"/>
        <v>175.58086456103354</v>
      </c>
      <c r="L227" s="8">
        <v>1</v>
      </c>
      <c r="M227" s="9">
        <v>0</v>
      </c>
      <c r="N227" s="8">
        <v>0</v>
      </c>
      <c r="O227" s="9">
        <v>0</v>
      </c>
      <c r="P227" s="9">
        <v>0</v>
      </c>
      <c r="Q227" s="9">
        <v>1</v>
      </c>
      <c r="R227" s="9">
        <v>0</v>
      </c>
      <c r="S227" s="8">
        <v>22876</v>
      </c>
      <c r="T227" s="9">
        <v>3</v>
      </c>
      <c r="U227" s="9">
        <f t="shared" si="53"/>
        <v>22872</v>
      </c>
      <c r="V227" s="9">
        <f t="shared" si="54"/>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v>0</v>
      </c>
      <c r="BF227" s="18">
        <v>0</v>
      </c>
      <c r="BG227">
        <v>0</v>
      </c>
      <c r="BH227">
        <v>1</v>
      </c>
      <c r="BI227" s="18">
        <v>0</v>
      </c>
      <c r="BJ227">
        <v>6947</v>
      </c>
      <c r="BK227">
        <v>12580</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9"/>
        <v>5.2208835341365459E-2</v>
      </c>
      <c r="F228" s="7">
        <v>124.5</v>
      </c>
      <c r="G228" s="7">
        <f t="shared" si="51"/>
        <v>6.4477911646586348</v>
      </c>
      <c r="H228" s="16">
        <f t="shared" si="52"/>
        <v>6.5522088353413652</v>
      </c>
      <c r="I228" s="11">
        <f t="shared" si="55"/>
        <v>0.41575771597427358</v>
      </c>
      <c r="J228" s="33">
        <f t="shared" si="56"/>
        <v>3.3394194054158521E-3</v>
      </c>
      <c r="K228" s="33">
        <f t="shared" si="57"/>
        <v>299.4532517773016</v>
      </c>
      <c r="L228" s="8">
        <v>1</v>
      </c>
      <c r="M228" s="9">
        <v>0</v>
      </c>
      <c r="N228" s="8">
        <v>0</v>
      </c>
      <c r="O228" s="9">
        <v>0</v>
      </c>
      <c r="P228" s="9">
        <v>0</v>
      </c>
      <c r="Q228" s="9">
        <v>1</v>
      </c>
      <c r="R228" s="9">
        <v>0</v>
      </c>
      <c r="S228" s="8">
        <v>74176</v>
      </c>
      <c r="T228" s="9">
        <v>3</v>
      </c>
      <c r="U228" s="9">
        <f t="shared" si="53"/>
        <v>74172</v>
      </c>
      <c r="V228" s="9">
        <f t="shared" si="54"/>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v>0</v>
      </c>
      <c r="BF228" s="18">
        <v>0</v>
      </c>
      <c r="BG228">
        <v>0</v>
      </c>
      <c r="BH228">
        <v>1</v>
      </c>
      <c r="BI228" s="18">
        <v>0</v>
      </c>
      <c r="BJ228">
        <v>6947</v>
      </c>
      <c r="BK228">
        <v>12580</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9"/>
        <v>0.86821705426356577</v>
      </c>
      <c r="F229" s="7">
        <v>12.9</v>
      </c>
      <c r="G229" s="7">
        <f t="shared" si="51"/>
        <v>10.331782945736434</v>
      </c>
      <c r="H229" s="16">
        <f t="shared" si="52"/>
        <v>12.068217054263565</v>
      </c>
      <c r="I229" s="11">
        <f t="shared" si="55"/>
        <v>7.6431230218154844E-2</v>
      </c>
      <c r="J229" s="33">
        <f t="shared" si="56"/>
        <v>5.924901567298824E-3</v>
      </c>
      <c r="K229" s="33">
        <f t="shared" si="57"/>
        <v>168.77917525571689</v>
      </c>
      <c r="L229" s="8">
        <v>1</v>
      </c>
      <c r="M229" s="9">
        <v>0</v>
      </c>
      <c r="N229" s="8">
        <v>0</v>
      </c>
      <c r="O229" s="9">
        <v>0</v>
      </c>
      <c r="P229" s="9">
        <v>0</v>
      </c>
      <c r="Q229" s="9">
        <v>1</v>
      </c>
      <c r="R229" s="9">
        <v>0</v>
      </c>
      <c r="S229" s="8">
        <v>28324</v>
      </c>
      <c r="T229" s="9">
        <v>3</v>
      </c>
      <c r="U229" s="9">
        <f t="shared" si="53"/>
        <v>28320</v>
      </c>
      <c r="V229" s="9">
        <f t="shared" si="54"/>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v>0</v>
      </c>
      <c r="BF229" s="18">
        <v>0</v>
      </c>
      <c r="BG229">
        <v>0</v>
      </c>
      <c r="BH229">
        <v>1</v>
      </c>
      <c r="BI229" s="18">
        <v>0</v>
      </c>
      <c r="BJ229">
        <v>6947</v>
      </c>
      <c r="BK229">
        <v>12580</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9"/>
        <v>1.0843373493975903</v>
      </c>
      <c r="F230" s="55">
        <v>16.600000000000001</v>
      </c>
      <c r="G230" s="55">
        <f t="shared" si="51"/>
        <v>16.91566265060241</v>
      </c>
      <c r="H230" s="56">
        <f t="shared" si="52"/>
        <v>19.08433734939759</v>
      </c>
      <c r="I230" s="11">
        <f t="shared" si="55"/>
        <v>6.3196237365657243E-2</v>
      </c>
      <c r="J230" s="33">
        <f t="shared" si="56"/>
        <v>3.8070022509432066E-3</v>
      </c>
      <c r="K230" s="33">
        <f t="shared" si="57"/>
        <v>262.67386622958901</v>
      </c>
      <c r="L230" s="59">
        <v>1</v>
      </c>
      <c r="M230" s="60">
        <v>0</v>
      </c>
      <c r="N230" s="59">
        <v>0</v>
      </c>
      <c r="O230" s="60">
        <v>0</v>
      </c>
      <c r="P230" s="60">
        <v>0</v>
      </c>
      <c r="Q230" s="60">
        <v>1</v>
      </c>
      <c r="R230" s="60">
        <v>0</v>
      </c>
      <c r="S230" s="59">
        <v>68726</v>
      </c>
      <c r="T230" s="60">
        <v>3</v>
      </c>
      <c r="U230" s="60">
        <f t="shared" si="53"/>
        <v>68722</v>
      </c>
      <c r="V230" s="60">
        <f t="shared" si="54"/>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v>0</v>
      </c>
      <c r="BF230" s="65">
        <v>0</v>
      </c>
      <c r="BG230">
        <v>0</v>
      </c>
      <c r="BH230">
        <v>1</v>
      </c>
      <c r="BI230" s="65">
        <v>0</v>
      </c>
      <c r="BJ230">
        <v>6947</v>
      </c>
      <c r="BK230">
        <v>12580</v>
      </c>
      <c r="BL230" s="52">
        <v>40</v>
      </c>
      <c r="BM230" s="51">
        <v>0</v>
      </c>
      <c r="BN230" s="51">
        <v>0</v>
      </c>
      <c r="BO230" s="51">
        <v>0</v>
      </c>
      <c r="BP230" s="51">
        <v>0</v>
      </c>
      <c r="BQ230" s="51">
        <v>0</v>
      </c>
      <c r="BR230" s="51">
        <v>0</v>
      </c>
      <c r="BS230" s="51">
        <v>0</v>
      </c>
      <c r="BT230" s="65">
        <v>1</v>
      </c>
      <c r="BU230" s="51">
        <v>0</v>
      </c>
      <c r="BV230" s="51">
        <v>1</v>
      </c>
      <c r="BW230" s="51">
        <v>0</v>
      </c>
      <c r="BX230" s="65">
        <v>0</v>
      </c>
      <c r="BY230" s="51">
        <v>0</v>
      </c>
      <c r="BZ230" s="51">
        <v>0</v>
      </c>
      <c r="CA230" s="51">
        <v>0</v>
      </c>
      <c r="CB230" s="51">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51"/>
        <v>7.9280234995185532</v>
      </c>
      <c r="H231" s="16">
        <f t="shared" si="52"/>
        <v>8.9084613736594402</v>
      </c>
      <c r="I231" s="11">
        <f t="shared" si="55"/>
        <v>0.27491202321058933</v>
      </c>
      <c r="J231" s="33">
        <f t="shared" si="56"/>
        <v>1.6008933078528294E-2</v>
      </c>
      <c r="K231" s="33">
        <f t="shared" si="57"/>
        <v>62.465124633523068</v>
      </c>
      <c r="L231" s="8">
        <v>1</v>
      </c>
      <c r="M231" s="9">
        <v>0</v>
      </c>
      <c r="N231" s="8">
        <v>1</v>
      </c>
      <c r="O231" s="9">
        <v>0</v>
      </c>
      <c r="P231" s="9">
        <v>0</v>
      </c>
      <c r="Q231" s="9">
        <v>0</v>
      </c>
      <c r="R231" s="9">
        <v>0</v>
      </c>
      <c r="S231" s="8">
        <v>3614</v>
      </c>
      <c r="T231" s="9">
        <v>6</v>
      </c>
      <c r="U231" s="9">
        <f t="shared" si="53"/>
        <v>3607</v>
      </c>
      <c r="V231" s="9">
        <f t="shared" si="54"/>
        <v>48</v>
      </c>
      <c r="W231" s="7">
        <v>17</v>
      </c>
      <c r="X231" s="7">
        <f t="shared" ref="X231:X294" si="60">BL231-W231-6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v>0</v>
      </c>
      <c r="BF231" s="18">
        <v>0</v>
      </c>
      <c r="BG231">
        <v>0</v>
      </c>
      <c r="BH231">
        <v>1</v>
      </c>
      <c r="BI231" s="18">
        <v>0</v>
      </c>
      <c r="BJ231">
        <v>869</v>
      </c>
      <c r="BK231">
        <v>116</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51"/>
        <v>7.0612635213356523</v>
      </c>
      <c r="H232" s="16">
        <f t="shared" si="52"/>
        <v>8.72636496304799</v>
      </c>
      <c r="I232" s="11">
        <f t="shared" si="55"/>
        <v>0.15593996707303245</v>
      </c>
      <c r="J232" s="33">
        <f t="shared" si="56"/>
        <v>1.644679340223389E-2</v>
      </c>
      <c r="K232" s="33">
        <f t="shared" si="57"/>
        <v>60.802125711883434</v>
      </c>
      <c r="L232" s="8">
        <v>1</v>
      </c>
      <c r="M232" s="9">
        <v>0</v>
      </c>
      <c r="N232" s="8">
        <v>1</v>
      </c>
      <c r="O232" s="9">
        <v>0</v>
      </c>
      <c r="P232" s="9">
        <v>0</v>
      </c>
      <c r="Q232" s="9">
        <v>0</v>
      </c>
      <c r="R232" s="9">
        <v>0</v>
      </c>
      <c r="S232" s="8">
        <v>3614</v>
      </c>
      <c r="T232" s="9">
        <v>6</v>
      </c>
      <c r="U232" s="9">
        <f t="shared" si="53"/>
        <v>3607</v>
      </c>
      <c r="V232" s="9">
        <f t="shared" si="54"/>
        <v>48</v>
      </c>
      <c r="W232" s="7">
        <v>12</v>
      </c>
      <c r="X232" s="7">
        <f t="shared" si="60"/>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v>0</v>
      </c>
      <c r="BF232" s="18">
        <v>0</v>
      </c>
      <c r="BG232">
        <v>0</v>
      </c>
      <c r="BH232">
        <v>1</v>
      </c>
      <c r="BI232" s="18">
        <v>0</v>
      </c>
      <c r="BJ232">
        <v>869</v>
      </c>
      <c r="BK232">
        <v>116</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1.9128502008811139</v>
      </c>
      <c r="F233" s="7">
        <v>4.096774193548387</v>
      </c>
      <c r="G233" s="7">
        <f t="shared" si="51"/>
        <v>5.923665138212483</v>
      </c>
      <c r="H233" s="16">
        <f t="shared" si="52"/>
        <v>9.7493655399747112</v>
      </c>
      <c r="I233" s="11">
        <f t="shared" si="55"/>
        <v>6.8055135339707112E-2</v>
      </c>
      <c r="J233" s="33">
        <f t="shared" si="56"/>
        <v>1.6611883429377326E-2</v>
      </c>
      <c r="K233" s="33">
        <f t="shared" si="57"/>
        <v>60.19787005196217</v>
      </c>
      <c r="L233" s="8">
        <v>1</v>
      </c>
      <c r="M233" s="9">
        <v>0</v>
      </c>
      <c r="N233" s="8">
        <v>1</v>
      </c>
      <c r="O233" s="9">
        <v>0</v>
      </c>
      <c r="P233" s="9">
        <v>0</v>
      </c>
      <c r="Q233" s="9">
        <v>0</v>
      </c>
      <c r="R233" s="9">
        <v>0</v>
      </c>
      <c r="S233" s="8">
        <v>3614</v>
      </c>
      <c r="T233" s="9">
        <v>6</v>
      </c>
      <c r="U233" s="9">
        <f t="shared" si="53"/>
        <v>3607</v>
      </c>
      <c r="V233" s="9">
        <f t="shared" si="54"/>
        <v>48</v>
      </c>
      <c r="W233" s="7">
        <v>9</v>
      </c>
      <c r="X233" s="7">
        <f t="shared" si="60"/>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v>0</v>
      </c>
      <c r="BF233" s="18">
        <v>0</v>
      </c>
      <c r="BG233">
        <v>0</v>
      </c>
      <c r="BH233">
        <v>1</v>
      </c>
      <c r="BI233" s="18">
        <v>0</v>
      </c>
      <c r="BJ233">
        <v>869</v>
      </c>
      <c r="BK233">
        <v>116</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0.49036044591463179</v>
      </c>
      <c r="F234" s="7">
        <v>17.137931034482762</v>
      </c>
      <c r="G234" s="7">
        <f t="shared" si="51"/>
        <v>7.9134030582085408</v>
      </c>
      <c r="H234" s="16">
        <f t="shared" si="52"/>
        <v>8.8941239500378053</v>
      </c>
      <c r="I234" s="11">
        <f t="shared" si="55"/>
        <v>0.27440159564256944</v>
      </c>
      <c r="J234" s="33">
        <f t="shared" si="56"/>
        <v>1.6011360711538254E-2</v>
      </c>
      <c r="K234" s="33">
        <f t="shared" si="57"/>
        <v>62.455653708392866</v>
      </c>
      <c r="L234" s="8">
        <v>1</v>
      </c>
      <c r="M234" s="9">
        <v>0</v>
      </c>
      <c r="N234" s="8">
        <v>1</v>
      </c>
      <c r="O234" s="9">
        <v>0</v>
      </c>
      <c r="P234" s="9">
        <v>0</v>
      </c>
      <c r="Q234" s="9">
        <v>0</v>
      </c>
      <c r="R234" s="9">
        <v>0</v>
      </c>
      <c r="S234" s="8">
        <v>3614</v>
      </c>
      <c r="T234" s="9">
        <v>6</v>
      </c>
      <c r="U234" s="9">
        <f t="shared" si="53"/>
        <v>3607</v>
      </c>
      <c r="V234" s="9">
        <f t="shared" si="54"/>
        <v>48</v>
      </c>
      <c r="W234" s="7">
        <v>17</v>
      </c>
      <c r="X234" s="7">
        <f t="shared" si="60"/>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v>0</v>
      </c>
      <c r="BF234" s="18">
        <v>0</v>
      </c>
      <c r="BG234">
        <v>0</v>
      </c>
      <c r="BH234">
        <v>1</v>
      </c>
      <c r="BI234" s="18">
        <v>0</v>
      </c>
      <c r="BJ234">
        <v>869</v>
      </c>
      <c r="BK234">
        <v>116</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51"/>
        <v>6.7427965823426028</v>
      </c>
      <c r="H235" s="16">
        <f t="shared" si="52"/>
        <v>8.413030598152238</v>
      </c>
      <c r="I235" s="11">
        <f t="shared" si="55"/>
        <v>0.14939224351455971</v>
      </c>
      <c r="J235" s="33">
        <f t="shared" si="56"/>
        <v>1.6463634999563725E-2</v>
      </c>
      <c r="K235" s="33">
        <f t="shared" si="57"/>
        <v>60.739927727169565</v>
      </c>
      <c r="L235" s="8">
        <v>1</v>
      </c>
      <c r="M235" s="9">
        <v>0</v>
      </c>
      <c r="N235" s="8">
        <v>1</v>
      </c>
      <c r="O235" s="9">
        <v>0</v>
      </c>
      <c r="P235" s="9">
        <v>0</v>
      </c>
      <c r="Q235" s="9">
        <v>0</v>
      </c>
      <c r="R235" s="9">
        <v>0</v>
      </c>
      <c r="S235" s="8">
        <v>3614</v>
      </c>
      <c r="T235" s="9">
        <v>6</v>
      </c>
      <c r="U235" s="9">
        <f t="shared" si="53"/>
        <v>3607</v>
      </c>
      <c r="V235" s="9">
        <f t="shared" si="54"/>
        <v>48</v>
      </c>
      <c r="W235" s="7">
        <v>12</v>
      </c>
      <c r="X235" s="7">
        <f t="shared" si="60"/>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v>0</v>
      </c>
      <c r="BF235" s="18">
        <v>0</v>
      </c>
      <c r="BG235">
        <v>0</v>
      </c>
      <c r="BH235">
        <v>1</v>
      </c>
      <c r="BI235" s="18">
        <v>0</v>
      </c>
      <c r="BJ235">
        <v>869</v>
      </c>
      <c r="BK235">
        <v>116</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v>
      </c>
      <c r="F236" s="7">
        <v>4.2857142857142856</v>
      </c>
      <c r="G236" s="7">
        <f t="shared" si="51"/>
        <v>6.3581301837866206</v>
      </c>
      <c r="H236" s="16">
        <f t="shared" si="52"/>
        <v>10.228296382613259</v>
      </c>
      <c r="I236" s="11">
        <f t="shared" si="55"/>
        <v>7.1178233468594559E-2</v>
      </c>
      <c r="J236" s="33">
        <f t="shared" si="56"/>
        <v>1.6608254476005398E-2</v>
      </c>
      <c r="K236" s="33">
        <f t="shared" si="57"/>
        <v>60.21102346695973</v>
      </c>
      <c r="L236" s="8">
        <v>1</v>
      </c>
      <c r="M236" s="9">
        <v>0</v>
      </c>
      <c r="N236" s="8">
        <v>1</v>
      </c>
      <c r="O236" s="9">
        <v>0</v>
      </c>
      <c r="P236" s="9">
        <v>0</v>
      </c>
      <c r="Q236" s="9">
        <v>0</v>
      </c>
      <c r="R236" s="9">
        <v>0</v>
      </c>
      <c r="S236" s="8">
        <v>3614</v>
      </c>
      <c r="T236" s="9">
        <v>6</v>
      </c>
      <c r="U236" s="9">
        <f t="shared" si="53"/>
        <v>3607</v>
      </c>
      <c r="V236" s="9">
        <f t="shared" si="54"/>
        <v>48</v>
      </c>
      <c r="W236" s="7">
        <v>9</v>
      </c>
      <c r="X236" s="7">
        <f t="shared" si="60"/>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v>0</v>
      </c>
      <c r="BF236" s="18">
        <v>0</v>
      </c>
      <c r="BG236">
        <v>0</v>
      </c>
      <c r="BH236">
        <v>1</v>
      </c>
      <c r="BI236" s="18">
        <v>0</v>
      </c>
      <c r="BJ236">
        <v>869</v>
      </c>
      <c r="BK236">
        <v>116</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51"/>
        <v>7.5475227619573628</v>
      </c>
      <c r="H237" s="16">
        <f t="shared" si="52"/>
        <v>8.5016114180964433</v>
      </c>
      <c r="I237" s="11">
        <f t="shared" si="55"/>
        <v>0.27001834234929567</v>
      </c>
      <c r="J237" s="33">
        <f t="shared" si="56"/>
        <v>1.6052045829682123E-2</v>
      </c>
      <c r="K237" s="33">
        <f t="shared" si="57"/>
        <v>62.297355154000513</v>
      </c>
      <c r="L237" s="8">
        <v>1</v>
      </c>
      <c r="M237" s="9">
        <v>0</v>
      </c>
      <c r="N237" s="8">
        <v>1</v>
      </c>
      <c r="O237" s="9">
        <v>0</v>
      </c>
      <c r="P237" s="9">
        <v>0</v>
      </c>
      <c r="Q237" s="9">
        <v>0</v>
      </c>
      <c r="R237" s="9">
        <v>0</v>
      </c>
      <c r="S237" s="8">
        <v>3611</v>
      </c>
      <c r="T237" s="9">
        <v>12</v>
      </c>
      <c r="U237" s="9">
        <f t="shared" si="53"/>
        <v>3598</v>
      </c>
      <c r="V237" s="9">
        <f t="shared" si="54"/>
        <v>48</v>
      </c>
      <c r="W237" s="7">
        <v>17</v>
      </c>
      <c r="X237" s="7">
        <f t="shared" si="60"/>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v>0</v>
      </c>
      <c r="BF237" s="18">
        <v>0</v>
      </c>
      <c r="BG237">
        <v>0</v>
      </c>
      <c r="BH237">
        <v>1</v>
      </c>
      <c r="BI237" s="18">
        <v>0</v>
      </c>
      <c r="BJ237">
        <v>869</v>
      </c>
      <c r="BK237">
        <v>116</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51"/>
        <v>5.8628722147640024</v>
      </c>
      <c r="H238" s="16">
        <f t="shared" si="52"/>
        <v>7.6092596829915768</v>
      </c>
      <c r="I238" s="11">
        <f t="shared" si="55"/>
        <v>0.12755660349884759</v>
      </c>
      <c r="J238" s="33">
        <f t="shared" si="56"/>
        <v>1.6535115268369132E-2</v>
      </c>
      <c r="K238" s="33">
        <f t="shared" si="57"/>
        <v>60.4773528197261</v>
      </c>
      <c r="L238" s="8">
        <v>1</v>
      </c>
      <c r="M238" s="9">
        <v>0</v>
      </c>
      <c r="N238" s="8">
        <v>1</v>
      </c>
      <c r="O238" s="9">
        <v>0</v>
      </c>
      <c r="P238" s="9">
        <v>0</v>
      </c>
      <c r="Q238" s="9">
        <v>0</v>
      </c>
      <c r="R238" s="9">
        <v>0</v>
      </c>
      <c r="S238" s="8">
        <v>3611</v>
      </c>
      <c r="T238" s="9">
        <v>12</v>
      </c>
      <c r="U238" s="9">
        <f t="shared" si="53"/>
        <v>3598</v>
      </c>
      <c r="V238" s="9">
        <f t="shared" si="54"/>
        <v>48</v>
      </c>
      <c r="W238" s="7">
        <v>12</v>
      </c>
      <c r="X238" s="7">
        <f t="shared" si="60"/>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v>0</v>
      </c>
      <c r="BF238" s="18">
        <v>0</v>
      </c>
      <c r="BG238">
        <v>0</v>
      </c>
      <c r="BH238">
        <v>1</v>
      </c>
      <c r="BI238" s="18">
        <v>0</v>
      </c>
      <c r="BJ238">
        <v>869</v>
      </c>
      <c r="BK238">
        <v>116</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51"/>
        <v>5.5411862287422888</v>
      </c>
      <c r="H239" s="16">
        <f t="shared" si="52"/>
        <v>9.4416860322145144</v>
      </c>
      <c r="I239" s="11">
        <f t="shared" si="55"/>
        <v>6.3908046110112735E-2</v>
      </c>
      <c r="J239" s="33">
        <f t="shared" si="56"/>
        <v>1.6637218615442571E-2</v>
      </c>
      <c r="K239" s="33">
        <f t="shared" si="57"/>
        <v>60.106200628499629</v>
      </c>
      <c r="L239" s="8">
        <v>1</v>
      </c>
      <c r="M239" s="9">
        <v>0</v>
      </c>
      <c r="N239" s="8">
        <v>1</v>
      </c>
      <c r="O239" s="9">
        <v>0</v>
      </c>
      <c r="P239" s="9">
        <v>0</v>
      </c>
      <c r="Q239" s="9">
        <v>0</v>
      </c>
      <c r="R239" s="9">
        <v>0</v>
      </c>
      <c r="S239" s="8">
        <v>3611</v>
      </c>
      <c r="T239" s="9">
        <v>12</v>
      </c>
      <c r="U239" s="9">
        <f t="shared" si="53"/>
        <v>3598</v>
      </c>
      <c r="V239" s="9">
        <f t="shared" si="54"/>
        <v>48</v>
      </c>
      <c r="W239" s="7">
        <v>9</v>
      </c>
      <c r="X239" s="7">
        <f t="shared" si="60"/>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v>0</v>
      </c>
      <c r="BF239" s="18">
        <v>0</v>
      </c>
      <c r="BG239">
        <v>0</v>
      </c>
      <c r="BH239">
        <v>1</v>
      </c>
      <c r="BI239" s="18">
        <v>0</v>
      </c>
      <c r="BJ239">
        <v>869</v>
      </c>
      <c r="BK239">
        <v>116</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51"/>
        <v>6.7459869792507066</v>
      </c>
      <c r="H240" s="16">
        <f t="shared" si="52"/>
        <v>7.7838311299046614</v>
      </c>
      <c r="I240" s="11">
        <f t="shared" si="55"/>
        <v>0.22737941430131367</v>
      </c>
      <c r="J240" s="33">
        <f t="shared" si="56"/>
        <v>1.6241386735808119E-2</v>
      </c>
      <c r="K240" s="33">
        <f t="shared" si="57"/>
        <v>61.571097115448573</v>
      </c>
      <c r="L240" s="8">
        <v>1</v>
      </c>
      <c r="M240" s="9">
        <v>0</v>
      </c>
      <c r="N240" s="8">
        <v>1</v>
      </c>
      <c r="O240" s="9">
        <v>0</v>
      </c>
      <c r="P240" s="9">
        <v>0</v>
      </c>
      <c r="Q240" s="9">
        <v>0</v>
      </c>
      <c r="R240" s="9">
        <v>0</v>
      </c>
      <c r="S240" s="8">
        <v>3611</v>
      </c>
      <c r="T240" s="9">
        <v>15</v>
      </c>
      <c r="U240" s="9">
        <f t="shared" si="53"/>
        <v>3595</v>
      </c>
      <c r="V240" s="9">
        <f t="shared" si="54"/>
        <v>48</v>
      </c>
      <c r="W240" s="7">
        <v>17</v>
      </c>
      <c r="X240" s="7">
        <f t="shared" si="60"/>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v>0</v>
      </c>
      <c r="BF240" s="18">
        <v>0</v>
      </c>
      <c r="BG240">
        <v>0</v>
      </c>
      <c r="BH240">
        <v>1</v>
      </c>
      <c r="BI240" s="18">
        <v>0</v>
      </c>
      <c r="BJ240">
        <v>869</v>
      </c>
      <c r="BK240">
        <v>116</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51"/>
        <v>5.6246642461980993</v>
      </c>
      <c r="H241" s="16">
        <f t="shared" si="52"/>
        <v>7.4370560588619323</v>
      </c>
      <c r="I241" s="11">
        <f t="shared" si="55"/>
        <v>0.11933944596542113</v>
      </c>
      <c r="J241" s="33">
        <f t="shared" si="56"/>
        <v>1.6559061880369444E-2</v>
      </c>
      <c r="K241" s="33">
        <f t="shared" si="57"/>
        <v>60.389894501541008</v>
      </c>
      <c r="L241" s="8">
        <v>1</v>
      </c>
      <c r="M241" s="9">
        <v>0</v>
      </c>
      <c r="N241" s="8">
        <v>1</v>
      </c>
      <c r="O241" s="9">
        <v>0</v>
      </c>
      <c r="P241" s="9">
        <v>0</v>
      </c>
      <c r="Q241" s="9">
        <v>0</v>
      </c>
      <c r="R241" s="9">
        <v>0</v>
      </c>
      <c r="S241" s="8">
        <v>3611</v>
      </c>
      <c r="T241" s="9">
        <v>15</v>
      </c>
      <c r="U241" s="9">
        <f t="shared" si="53"/>
        <v>3595</v>
      </c>
      <c r="V241" s="9">
        <f t="shared" si="54"/>
        <v>48</v>
      </c>
      <c r="W241" s="7">
        <v>12</v>
      </c>
      <c r="X241" s="7">
        <f t="shared" si="60"/>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v>0</v>
      </c>
      <c r="BF241" s="18">
        <v>0</v>
      </c>
      <c r="BG241">
        <v>0</v>
      </c>
      <c r="BH241">
        <v>1</v>
      </c>
      <c r="BI241" s="18">
        <v>0</v>
      </c>
      <c r="BJ241">
        <v>869</v>
      </c>
      <c r="BK241">
        <v>116</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1.98568114551063</v>
      </c>
      <c r="F242" s="7">
        <v>3.65625</v>
      </c>
      <c r="G242" s="7">
        <f t="shared" si="51"/>
        <v>5.2744655427626093</v>
      </c>
      <c r="H242" s="16">
        <f t="shared" si="52"/>
        <v>9.2458278337838689</v>
      </c>
      <c r="I242" s="11">
        <f t="shared" si="55"/>
        <v>6.0866798928885767E-2</v>
      </c>
      <c r="J242" s="33">
        <f t="shared" si="56"/>
        <v>1.6647329621575595E-2</v>
      </c>
      <c r="K242" s="33">
        <f t="shared" si="57"/>
        <v>60.069694223147991</v>
      </c>
      <c r="L242" s="8">
        <v>1</v>
      </c>
      <c r="M242" s="9">
        <v>0</v>
      </c>
      <c r="N242" s="8">
        <v>1</v>
      </c>
      <c r="O242" s="9">
        <v>0</v>
      </c>
      <c r="P242" s="9">
        <v>0</v>
      </c>
      <c r="Q242" s="9">
        <v>0</v>
      </c>
      <c r="R242" s="9">
        <v>0</v>
      </c>
      <c r="S242" s="8">
        <v>3611</v>
      </c>
      <c r="T242" s="9">
        <v>15</v>
      </c>
      <c r="U242" s="9">
        <f t="shared" si="53"/>
        <v>3595</v>
      </c>
      <c r="V242" s="9">
        <f t="shared" si="54"/>
        <v>48</v>
      </c>
      <c r="W242" s="7">
        <v>9</v>
      </c>
      <c r="X242" s="7">
        <f t="shared" si="60"/>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v>0</v>
      </c>
      <c r="BF242" s="18">
        <v>0</v>
      </c>
      <c r="BG242">
        <v>0</v>
      </c>
      <c r="BH242">
        <v>1</v>
      </c>
      <c r="BI242" s="18">
        <v>0</v>
      </c>
      <c r="BJ242">
        <v>869</v>
      </c>
      <c r="BK242">
        <v>116</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61">D243/E243</f>
        <v>23.999999999999996</v>
      </c>
      <c r="G243" s="7">
        <f t="shared" si="51"/>
        <v>9.1999999999999993</v>
      </c>
      <c r="H243" s="16">
        <f t="shared" si="52"/>
        <v>10</v>
      </c>
      <c r="I243" s="11">
        <f t="shared" si="55"/>
        <v>0.37112415986742592</v>
      </c>
      <c r="J243" s="33">
        <f t="shared" si="56"/>
        <v>1.5463506661142748E-2</v>
      </c>
      <c r="K243" s="33">
        <f t="shared" si="57"/>
        <v>64.668384856898967</v>
      </c>
      <c r="L243" s="8">
        <v>1</v>
      </c>
      <c r="M243" s="9">
        <v>0</v>
      </c>
      <c r="N243" s="8">
        <v>1</v>
      </c>
      <c r="O243" s="9">
        <v>0</v>
      </c>
      <c r="P243" s="9">
        <v>0</v>
      </c>
      <c r="Q243" s="9">
        <v>0</v>
      </c>
      <c r="R243" s="9">
        <v>0</v>
      </c>
      <c r="S243" s="8">
        <v>3613</v>
      </c>
      <c r="T243" s="9">
        <v>6</v>
      </c>
      <c r="U243" s="9">
        <f t="shared" si="53"/>
        <v>3606</v>
      </c>
      <c r="V243" s="9">
        <f t="shared" si="54"/>
        <v>48</v>
      </c>
      <c r="W243" s="7">
        <v>10.967499999999999</v>
      </c>
      <c r="X243" s="7">
        <f t="shared" si="60"/>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v>0</v>
      </c>
      <c r="BF243" s="18">
        <v>0</v>
      </c>
      <c r="BG243">
        <v>0</v>
      </c>
      <c r="BH243">
        <v>1</v>
      </c>
      <c r="BI243" s="18">
        <v>0</v>
      </c>
      <c r="BJ243">
        <v>869</v>
      </c>
      <c r="BK243">
        <v>116</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61"/>
        <v>23.999999999999996</v>
      </c>
      <c r="G244" s="7">
        <f t="shared" si="51"/>
        <v>9.1999999999999993</v>
      </c>
      <c r="H244" s="16">
        <f t="shared" si="52"/>
        <v>10</v>
      </c>
      <c r="I244" s="11">
        <f t="shared" si="55"/>
        <v>0.37112415986742592</v>
      </c>
      <c r="J244" s="33">
        <f t="shared" si="56"/>
        <v>1.5463506661142748E-2</v>
      </c>
      <c r="K244" s="33">
        <f t="shared" si="57"/>
        <v>64.668384856898967</v>
      </c>
      <c r="L244" s="8">
        <v>1</v>
      </c>
      <c r="M244" s="9">
        <v>0</v>
      </c>
      <c r="N244" s="8">
        <v>1</v>
      </c>
      <c r="O244" s="9">
        <v>0</v>
      </c>
      <c r="P244" s="9">
        <v>0</v>
      </c>
      <c r="Q244" s="9">
        <v>0</v>
      </c>
      <c r="R244" s="9">
        <v>0</v>
      </c>
      <c r="S244" s="8">
        <v>3613</v>
      </c>
      <c r="T244" s="9">
        <v>6</v>
      </c>
      <c r="U244" s="9">
        <f t="shared" si="53"/>
        <v>3606</v>
      </c>
      <c r="V244" s="9">
        <f t="shared" si="54"/>
        <v>48</v>
      </c>
      <c r="W244" s="7">
        <v>10.967499999999999</v>
      </c>
      <c r="X244" s="7">
        <f t="shared" si="60"/>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v>0</v>
      </c>
      <c r="BF244" s="18">
        <v>0</v>
      </c>
      <c r="BG244">
        <v>0</v>
      </c>
      <c r="BH244">
        <v>1</v>
      </c>
      <c r="BI244" s="18">
        <v>0</v>
      </c>
      <c r="BJ244">
        <v>869</v>
      </c>
      <c r="BK244">
        <v>116</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61"/>
        <v>22.25</v>
      </c>
      <c r="G245" s="7">
        <f t="shared" si="51"/>
        <v>8.5</v>
      </c>
      <c r="H245" s="16">
        <f t="shared" si="52"/>
        <v>9.3000000000000007</v>
      </c>
      <c r="I245" s="11">
        <f t="shared" si="55"/>
        <v>0.34782347219477794</v>
      </c>
      <c r="J245" s="33">
        <f t="shared" si="56"/>
        <v>1.5632515604259684E-2</v>
      </c>
      <c r="K245" s="33">
        <f t="shared" si="57"/>
        <v>63.969230884855875</v>
      </c>
      <c r="L245" s="8">
        <v>1</v>
      </c>
      <c r="M245" s="9">
        <v>0</v>
      </c>
      <c r="N245" s="8">
        <v>1</v>
      </c>
      <c r="O245" s="9">
        <v>0</v>
      </c>
      <c r="P245" s="9">
        <v>0</v>
      </c>
      <c r="Q245" s="9">
        <v>0</v>
      </c>
      <c r="R245" s="9">
        <v>0</v>
      </c>
      <c r="S245" s="8">
        <v>3610</v>
      </c>
      <c r="T245" s="9">
        <v>12</v>
      </c>
      <c r="U245" s="9">
        <f t="shared" si="53"/>
        <v>3597</v>
      </c>
      <c r="V245" s="9">
        <f t="shared" si="54"/>
        <v>48</v>
      </c>
      <c r="W245" s="7">
        <v>10.967499999999999</v>
      </c>
      <c r="X245" s="7">
        <f t="shared" si="60"/>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v>0</v>
      </c>
      <c r="BF245" s="18">
        <v>0</v>
      </c>
      <c r="BG245">
        <v>0</v>
      </c>
      <c r="BH245">
        <v>1</v>
      </c>
      <c r="BI245" s="18">
        <v>0</v>
      </c>
      <c r="BJ245">
        <v>869</v>
      </c>
      <c r="BK245">
        <v>116</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61"/>
        <v>20.75</v>
      </c>
      <c r="G246" s="7">
        <f t="shared" si="51"/>
        <v>7.9</v>
      </c>
      <c r="H246" s="16">
        <f t="shared" si="52"/>
        <v>8.7000000000000011</v>
      </c>
      <c r="I246" s="11">
        <f t="shared" si="55"/>
        <v>0.32708359535466042</v>
      </c>
      <c r="J246" s="33">
        <f t="shared" si="56"/>
        <v>1.5763064836369176E-2</v>
      </c>
      <c r="K246" s="33">
        <f t="shared" si="57"/>
        <v>63.439439625520023</v>
      </c>
      <c r="L246" s="8">
        <v>1</v>
      </c>
      <c r="M246" s="9">
        <v>0</v>
      </c>
      <c r="N246" s="8">
        <v>1</v>
      </c>
      <c r="O246" s="9">
        <v>0</v>
      </c>
      <c r="P246" s="9">
        <v>0</v>
      </c>
      <c r="Q246" s="9">
        <v>0</v>
      </c>
      <c r="R246" s="9">
        <v>0</v>
      </c>
      <c r="S246" s="8">
        <v>3610</v>
      </c>
      <c r="T246" s="9">
        <v>15</v>
      </c>
      <c r="U246" s="9">
        <f t="shared" si="53"/>
        <v>3594</v>
      </c>
      <c r="V246" s="9">
        <f t="shared" si="54"/>
        <v>48</v>
      </c>
      <c r="W246" s="7">
        <v>10.967499999999999</v>
      </c>
      <c r="X246" s="7">
        <f t="shared" si="60"/>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v>0</v>
      </c>
      <c r="BF246" s="18">
        <v>0</v>
      </c>
      <c r="BG246">
        <v>0</v>
      </c>
      <c r="BH246">
        <v>1</v>
      </c>
      <c r="BI246" s="18">
        <v>0</v>
      </c>
      <c r="BJ246">
        <v>869</v>
      </c>
      <c r="BK246">
        <v>116</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61"/>
        <v>19.285714285714288</v>
      </c>
      <c r="G247" s="7">
        <f t="shared" si="51"/>
        <v>12.8</v>
      </c>
      <c r="H247" s="16">
        <f t="shared" si="52"/>
        <v>14.2</v>
      </c>
      <c r="I247" s="11">
        <f t="shared" si="55"/>
        <v>0.30573988659797846</v>
      </c>
      <c r="J247" s="33">
        <f t="shared" si="56"/>
        <v>1.5853179305080366E-2</v>
      </c>
      <c r="K247" s="33">
        <f t="shared" si="57"/>
        <v>63.078829852100171</v>
      </c>
      <c r="L247" s="8">
        <v>1</v>
      </c>
      <c r="M247" s="9">
        <v>0</v>
      </c>
      <c r="N247" s="8">
        <v>1</v>
      </c>
      <c r="O247" s="9">
        <v>0</v>
      </c>
      <c r="P247" s="9">
        <v>0</v>
      </c>
      <c r="Q247" s="9">
        <v>0</v>
      </c>
      <c r="R247" s="9">
        <v>0</v>
      </c>
      <c r="S247" s="8">
        <v>3613</v>
      </c>
      <c r="T247" s="9">
        <v>5</v>
      </c>
      <c r="U247" s="9">
        <f t="shared" si="53"/>
        <v>3607</v>
      </c>
      <c r="V247" s="9">
        <f t="shared" si="54"/>
        <v>48</v>
      </c>
      <c r="W247" s="7">
        <v>17</v>
      </c>
      <c r="X247" s="7">
        <f t="shared" si="60"/>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v>0</v>
      </c>
      <c r="BF247" s="18">
        <v>0</v>
      </c>
      <c r="BG247">
        <v>0</v>
      </c>
      <c r="BH247">
        <v>1</v>
      </c>
      <c r="BI247" s="18">
        <v>0</v>
      </c>
      <c r="BJ247">
        <v>869</v>
      </c>
      <c r="BK247">
        <v>116</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61"/>
        <v>9</v>
      </c>
      <c r="G248" s="7">
        <f t="shared" si="51"/>
        <v>5.6</v>
      </c>
      <c r="H248" s="16">
        <f t="shared" si="52"/>
        <v>7</v>
      </c>
      <c r="I248" s="11">
        <f t="shared" si="55"/>
        <v>0.14819960743622645</v>
      </c>
      <c r="J248" s="33">
        <f t="shared" si="56"/>
        <v>1.6466623048469606E-2</v>
      </c>
      <c r="K248" s="33">
        <f t="shared" si="57"/>
        <v>60.728905802755904</v>
      </c>
      <c r="L248" s="8">
        <v>1</v>
      </c>
      <c r="M248" s="9">
        <v>0</v>
      </c>
      <c r="N248" s="8">
        <v>1</v>
      </c>
      <c r="O248" s="9">
        <v>0</v>
      </c>
      <c r="P248" s="9">
        <v>0</v>
      </c>
      <c r="Q248" s="9">
        <v>0</v>
      </c>
      <c r="R248" s="9">
        <v>0</v>
      </c>
      <c r="S248" s="8">
        <v>3613</v>
      </c>
      <c r="T248" s="9">
        <v>5</v>
      </c>
      <c r="U248" s="9">
        <f t="shared" si="53"/>
        <v>3607</v>
      </c>
      <c r="V248" s="9">
        <f t="shared" si="54"/>
        <v>48</v>
      </c>
      <c r="W248" s="7">
        <v>7</v>
      </c>
      <c r="X248" s="7">
        <f t="shared" si="60"/>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v>0</v>
      </c>
      <c r="BF248" s="18">
        <v>0</v>
      </c>
      <c r="BG248">
        <v>0</v>
      </c>
      <c r="BH248">
        <v>1</v>
      </c>
      <c r="BI248" s="18">
        <v>0</v>
      </c>
      <c r="BJ248">
        <v>869</v>
      </c>
      <c r="BK248">
        <v>116</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61"/>
        <v>19.285714285714288</v>
      </c>
      <c r="G249" s="7">
        <f t="shared" si="51"/>
        <v>12.8</v>
      </c>
      <c r="H249" s="16">
        <f t="shared" si="52"/>
        <v>14.2</v>
      </c>
      <c r="I249" s="11">
        <f t="shared" si="55"/>
        <v>0.30573988659797846</v>
      </c>
      <c r="J249" s="33">
        <f t="shared" si="56"/>
        <v>1.5853179305080366E-2</v>
      </c>
      <c r="K249" s="33">
        <f t="shared" si="57"/>
        <v>63.078829852100171</v>
      </c>
      <c r="L249" s="8">
        <v>1</v>
      </c>
      <c r="M249" s="9">
        <v>0</v>
      </c>
      <c r="N249" s="8">
        <v>1</v>
      </c>
      <c r="O249" s="9">
        <v>0</v>
      </c>
      <c r="P249" s="9">
        <v>0</v>
      </c>
      <c r="Q249" s="9">
        <v>0</v>
      </c>
      <c r="R249" s="9">
        <v>0</v>
      </c>
      <c r="S249" s="8">
        <v>3613</v>
      </c>
      <c r="T249" s="9">
        <v>5</v>
      </c>
      <c r="U249" s="9">
        <f t="shared" si="53"/>
        <v>3607</v>
      </c>
      <c r="V249" s="9">
        <f t="shared" si="54"/>
        <v>48</v>
      </c>
      <c r="W249" s="7">
        <v>17</v>
      </c>
      <c r="X249" s="7">
        <f t="shared" si="60"/>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v>0</v>
      </c>
      <c r="BF249" s="18">
        <v>0</v>
      </c>
      <c r="BG249">
        <v>0</v>
      </c>
      <c r="BH249">
        <v>1</v>
      </c>
      <c r="BI249" s="18">
        <v>0</v>
      </c>
      <c r="BJ249">
        <v>869</v>
      </c>
      <c r="BK249">
        <v>116</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61"/>
        <v>7.75</v>
      </c>
      <c r="G250" s="7">
        <f t="shared" si="51"/>
        <v>5.4</v>
      </c>
      <c r="H250" s="16">
        <f t="shared" si="52"/>
        <v>7</v>
      </c>
      <c r="I250" s="11">
        <f t="shared" si="55"/>
        <v>0.12803251186248216</v>
      </c>
      <c r="J250" s="33">
        <f t="shared" si="56"/>
        <v>1.652032411128802E-2</v>
      </c>
      <c r="K250" s="33">
        <f t="shared" si="57"/>
        <v>60.531500064016249</v>
      </c>
      <c r="L250" s="8">
        <v>1</v>
      </c>
      <c r="M250" s="9">
        <v>0</v>
      </c>
      <c r="N250" s="8">
        <v>1</v>
      </c>
      <c r="O250" s="9">
        <v>0</v>
      </c>
      <c r="P250" s="9">
        <v>0</v>
      </c>
      <c r="Q250" s="9">
        <v>0</v>
      </c>
      <c r="R250" s="9">
        <v>0</v>
      </c>
      <c r="S250" s="8">
        <v>3610</v>
      </c>
      <c r="T250" s="9">
        <v>5</v>
      </c>
      <c r="U250" s="9">
        <f t="shared" si="53"/>
        <v>3604</v>
      </c>
      <c r="V250" s="9">
        <f t="shared" si="54"/>
        <v>48</v>
      </c>
      <c r="W250" s="7">
        <v>7</v>
      </c>
      <c r="X250" s="7">
        <f t="shared" si="60"/>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v>0</v>
      </c>
      <c r="BF250" s="18">
        <v>0</v>
      </c>
      <c r="BG250">
        <v>0</v>
      </c>
      <c r="BH250">
        <v>1</v>
      </c>
      <c r="BI250" s="18">
        <v>0</v>
      </c>
      <c r="BJ250">
        <v>869</v>
      </c>
      <c r="BK250">
        <v>116</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61"/>
        <v>18.428571428571431</v>
      </c>
      <c r="G251" s="7">
        <f t="shared" si="51"/>
        <v>12.200000000000001</v>
      </c>
      <c r="H251" s="16">
        <f t="shared" si="52"/>
        <v>13.6</v>
      </c>
      <c r="I251" s="11">
        <f t="shared" si="55"/>
        <v>0.2936805581146279</v>
      </c>
      <c r="J251" s="33">
        <f t="shared" si="56"/>
        <v>1.5936154316297638E-2</v>
      </c>
      <c r="K251" s="33">
        <f t="shared" si="57"/>
        <v>62.750396372437024</v>
      </c>
      <c r="L251" s="8">
        <v>1</v>
      </c>
      <c r="M251" s="9">
        <v>0</v>
      </c>
      <c r="N251" s="8">
        <v>1</v>
      </c>
      <c r="O251" s="9">
        <v>0</v>
      </c>
      <c r="P251" s="9">
        <v>0</v>
      </c>
      <c r="Q251" s="9">
        <v>0</v>
      </c>
      <c r="R251" s="9">
        <v>0</v>
      </c>
      <c r="S251" s="8">
        <v>3610</v>
      </c>
      <c r="T251" s="9">
        <v>11</v>
      </c>
      <c r="U251" s="9">
        <f t="shared" si="53"/>
        <v>3598</v>
      </c>
      <c r="V251" s="9">
        <f t="shared" si="54"/>
        <v>48</v>
      </c>
      <c r="W251" s="7">
        <v>17</v>
      </c>
      <c r="X251" s="7">
        <f t="shared" si="60"/>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v>0</v>
      </c>
      <c r="BF251" s="18">
        <v>0</v>
      </c>
      <c r="BG251">
        <v>0</v>
      </c>
      <c r="BH251">
        <v>1</v>
      </c>
      <c r="BI251" s="18">
        <v>0</v>
      </c>
      <c r="BJ251">
        <v>869</v>
      </c>
      <c r="BK251">
        <v>116</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61"/>
        <v>7.7142857142857153</v>
      </c>
      <c r="G252" s="7">
        <f t="shared" si="51"/>
        <v>4.7</v>
      </c>
      <c r="H252" s="16">
        <f t="shared" si="52"/>
        <v>6.1000000000000005</v>
      </c>
      <c r="I252" s="11">
        <f t="shared" si="55"/>
        <v>0.12755660349884759</v>
      </c>
      <c r="J252" s="33">
        <f t="shared" si="56"/>
        <v>1.6535115268369132E-2</v>
      </c>
      <c r="K252" s="33">
        <f t="shared" si="57"/>
        <v>60.4773528197261</v>
      </c>
      <c r="L252" s="8">
        <v>1</v>
      </c>
      <c r="M252" s="9">
        <v>0</v>
      </c>
      <c r="N252" s="8">
        <v>1</v>
      </c>
      <c r="O252" s="9">
        <v>0</v>
      </c>
      <c r="P252" s="9">
        <v>0</v>
      </c>
      <c r="Q252" s="9">
        <v>0</v>
      </c>
      <c r="R252" s="9">
        <v>0</v>
      </c>
      <c r="S252" s="8">
        <v>3610</v>
      </c>
      <c r="T252" s="9">
        <v>11</v>
      </c>
      <c r="U252" s="9">
        <f t="shared" si="53"/>
        <v>3598</v>
      </c>
      <c r="V252" s="9">
        <f t="shared" si="54"/>
        <v>48</v>
      </c>
      <c r="W252" s="7">
        <v>7</v>
      </c>
      <c r="X252" s="7">
        <f t="shared" si="60"/>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v>0</v>
      </c>
      <c r="BF252" s="18">
        <v>0</v>
      </c>
      <c r="BG252">
        <v>0</v>
      </c>
      <c r="BH252">
        <v>1</v>
      </c>
      <c r="BI252" s="18">
        <v>0</v>
      </c>
      <c r="BJ252">
        <v>869</v>
      </c>
      <c r="BK252">
        <v>116</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61"/>
        <v>17</v>
      </c>
      <c r="G253" s="7">
        <f t="shared" si="51"/>
        <v>11.200000000000001</v>
      </c>
      <c r="H253" s="16">
        <f t="shared" si="52"/>
        <v>12.6</v>
      </c>
      <c r="I253" s="11">
        <f t="shared" si="55"/>
        <v>0.27277798111741397</v>
      </c>
      <c r="J253" s="33">
        <f t="shared" si="56"/>
        <v>1.6045763595141999E-2</v>
      </c>
      <c r="K253" s="33">
        <f t="shared" si="57"/>
        <v>62.321745803531535</v>
      </c>
      <c r="L253" s="8">
        <v>1</v>
      </c>
      <c r="M253" s="9">
        <v>0</v>
      </c>
      <c r="N253" s="8">
        <v>1</v>
      </c>
      <c r="O253" s="9">
        <v>0</v>
      </c>
      <c r="P253" s="9">
        <v>0</v>
      </c>
      <c r="Q253" s="9">
        <v>0</v>
      </c>
      <c r="R253" s="9">
        <v>0</v>
      </c>
      <c r="S253" s="8">
        <v>3610</v>
      </c>
      <c r="T253" s="9">
        <v>14</v>
      </c>
      <c r="U253" s="9">
        <f t="shared" si="53"/>
        <v>3595</v>
      </c>
      <c r="V253" s="9">
        <f t="shared" si="54"/>
        <v>48</v>
      </c>
      <c r="W253" s="7">
        <v>17</v>
      </c>
      <c r="X253" s="7">
        <f t="shared" si="60"/>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v>0</v>
      </c>
      <c r="BF253" s="18">
        <v>0</v>
      </c>
      <c r="BG253">
        <v>0</v>
      </c>
      <c r="BH253">
        <v>1</v>
      </c>
      <c r="BI253" s="18">
        <v>0</v>
      </c>
      <c r="BJ253">
        <v>869</v>
      </c>
      <c r="BK253">
        <v>116</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61"/>
        <v>6.6249999999999991</v>
      </c>
      <c r="G254" s="7">
        <f t="shared" si="51"/>
        <v>4.5</v>
      </c>
      <c r="H254" s="16">
        <f t="shared" si="52"/>
        <v>6.1</v>
      </c>
      <c r="I254" s="11">
        <f t="shared" si="55"/>
        <v>0.10982504289539416</v>
      </c>
      <c r="J254" s="33">
        <f t="shared" si="56"/>
        <v>1.6577364965342515E-2</v>
      </c>
      <c r="K254" s="33">
        <f t="shared" si="57"/>
        <v>60.323217959588334</v>
      </c>
      <c r="L254" s="8">
        <v>1</v>
      </c>
      <c r="M254" s="9">
        <v>0</v>
      </c>
      <c r="N254" s="8">
        <v>1</v>
      </c>
      <c r="O254" s="9">
        <v>0</v>
      </c>
      <c r="P254" s="9">
        <v>0</v>
      </c>
      <c r="Q254" s="9">
        <v>0</v>
      </c>
      <c r="R254" s="9">
        <v>0</v>
      </c>
      <c r="S254" s="8">
        <v>3610</v>
      </c>
      <c r="T254" s="9">
        <v>14</v>
      </c>
      <c r="U254" s="9">
        <f t="shared" si="53"/>
        <v>3595</v>
      </c>
      <c r="V254" s="9">
        <f t="shared" si="54"/>
        <v>48</v>
      </c>
      <c r="W254" s="7">
        <v>7</v>
      </c>
      <c r="X254" s="7">
        <f t="shared" si="60"/>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v>0</v>
      </c>
      <c r="BF254" s="18">
        <v>0</v>
      </c>
      <c r="BG254">
        <v>0</v>
      </c>
      <c r="BH254">
        <v>1</v>
      </c>
      <c r="BI254" s="18">
        <v>0</v>
      </c>
      <c r="BJ254">
        <v>869</v>
      </c>
      <c r="BK254">
        <v>116</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51"/>
        <v>6.7459869792507066</v>
      </c>
      <c r="H255" s="16">
        <f t="shared" si="52"/>
        <v>7.7838311299046614</v>
      </c>
      <c r="I255" s="11">
        <f t="shared" si="55"/>
        <v>0.22710998958306755</v>
      </c>
      <c r="J255" s="33">
        <f t="shared" si="56"/>
        <v>1.6222142113076255E-2</v>
      </c>
      <c r="K255" s="33">
        <f t="shared" si="57"/>
        <v>61.644140029689758</v>
      </c>
      <c r="L255" s="8">
        <v>1</v>
      </c>
      <c r="M255" s="9">
        <v>0</v>
      </c>
      <c r="N255" s="8">
        <v>1</v>
      </c>
      <c r="O255" s="9">
        <v>0</v>
      </c>
      <c r="P255" s="9">
        <v>0</v>
      </c>
      <c r="Q255" s="9">
        <v>0</v>
      </c>
      <c r="R255" s="9">
        <v>0</v>
      </c>
      <c r="S255" s="8">
        <v>3611</v>
      </c>
      <c r="T255" s="9">
        <v>6</v>
      </c>
      <c r="U255" s="9">
        <f t="shared" si="53"/>
        <v>3604</v>
      </c>
      <c r="V255" s="9">
        <f t="shared" si="54"/>
        <v>48</v>
      </c>
      <c r="W255" s="7">
        <v>17</v>
      </c>
      <c r="X255" s="7">
        <f t="shared" si="60"/>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v>0</v>
      </c>
      <c r="BF255" s="18">
        <v>0</v>
      </c>
      <c r="BG255">
        <v>0</v>
      </c>
      <c r="BH255">
        <v>1</v>
      </c>
      <c r="BI255" s="18">
        <v>0</v>
      </c>
      <c r="BJ255">
        <v>869</v>
      </c>
      <c r="BK255">
        <v>116</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51"/>
        <v>5.6246642461980993</v>
      </c>
      <c r="H256" s="16">
        <f t="shared" si="52"/>
        <v>7.4370560588619323</v>
      </c>
      <c r="I256" s="11">
        <f t="shared" si="55"/>
        <v>0.11919246365301839</v>
      </c>
      <c r="J256" s="33">
        <f t="shared" si="56"/>
        <v>1.6538667205442746E-2</v>
      </c>
      <c r="K256" s="33">
        <f t="shared" si="57"/>
        <v>60.464364363708086</v>
      </c>
      <c r="L256" s="8">
        <v>1</v>
      </c>
      <c r="M256" s="9">
        <v>0</v>
      </c>
      <c r="N256" s="8">
        <v>1</v>
      </c>
      <c r="O256" s="9">
        <v>0</v>
      </c>
      <c r="P256" s="9">
        <v>0</v>
      </c>
      <c r="Q256" s="9">
        <v>0</v>
      </c>
      <c r="R256" s="9">
        <v>0</v>
      </c>
      <c r="S256" s="8">
        <v>3611</v>
      </c>
      <c r="T256" s="9">
        <v>6</v>
      </c>
      <c r="U256" s="9">
        <f t="shared" si="53"/>
        <v>3604</v>
      </c>
      <c r="V256" s="9">
        <f t="shared" si="54"/>
        <v>48</v>
      </c>
      <c r="W256" s="7">
        <v>12</v>
      </c>
      <c r="X256" s="7">
        <f t="shared" si="60"/>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v>0</v>
      </c>
      <c r="BF256" s="18">
        <v>0</v>
      </c>
      <c r="BG256">
        <v>0</v>
      </c>
      <c r="BH256">
        <v>1</v>
      </c>
      <c r="BI256" s="18">
        <v>0</v>
      </c>
      <c r="BJ256">
        <v>869</v>
      </c>
      <c r="BK256">
        <v>116</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1.98568114551063</v>
      </c>
      <c r="F257" s="7">
        <v>3.65625</v>
      </c>
      <c r="G257" s="7">
        <f t="shared" si="51"/>
        <v>5.2744655427626093</v>
      </c>
      <c r="H257" s="16">
        <f t="shared" si="52"/>
        <v>9.2458278337838689</v>
      </c>
      <c r="I257" s="11">
        <f t="shared" si="55"/>
        <v>6.0791033576574907E-2</v>
      </c>
      <c r="J257" s="33">
        <f t="shared" si="56"/>
        <v>1.6626607473935018E-2</v>
      </c>
      <c r="K257" s="33">
        <f t="shared" si="57"/>
        <v>60.144560552576159</v>
      </c>
      <c r="L257" s="8">
        <v>1</v>
      </c>
      <c r="M257" s="9">
        <v>0</v>
      </c>
      <c r="N257" s="8">
        <v>1</v>
      </c>
      <c r="O257" s="9">
        <v>0</v>
      </c>
      <c r="P257" s="9">
        <v>0</v>
      </c>
      <c r="Q257" s="9">
        <v>0</v>
      </c>
      <c r="R257" s="9">
        <v>0</v>
      </c>
      <c r="S257" s="8">
        <v>3611</v>
      </c>
      <c r="T257" s="9">
        <v>6</v>
      </c>
      <c r="U257" s="9">
        <f t="shared" si="53"/>
        <v>3604</v>
      </c>
      <c r="V257" s="9">
        <f t="shared" si="54"/>
        <v>48</v>
      </c>
      <c r="W257" s="7">
        <v>9</v>
      </c>
      <c r="X257" s="7">
        <f t="shared" si="60"/>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v>0</v>
      </c>
      <c r="BF257" s="18">
        <v>0</v>
      </c>
      <c r="BG257">
        <v>0</v>
      </c>
      <c r="BH257">
        <v>1</v>
      </c>
      <c r="BI257" s="18">
        <v>0</v>
      </c>
      <c r="BJ257">
        <v>869</v>
      </c>
      <c r="BK257">
        <v>116</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6.6382116493849166</v>
      </c>
      <c r="E258" s="14">
        <v>3.1001674457549622</v>
      </c>
      <c r="F258" s="7">
        <v>2.1412429378531068</v>
      </c>
      <c r="G258" s="7">
        <f t="shared" ref="G258:G321" si="62">D258-E258</f>
        <v>3.5380442036299544</v>
      </c>
      <c r="H258" s="16">
        <f t="shared" ref="H258:H321" si="63">D258+E258</f>
        <v>9.7383790951398783</v>
      </c>
      <c r="I258" s="11">
        <f t="shared" si="55"/>
        <v>3.5644906394878516E-2</v>
      </c>
      <c r="J258" s="33">
        <f t="shared" si="56"/>
        <v>1.6646829635602899E-2</v>
      </c>
      <c r="K258" s="33">
        <f t="shared" si="57"/>
        <v>60.071498410801333</v>
      </c>
      <c r="L258" s="8">
        <v>1</v>
      </c>
      <c r="M258" s="9">
        <v>0</v>
      </c>
      <c r="N258" s="8">
        <v>1</v>
      </c>
      <c r="O258" s="9">
        <v>0</v>
      </c>
      <c r="P258" s="9">
        <v>0</v>
      </c>
      <c r="Q258" s="9">
        <v>0</v>
      </c>
      <c r="R258" s="9">
        <v>0</v>
      </c>
      <c r="S258" s="8">
        <v>3611</v>
      </c>
      <c r="T258" s="9">
        <v>6</v>
      </c>
      <c r="U258" s="9">
        <f t="shared" ref="U258:U321" si="64">S258-T258-1</f>
        <v>3604</v>
      </c>
      <c r="V258" s="9">
        <f t="shared" ref="V258:V321" si="65">COUNTIF(B:B,B258)</f>
        <v>48</v>
      </c>
      <c r="W258" s="7">
        <v>17</v>
      </c>
      <c r="X258" s="7">
        <f t="shared" si="60"/>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v>0</v>
      </c>
      <c r="BF258" s="18">
        <v>0</v>
      </c>
      <c r="BG258">
        <v>0</v>
      </c>
      <c r="BH258">
        <v>1</v>
      </c>
      <c r="BI258" s="18">
        <v>0</v>
      </c>
      <c r="BJ258">
        <v>869</v>
      </c>
      <c r="BK258">
        <v>116</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v>
      </c>
      <c r="F259" s="7">
        <v>2.380165289256198</v>
      </c>
      <c r="G259" s="7">
        <f t="shared" si="62"/>
        <v>5.1041906141854998</v>
      </c>
      <c r="H259" s="16">
        <f t="shared" si="63"/>
        <v>12.500682402406403</v>
      </c>
      <c r="I259" s="11">
        <f t="shared" si="55"/>
        <v>3.9616276756962047E-2</v>
      </c>
      <c r="J259" s="33">
        <f t="shared" si="56"/>
        <v>1.6644338498584751E-2</v>
      </c>
      <c r="K259" s="33">
        <f t="shared" si="57"/>
        <v>60.080489235725942</v>
      </c>
      <c r="L259" s="8">
        <v>1</v>
      </c>
      <c r="M259" s="9">
        <v>0</v>
      </c>
      <c r="N259" s="8">
        <v>1</v>
      </c>
      <c r="O259" s="9">
        <v>0</v>
      </c>
      <c r="P259" s="9">
        <v>0</v>
      </c>
      <c r="Q259" s="9">
        <v>0</v>
      </c>
      <c r="R259" s="9">
        <v>0</v>
      </c>
      <c r="S259" s="8">
        <v>3611</v>
      </c>
      <c r="T259" s="9">
        <v>6</v>
      </c>
      <c r="U259" s="9">
        <f t="shared" si="64"/>
        <v>3604</v>
      </c>
      <c r="V259" s="9">
        <f t="shared" si="65"/>
        <v>48</v>
      </c>
      <c r="W259" s="7">
        <v>12</v>
      </c>
      <c r="X259" s="7">
        <f t="shared" si="60"/>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v>0</v>
      </c>
      <c r="BF259" s="18">
        <v>0</v>
      </c>
      <c r="BG259">
        <v>0</v>
      </c>
      <c r="BH259">
        <v>1</v>
      </c>
      <c r="BI259" s="18">
        <v>0</v>
      </c>
      <c r="BJ259">
        <v>869</v>
      </c>
      <c r="BK259">
        <v>116</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2.2068965517241379</v>
      </c>
      <c r="G260" s="7">
        <f t="shared" si="62"/>
        <v>3.2972099166661382</v>
      </c>
      <c r="H260" s="16">
        <f t="shared" si="63"/>
        <v>8.7611577785700234</v>
      </c>
      <c r="I260" s="11">
        <f t="shared" si="55"/>
        <v>3.6736377862039801E-2</v>
      </c>
      <c r="J260" s="33">
        <f t="shared" si="56"/>
        <v>1.6646171218736787E-2</v>
      </c>
      <c r="K260" s="33">
        <f t="shared" si="57"/>
        <v>60.073874457953949</v>
      </c>
      <c r="L260" s="8">
        <v>1</v>
      </c>
      <c r="M260" s="9">
        <v>0</v>
      </c>
      <c r="N260" s="8">
        <v>1</v>
      </c>
      <c r="O260" s="9">
        <v>0</v>
      </c>
      <c r="P260" s="9">
        <v>0</v>
      </c>
      <c r="Q260" s="9">
        <v>0</v>
      </c>
      <c r="R260" s="9">
        <v>0</v>
      </c>
      <c r="S260" s="8">
        <v>3611</v>
      </c>
      <c r="T260" s="9">
        <v>6</v>
      </c>
      <c r="U260" s="9">
        <f t="shared" si="64"/>
        <v>3604</v>
      </c>
      <c r="V260" s="9">
        <f t="shared" si="65"/>
        <v>48</v>
      </c>
      <c r="W260" s="7">
        <v>9</v>
      </c>
      <c r="X260" s="7">
        <f t="shared" si="60"/>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v>0</v>
      </c>
      <c r="BF260" s="18">
        <v>0</v>
      </c>
      <c r="BG260">
        <v>0</v>
      </c>
      <c r="BH260">
        <v>1</v>
      </c>
      <c r="BI260" s="18">
        <v>0</v>
      </c>
      <c r="BJ260">
        <v>869</v>
      </c>
      <c r="BK260">
        <v>116</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2.940483929188793</v>
      </c>
      <c r="F261" s="7">
        <v>2.1676646706586831</v>
      </c>
      <c r="G261" s="7">
        <f t="shared" si="62"/>
        <v>3.4334991987533803</v>
      </c>
      <c r="H261" s="16">
        <f t="shared" si="63"/>
        <v>9.3144670571309653</v>
      </c>
      <c r="I261" s="11">
        <f t="shared" si="55"/>
        <v>3.6174506318020869E-2</v>
      </c>
      <c r="J261" s="33">
        <f t="shared" si="56"/>
        <v>1.6688239102512385E-2</v>
      </c>
      <c r="K261" s="33">
        <f t="shared" si="57"/>
        <v>59.92243962093351</v>
      </c>
      <c r="L261" s="8">
        <v>1</v>
      </c>
      <c r="M261" s="9">
        <v>0</v>
      </c>
      <c r="N261" s="8">
        <v>1</v>
      </c>
      <c r="O261" s="9">
        <v>0</v>
      </c>
      <c r="P261" s="9">
        <v>0</v>
      </c>
      <c r="Q261" s="9">
        <v>0</v>
      </c>
      <c r="R261" s="9">
        <v>0</v>
      </c>
      <c r="S261" s="8">
        <v>3599</v>
      </c>
      <c r="T261" s="9">
        <v>12</v>
      </c>
      <c r="U261" s="9">
        <f t="shared" si="64"/>
        <v>3586</v>
      </c>
      <c r="V261" s="9">
        <f t="shared" si="65"/>
        <v>48</v>
      </c>
      <c r="W261" s="7">
        <v>17</v>
      </c>
      <c r="X261" s="7">
        <f t="shared" si="60"/>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v>0</v>
      </c>
      <c r="BF261" s="18">
        <v>0</v>
      </c>
      <c r="BG261">
        <v>0</v>
      </c>
      <c r="BH261">
        <v>1</v>
      </c>
      <c r="BI261" s="18">
        <v>0</v>
      </c>
      <c r="BJ261">
        <v>869</v>
      </c>
      <c r="BK261">
        <v>116</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v>
      </c>
      <c r="F262" s="7">
        <v>2.42741935483871</v>
      </c>
      <c r="G262" s="7">
        <f t="shared" si="62"/>
        <v>5.3907176255297564</v>
      </c>
      <c r="H262" s="16">
        <f t="shared" si="63"/>
        <v>12.943813507627947</v>
      </c>
      <c r="I262" s="11">
        <f t="shared" si="55"/>
        <v>4.0502623357663275E-2</v>
      </c>
      <c r="J262" s="33">
        <f t="shared" si="56"/>
        <v>1.6685466100831381E-2</v>
      </c>
      <c r="K262" s="33">
        <f t="shared" si="57"/>
        <v>59.932398289441451</v>
      </c>
      <c r="L262" s="8">
        <v>1</v>
      </c>
      <c r="M262" s="9">
        <v>0</v>
      </c>
      <c r="N262" s="8">
        <v>1</v>
      </c>
      <c r="O262" s="9">
        <v>0</v>
      </c>
      <c r="P262" s="9">
        <v>0</v>
      </c>
      <c r="Q262" s="9">
        <v>0</v>
      </c>
      <c r="R262" s="9">
        <v>0</v>
      </c>
      <c r="S262" s="8">
        <v>3599</v>
      </c>
      <c r="T262" s="9">
        <v>12</v>
      </c>
      <c r="U262" s="9">
        <f t="shared" si="64"/>
        <v>3586</v>
      </c>
      <c r="V262" s="9">
        <f t="shared" si="65"/>
        <v>48</v>
      </c>
      <c r="W262" s="7">
        <v>12</v>
      </c>
      <c r="X262" s="7">
        <f t="shared" si="60"/>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v>0</v>
      </c>
      <c r="BF262" s="18">
        <v>0</v>
      </c>
      <c r="BG262">
        <v>0</v>
      </c>
      <c r="BH262">
        <v>1</v>
      </c>
      <c r="BI262" s="18">
        <v>0</v>
      </c>
      <c r="BJ262">
        <v>869</v>
      </c>
      <c r="BK262">
        <v>116</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2.1348314606741581</v>
      </c>
      <c r="G263" s="7">
        <f t="shared" si="62"/>
        <v>3.1734466918980537</v>
      </c>
      <c r="H263" s="16">
        <f t="shared" si="63"/>
        <v>8.7662537330649197</v>
      </c>
      <c r="I263" s="11">
        <f t="shared" si="55"/>
        <v>3.5627278687847784E-2</v>
      </c>
      <c r="J263" s="33">
        <f t="shared" si="56"/>
        <v>1.6688567385360273E-2</v>
      </c>
      <c r="K263" s="33">
        <f t="shared" si="57"/>
        <v>59.92126087930297</v>
      </c>
      <c r="L263" s="8">
        <v>1</v>
      </c>
      <c r="M263" s="9">
        <v>0</v>
      </c>
      <c r="N263" s="8">
        <v>1</v>
      </c>
      <c r="O263" s="9">
        <v>0</v>
      </c>
      <c r="P263" s="9">
        <v>0</v>
      </c>
      <c r="Q263" s="9">
        <v>0</v>
      </c>
      <c r="R263" s="9">
        <v>0</v>
      </c>
      <c r="S263" s="8">
        <v>3599</v>
      </c>
      <c r="T263" s="9">
        <v>12</v>
      </c>
      <c r="U263" s="9">
        <f t="shared" si="64"/>
        <v>3586</v>
      </c>
      <c r="V263" s="9">
        <f t="shared" si="65"/>
        <v>48</v>
      </c>
      <c r="W263" s="7">
        <v>9</v>
      </c>
      <c r="X263" s="7">
        <f t="shared" si="60"/>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v>0</v>
      </c>
      <c r="BF263" s="18">
        <v>0</v>
      </c>
      <c r="BG263">
        <v>0</v>
      </c>
      <c r="BH263">
        <v>1</v>
      </c>
      <c r="BI263" s="18">
        <v>0</v>
      </c>
      <c r="BJ263">
        <v>869</v>
      </c>
      <c r="BK263">
        <v>116</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2.107344632768362</v>
      </c>
      <c r="G264" s="7">
        <f t="shared" si="62"/>
        <v>3.4393289702921979</v>
      </c>
      <c r="H264" s="16">
        <f t="shared" si="63"/>
        <v>9.6511782329627991</v>
      </c>
      <c r="I264" s="11">
        <f t="shared" ref="I264:I327" si="66">IFERROR(F264/SQRT(F264^2+U264), "X")</f>
        <v>3.5183836008184803E-2</v>
      </c>
      <c r="J264" s="33">
        <f t="shared" ref="J264:J327" si="67">IFERROR(SQRT((1-I264^2)/U264), "X")</f>
        <v>1.6695814942221738E-2</v>
      </c>
      <c r="K264" s="33">
        <f t="shared" ref="K264:K327" si="68">IFERROR(1/J264, "X")</f>
        <v>59.895249405952534</v>
      </c>
      <c r="L264" s="8">
        <v>1</v>
      </c>
      <c r="M264" s="9">
        <v>0</v>
      </c>
      <c r="N264" s="8">
        <v>1</v>
      </c>
      <c r="O264" s="9">
        <v>0</v>
      </c>
      <c r="P264" s="9">
        <v>0</v>
      </c>
      <c r="Q264" s="9">
        <v>0</v>
      </c>
      <c r="R264" s="9">
        <v>0</v>
      </c>
      <c r="S264" s="8">
        <v>3599</v>
      </c>
      <c r="T264" s="9">
        <v>15</v>
      </c>
      <c r="U264" s="9">
        <f t="shared" si="64"/>
        <v>3583</v>
      </c>
      <c r="V264" s="9">
        <f t="shared" si="65"/>
        <v>48</v>
      </c>
      <c r="W264" s="7">
        <v>17</v>
      </c>
      <c r="X264" s="7">
        <f t="shared" si="60"/>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v>0</v>
      </c>
      <c r="BF264" s="18">
        <v>0</v>
      </c>
      <c r="BG264">
        <v>0</v>
      </c>
      <c r="BH264">
        <v>1</v>
      </c>
      <c r="BI264" s="18">
        <v>0</v>
      </c>
      <c r="BJ264">
        <v>869</v>
      </c>
      <c r="BK264">
        <v>116</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3.7298295852473928</v>
      </c>
      <c r="F265" s="7">
        <v>2.3524590163934431</v>
      </c>
      <c r="G265" s="7">
        <f t="shared" si="62"/>
        <v>5.0444416521788522</v>
      </c>
      <c r="H265" s="16">
        <f t="shared" si="63"/>
        <v>12.504100822673637</v>
      </c>
      <c r="I265" s="11">
        <f t="shared" si="66"/>
        <v>3.9270237655435788E-2</v>
      </c>
      <c r="J265" s="33">
        <f t="shared" si="67"/>
        <v>1.6693271755969217E-2</v>
      </c>
      <c r="K265" s="33">
        <f t="shared" si="68"/>
        <v>59.904374326286145</v>
      </c>
      <c r="L265" s="8">
        <v>1</v>
      </c>
      <c r="M265" s="9">
        <v>0</v>
      </c>
      <c r="N265" s="8">
        <v>1</v>
      </c>
      <c r="O265" s="9">
        <v>0</v>
      </c>
      <c r="P265" s="9">
        <v>0</v>
      </c>
      <c r="Q265" s="9">
        <v>0</v>
      </c>
      <c r="R265" s="9">
        <v>0</v>
      </c>
      <c r="S265" s="8">
        <v>3599</v>
      </c>
      <c r="T265" s="9">
        <v>15</v>
      </c>
      <c r="U265" s="9">
        <f t="shared" si="64"/>
        <v>3583</v>
      </c>
      <c r="V265" s="9">
        <f t="shared" si="65"/>
        <v>48</v>
      </c>
      <c r="W265" s="7">
        <v>12</v>
      </c>
      <c r="X265" s="7">
        <f t="shared" si="60"/>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v>0</v>
      </c>
      <c r="BF265" s="18">
        <v>0</v>
      </c>
      <c r="BG265">
        <v>0</v>
      </c>
      <c r="BH265">
        <v>1</v>
      </c>
      <c r="BI265" s="18">
        <v>0</v>
      </c>
      <c r="BJ265">
        <v>869</v>
      </c>
      <c r="BK265">
        <v>116</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2.7593709453833029</v>
      </c>
      <c r="F266" s="7">
        <v>2.2386363636363642</v>
      </c>
      <c r="G266" s="7">
        <f t="shared" si="62"/>
        <v>3.4178571937134103</v>
      </c>
      <c r="H266" s="16">
        <f t="shared" si="63"/>
        <v>8.9365990844800152</v>
      </c>
      <c r="I266" s="11">
        <f t="shared" si="66"/>
        <v>3.7372886443261172E-2</v>
      </c>
      <c r="J266" s="33">
        <f t="shared" si="67"/>
        <v>1.6694487345213109E-2</v>
      </c>
      <c r="K266" s="33">
        <f t="shared" si="68"/>
        <v>59.900012460504506</v>
      </c>
      <c r="L266" s="8">
        <v>1</v>
      </c>
      <c r="M266" s="9">
        <v>0</v>
      </c>
      <c r="N266" s="8">
        <v>1</v>
      </c>
      <c r="O266" s="9">
        <v>0</v>
      </c>
      <c r="P266" s="9">
        <v>0</v>
      </c>
      <c r="Q266" s="9">
        <v>0</v>
      </c>
      <c r="R266" s="9">
        <v>0</v>
      </c>
      <c r="S266" s="8">
        <v>3599</v>
      </c>
      <c r="T266" s="9">
        <v>15</v>
      </c>
      <c r="U266" s="9">
        <f t="shared" si="64"/>
        <v>3583</v>
      </c>
      <c r="V266" s="9">
        <f t="shared" si="65"/>
        <v>48</v>
      </c>
      <c r="W266" s="7">
        <v>9</v>
      </c>
      <c r="X266" s="7">
        <f t="shared" si="60"/>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v>0</v>
      </c>
      <c r="BF266" s="18">
        <v>0</v>
      </c>
      <c r="BG266">
        <v>0</v>
      </c>
      <c r="BH266">
        <v>1</v>
      </c>
      <c r="BI266" s="18">
        <v>0</v>
      </c>
      <c r="BJ266">
        <v>869</v>
      </c>
      <c r="BK266">
        <v>116</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9">D267/E267</f>
        <v>20.75</v>
      </c>
      <c r="G267" s="7">
        <f t="shared" si="62"/>
        <v>7.9</v>
      </c>
      <c r="H267" s="16">
        <f t="shared" si="63"/>
        <v>8.7000000000000011</v>
      </c>
      <c r="I267" s="11">
        <f t="shared" si="66"/>
        <v>0.3266375144591237</v>
      </c>
      <c r="J267" s="33">
        <f t="shared" si="67"/>
        <v>1.5741566961885479E-2</v>
      </c>
      <c r="K267" s="33">
        <f t="shared" si="68"/>
        <v>63.526077322623976</v>
      </c>
      <c r="L267" s="8">
        <v>1</v>
      </c>
      <c r="M267" s="9">
        <v>0</v>
      </c>
      <c r="N267" s="8">
        <v>1</v>
      </c>
      <c r="O267" s="9">
        <v>0</v>
      </c>
      <c r="P267" s="9">
        <v>0</v>
      </c>
      <c r="Q267" s="9">
        <v>0</v>
      </c>
      <c r="R267" s="9">
        <v>0</v>
      </c>
      <c r="S267" s="8">
        <v>3610</v>
      </c>
      <c r="T267" s="9">
        <v>4</v>
      </c>
      <c r="U267" s="9">
        <f t="shared" si="64"/>
        <v>3605</v>
      </c>
      <c r="V267" s="9">
        <f t="shared" si="65"/>
        <v>48</v>
      </c>
      <c r="W267" s="7">
        <v>10.967499999999999</v>
      </c>
      <c r="X267" s="7">
        <f t="shared" si="60"/>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v>0</v>
      </c>
      <c r="BF267" s="18">
        <v>0</v>
      </c>
      <c r="BG267">
        <v>0</v>
      </c>
      <c r="BH267">
        <v>1</v>
      </c>
      <c r="BI267" s="18">
        <v>0</v>
      </c>
      <c r="BJ267">
        <v>869</v>
      </c>
      <c r="BK267">
        <v>116</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9"/>
        <v>4.7058823529411766</v>
      </c>
      <c r="G268" s="7">
        <f t="shared" si="62"/>
        <v>6.3</v>
      </c>
      <c r="H268" s="16">
        <f t="shared" si="63"/>
        <v>9.6999999999999993</v>
      </c>
      <c r="I268" s="11">
        <f t="shared" si="66"/>
        <v>7.8137333630947534E-2</v>
      </c>
      <c r="J268" s="33">
        <f t="shared" si="67"/>
        <v>1.660418339657635E-2</v>
      </c>
      <c r="K268" s="33">
        <f t="shared" si="68"/>
        <v>60.225786244097499</v>
      </c>
      <c r="L268" s="8">
        <v>1</v>
      </c>
      <c r="M268" s="9">
        <v>0</v>
      </c>
      <c r="N268" s="8">
        <v>1</v>
      </c>
      <c r="O268" s="9">
        <v>0</v>
      </c>
      <c r="P268" s="9">
        <v>0</v>
      </c>
      <c r="Q268" s="9">
        <v>0</v>
      </c>
      <c r="R268" s="9">
        <v>0</v>
      </c>
      <c r="S268" s="8">
        <v>3610</v>
      </c>
      <c r="T268" s="9">
        <v>4</v>
      </c>
      <c r="U268" s="9">
        <f t="shared" si="64"/>
        <v>3605</v>
      </c>
      <c r="V268" s="9">
        <f t="shared" si="65"/>
        <v>48</v>
      </c>
      <c r="W268" s="7">
        <v>10.967499999999999</v>
      </c>
      <c r="X268" s="7">
        <f t="shared" si="60"/>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v>0</v>
      </c>
      <c r="BF268" s="18">
        <v>0</v>
      </c>
      <c r="BG268">
        <v>0</v>
      </c>
      <c r="BH268">
        <v>1</v>
      </c>
      <c r="BI268" s="18">
        <v>0</v>
      </c>
      <c r="BJ268">
        <v>869</v>
      </c>
      <c r="BK268">
        <v>116</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9"/>
        <v>4.8235294117647056</v>
      </c>
      <c r="G269" s="7">
        <f t="shared" si="62"/>
        <v>6.4999999999999991</v>
      </c>
      <c r="H269" s="16">
        <f t="shared" si="63"/>
        <v>9.8999999999999986</v>
      </c>
      <c r="I269" s="11">
        <f t="shared" si="66"/>
        <v>8.0277770773294066E-2</v>
      </c>
      <c r="J269" s="33">
        <f t="shared" si="67"/>
        <v>1.6642952477390238E-2</v>
      </c>
      <c r="K269" s="33">
        <f t="shared" si="68"/>
        <v>60.085492724834651</v>
      </c>
      <c r="L269" s="8">
        <v>1</v>
      </c>
      <c r="M269" s="9">
        <v>0</v>
      </c>
      <c r="N269" s="8">
        <v>1</v>
      </c>
      <c r="O269" s="9">
        <v>0</v>
      </c>
      <c r="P269" s="9">
        <v>0</v>
      </c>
      <c r="Q269" s="9">
        <v>0</v>
      </c>
      <c r="R269" s="9">
        <v>0</v>
      </c>
      <c r="S269" s="8">
        <v>3598</v>
      </c>
      <c r="T269" s="9">
        <v>10</v>
      </c>
      <c r="U269" s="9">
        <f t="shared" si="64"/>
        <v>3587</v>
      </c>
      <c r="V269" s="9">
        <f t="shared" si="65"/>
        <v>48</v>
      </c>
      <c r="W269" s="7">
        <v>10.967499999999999</v>
      </c>
      <c r="X269" s="7">
        <f t="shared" si="60"/>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v>0</v>
      </c>
      <c r="BF269" s="18">
        <v>0</v>
      </c>
      <c r="BG269">
        <v>0</v>
      </c>
      <c r="BH269">
        <v>1</v>
      </c>
      <c r="BI269" s="18">
        <v>0</v>
      </c>
      <c r="BJ269">
        <v>869</v>
      </c>
      <c r="BK269">
        <v>116</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9"/>
        <v>4.7058823529411766</v>
      </c>
      <c r="G270" s="7">
        <f t="shared" si="62"/>
        <v>6.3</v>
      </c>
      <c r="H270" s="16">
        <f t="shared" si="63"/>
        <v>9.6999999999999993</v>
      </c>
      <c r="I270" s="11">
        <f t="shared" si="66"/>
        <v>7.8364515553668732E-2</v>
      </c>
      <c r="J270" s="33">
        <f t="shared" si="67"/>
        <v>1.6652459555154608E-2</v>
      </c>
      <c r="K270" s="33">
        <f t="shared" si="68"/>
        <v>60.051189236514894</v>
      </c>
      <c r="L270" s="8">
        <v>1</v>
      </c>
      <c r="M270" s="9">
        <v>0</v>
      </c>
      <c r="N270" s="8">
        <v>1</v>
      </c>
      <c r="O270" s="9">
        <v>0</v>
      </c>
      <c r="P270" s="9">
        <v>0</v>
      </c>
      <c r="Q270" s="9">
        <v>0</v>
      </c>
      <c r="R270" s="9">
        <v>0</v>
      </c>
      <c r="S270" s="8">
        <v>3598</v>
      </c>
      <c r="T270" s="9">
        <v>13</v>
      </c>
      <c r="U270" s="9">
        <f t="shared" si="64"/>
        <v>3584</v>
      </c>
      <c r="V270" s="9">
        <f t="shared" si="65"/>
        <v>48</v>
      </c>
      <c r="W270" s="7">
        <v>10.967499999999999</v>
      </c>
      <c r="X270" s="7">
        <f t="shared" si="60"/>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v>0</v>
      </c>
      <c r="BF270" s="18">
        <v>0</v>
      </c>
      <c r="BG270">
        <v>0</v>
      </c>
      <c r="BH270">
        <v>1</v>
      </c>
      <c r="BI270" s="18">
        <v>0</v>
      </c>
      <c r="BJ270">
        <v>869</v>
      </c>
      <c r="BK270">
        <v>116</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9"/>
        <v>17</v>
      </c>
      <c r="G271" s="7">
        <f t="shared" si="62"/>
        <v>11.200000000000001</v>
      </c>
      <c r="H271" s="16">
        <f t="shared" si="63"/>
        <v>12.6</v>
      </c>
      <c r="I271" s="11">
        <f t="shared" si="66"/>
        <v>0.27246248890491698</v>
      </c>
      <c r="J271" s="33">
        <f t="shared" si="67"/>
        <v>1.6027205229700997E-2</v>
      </c>
      <c r="K271" s="33">
        <f t="shared" si="68"/>
        <v>62.393909959225994</v>
      </c>
      <c r="L271" s="8">
        <v>1</v>
      </c>
      <c r="M271" s="9">
        <v>0</v>
      </c>
      <c r="N271" s="8">
        <v>1</v>
      </c>
      <c r="O271" s="9">
        <v>0</v>
      </c>
      <c r="P271" s="9">
        <v>0</v>
      </c>
      <c r="Q271" s="9">
        <v>0</v>
      </c>
      <c r="R271" s="9">
        <v>0</v>
      </c>
      <c r="S271" s="8">
        <v>3610</v>
      </c>
      <c r="T271" s="9">
        <v>5</v>
      </c>
      <c r="U271" s="9">
        <f t="shared" si="64"/>
        <v>3604</v>
      </c>
      <c r="V271" s="9">
        <f t="shared" si="65"/>
        <v>48</v>
      </c>
      <c r="W271" s="7">
        <v>17</v>
      </c>
      <c r="X271" s="7">
        <f t="shared" si="60"/>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v>0</v>
      </c>
      <c r="BF271" s="18">
        <v>0</v>
      </c>
      <c r="BG271">
        <v>0</v>
      </c>
      <c r="BH271">
        <v>1</v>
      </c>
      <c r="BI271" s="18">
        <v>0</v>
      </c>
      <c r="BJ271">
        <v>869</v>
      </c>
      <c r="BK271">
        <v>116</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9"/>
        <v>6.6249999999999991</v>
      </c>
      <c r="G272" s="7">
        <f t="shared" si="62"/>
        <v>4.5</v>
      </c>
      <c r="H272" s="16">
        <f t="shared" si="63"/>
        <v>6.1</v>
      </c>
      <c r="I272" s="11">
        <f t="shared" si="66"/>
        <v>0.10968948019675485</v>
      </c>
      <c r="J272" s="33">
        <f t="shared" si="67"/>
        <v>1.6556902671208282E-2</v>
      </c>
      <c r="K272" s="33">
        <f t="shared" si="68"/>
        <v>60.397770033338155</v>
      </c>
      <c r="L272" s="8">
        <v>1</v>
      </c>
      <c r="M272" s="9">
        <v>0</v>
      </c>
      <c r="N272" s="8">
        <v>1</v>
      </c>
      <c r="O272" s="9">
        <v>0</v>
      </c>
      <c r="P272" s="9">
        <v>0</v>
      </c>
      <c r="Q272" s="9">
        <v>0</v>
      </c>
      <c r="R272" s="9">
        <v>0</v>
      </c>
      <c r="S272" s="8">
        <v>3610</v>
      </c>
      <c r="T272" s="9">
        <v>5</v>
      </c>
      <c r="U272" s="9">
        <f t="shared" si="64"/>
        <v>3604</v>
      </c>
      <c r="V272" s="9">
        <f t="shared" si="65"/>
        <v>48</v>
      </c>
      <c r="W272" s="7">
        <v>7</v>
      </c>
      <c r="X272" s="7">
        <f t="shared" si="60"/>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v>0</v>
      </c>
      <c r="BF272" s="18">
        <v>0</v>
      </c>
      <c r="BG272">
        <v>0</v>
      </c>
      <c r="BH272">
        <v>1</v>
      </c>
      <c r="BI272" s="18">
        <v>0</v>
      </c>
      <c r="BJ272">
        <v>869</v>
      </c>
      <c r="BK272">
        <v>116</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9"/>
        <v>2.5384615384615388</v>
      </c>
      <c r="G273" s="7">
        <f t="shared" si="62"/>
        <v>6</v>
      </c>
      <c r="H273" s="16">
        <f t="shared" si="63"/>
        <v>13.8</v>
      </c>
      <c r="I273" s="11">
        <f t="shared" si="66"/>
        <v>4.2246457103995896E-2</v>
      </c>
      <c r="J273" s="33">
        <f t="shared" si="67"/>
        <v>1.6642543707634745E-2</v>
      </c>
      <c r="K273" s="33">
        <f t="shared" si="68"/>
        <v>60.086968528810374</v>
      </c>
      <c r="L273" s="8">
        <v>1</v>
      </c>
      <c r="M273" s="9">
        <v>0</v>
      </c>
      <c r="N273" s="8">
        <v>1</v>
      </c>
      <c r="O273" s="9">
        <v>0</v>
      </c>
      <c r="P273" s="9">
        <v>0</v>
      </c>
      <c r="Q273" s="9">
        <v>0</v>
      </c>
      <c r="R273" s="9">
        <v>0</v>
      </c>
      <c r="S273" s="8">
        <v>3610</v>
      </c>
      <c r="T273" s="9">
        <v>5</v>
      </c>
      <c r="U273" s="9">
        <f t="shared" si="64"/>
        <v>3604</v>
      </c>
      <c r="V273" s="9">
        <f t="shared" si="65"/>
        <v>48</v>
      </c>
      <c r="W273" s="7">
        <v>17</v>
      </c>
      <c r="X273" s="7">
        <f t="shared" si="60"/>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v>0</v>
      </c>
      <c r="BF273" s="18">
        <v>0</v>
      </c>
      <c r="BG273">
        <v>0</v>
      </c>
      <c r="BH273">
        <v>1</v>
      </c>
      <c r="BI273" s="18">
        <v>0</v>
      </c>
      <c r="BJ273">
        <v>869</v>
      </c>
      <c r="BK273">
        <v>116</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9"/>
        <v>2.5925925925925926</v>
      </c>
      <c r="G274" s="7">
        <f t="shared" si="62"/>
        <v>4.3</v>
      </c>
      <c r="H274" s="16">
        <f t="shared" si="63"/>
        <v>9.6999999999999993</v>
      </c>
      <c r="I274" s="11">
        <f t="shared" si="66"/>
        <v>4.3145675984180239E-2</v>
      </c>
      <c r="J274" s="33">
        <f t="shared" si="67"/>
        <v>1.664190359389809E-2</v>
      </c>
      <c r="K274" s="33">
        <f t="shared" si="68"/>
        <v>60.08927971236772</v>
      </c>
      <c r="L274" s="8">
        <v>1</v>
      </c>
      <c r="M274" s="9">
        <v>0</v>
      </c>
      <c r="N274" s="8">
        <v>1</v>
      </c>
      <c r="O274" s="9">
        <v>0</v>
      </c>
      <c r="P274" s="9">
        <v>0</v>
      </c>
      <c r="Q274" s="9">
        <v>0</v>
      </c>
      <c r="R274" s="9">
        <v>0</v>
      </c>
      <c r="S274" s="8">
        <v>3610</v>
      </c>
      <c r="T274" s="9">
        <v>5</v>
      </c>
      <c r="U274" s="9">
        <f t="shared" si="64"/>
        <v>3604</v>
      </c>
      <c r="V274" s="9">
        <f t="shared" si="65"/>
        <v>48</v>
      </c>
      <c r="W274" s="7">
        <v>7</v>
      </c>
      <c r="X274" s="7">
        <f t="shared" si="60"/>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v>0</v>
      </c>
      <c r="BF274" s="18">
        <v>0</v>
      </c>
      <c r="BG274">
        <v>0</v>
      </c>
      <c r="BH274">
        <v>1</v>
      </c>
      <c r="BI274" s="18">
        <v>0</v>
      </c>
      <c r="BJ274">
        <v>869</v>
      </c>
      <c r="BK274">
        <v>116</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9"/>
        <v>2.5945945945945943</v>
      </c>
      <c r="G275" s="7">
        <f t="shared" si="62"/>
        <v>5.8999999999999995</v>
      </c>
      <c r="H275" s="16">
        <f t="shared" si="63"/>
        <v>13.3</v>
      </c>
      <c r="I275" s="11">
        <f t="shared" si="66"/>
        <v>4.3286961577418265E-2</v>
      </c>
      <c r="J275" s="33">
        <f t="shared" si="67"/>
        <v>1.6683516441296627E-2</v>
      </c>
      <c r="K275" s="33">
        <f t="shared" si="68"/>
        <v>59.93940207501489</v>
      </c>
      <c r="L275" s="8">
        <v>1</v>
      </c>
      <c r="M275" s="9">
        <v>0</v>
      </c>
      <c r="N275" s="8">
        <v>1</v>
      </c>
      <c r="O275" s="9">
        <v>0</v>
      </c>
      <c r="P275" s="9">
        <v>0</v>
      </c>
      <c r="Q275" s="9">
        <v>0</v>
      </c>
      <c r="R275" s="9">
        <v>0</v>
      </c>
      <c r="S275" s="8">
        <v>3598</v>
      </c>
      <c r="T275" s="9">
        <v>11</v>
      </c>
      <c r="U275" s="9">
        <f t="shared" si="64"/>
        <v>3586</v>
      </c>
      <c r="V275" s="9">
        <f t="shared" si="65"/>
        <v>48</v>
      </c>
      <c r="W275" s="7">
        <v>17</v>
      </c>
      <c r="X275" s="7">
        <f t="shared" si="60"/>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v>0</v>
      </c>
      <c r="BF275" s="18">
        <v>0</v>
      </c>
      <c r="BG275">
        <v>0</v>
      </c>
      <c r="BH275">
        <v>1</v>
      </c>
      <c r="BI275" s="18">
        <v>0</v>
      </c>
      <c r="BJ275">
        <v>869</v>
      </c>
      <c r="BK275">
        <v>116</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9"/>
        <v>2.7407407407407405</v>
      </c>
      <c r="G276" s="7">
        <f t="shared" si="62"/>
        <v>4.7</v>
      </c>
      <c r="H276" s="16">
        <f t="shared" si="63"/>
        <v>10.100000000000001</v>
      </c>
      <c r="I276" s="11">
        <f t="shared" si="66"/>
        <v>4.5720232096191346E-2</v>
      </c>
      <c r="J276" s="33">
        <f t="shared" si="67"/>
        <v>1.6681706305367115E-2</v>
      </c>
      <c r="K276" s="33">
        <f t="shared" si="68"/>
        <v>59.94590611382862</v>
      </c>
      <c r="L276" s="8">
        <v>1</v>
      </c>
      <c r="M276" s="9">
        <v>0</v>
      </c>
      <c r="N276" s="8">
        <v>1</v>
      </c>
      <c r="O276" s="9">
        <v>0</v>
      </c>
      <c r="P276" s="9">
        <v>0</v>
      </c>
      <c r="Q276" s="9">
        <v>0</v>
      </c>
      <c r="R276" s="9">
        <v>0</v>
      </c>
      <c r="S276" s="8">
        <v>3598</v>
      </c>
      <c r="T276" s="9">
        <v>11</v>
      </c>
      <c r="U276" s="9">
        <f t="shared" si="64"/>
        <v>3586</v>
      </c>
      <c r="V276" s="9">
        <f t="shared" si="65"/>
        <v>48</v>
      </c>
      <c r="W276" s="7">
        <v>7</v>
      </c>
      <c r="X276" s="7">
        <f t="shared" si="60"/>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v>0</v>
      </c>
      <c r="BF276" s="18">
        <v>0</v>
      </c>
      <c r="BG276">
        <v>0</v>
      </c>
      <c r="BH276">
        <v>1</v>
      </c>
      <c r="BI276" s="18">
        <v>0</v>
      </c>
      <c r="BJ276">
        <v>869</v>
      </c>
      <c r="BK276">
        <v>116</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9"/>
        <v>2.4500000000000002</v>
      </c>
      <c r="G277" s="7">
        <f t="shared" si="62"/>
        <v>5.8000000000000007</v>
      </c>
      <c r="H277" s="16">
        <f t="shared" si="63"/>
        <v>13.8</v>
      </c>
      <c r="I277" s="11">
        <f t="shared" si="66"/>
        <v>4.0895846678058546E-2</v>
      </c>
      <c r="J277" s="33">
        <f t="shared" si="67"/>
        <v>1.6692182317574914E-2</v>
      </c>
      <c r="K277" s="33">
        <f t="shared" si="68"/>
        <v>59.90828406823217</v>
      </c>
      <c r="L277" s="8">
        <v>1</v>
      </c>
      <c r="M277" s="9">
        <v>0</v>
      </c>
      <c r="N277" s="8">
        <v>1</v>
      </c>
      <c r="O277" s="9">
        <v>0</v>
      </c>
      <c r="P277" s="9">
        <v>0</v>
      </c>
      <c r="Q277" s="9">
        <v>0</v>
      </c>
      <c r="R277" s="9">
        <v>0</v>
      </c>
      <c r="S277" s="8">
        <v>3598</v>
      </c>
      <c r="T277" s="9">
        <v>14</v>
      </c>
      <c r="U277" s="9">
        <f t="shared" si="64"/>
        <v>3583</v>
      </c>
      <c r="V277" s="9">
        <f t="shared" si="65"/>
        <v>48</v>
      </c>
      <c r="W277" s="7">
        <v>17</v>
      </c>
      <c r="X277" s="7">
        <f t="shared" si="60"/>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v>0</v>
      </c>
      <c r="BF277" s="18">
        <v>0</v>
      </c>
      <c r="BG277">
        <v>0</v>
      </c>
      <c r="BH277">
        <v>1</v>
      </c>
      <c r="BI277" s="18">
        <v>0</v>
      </c>
      <c r="BJ277">
        <v>869</v>
      </c>
      <c r="BK277">
        <v>116</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9"/>
        <v>2.5925925925925926</v>
      </c>
      <c r="G278" s="55">
        <f t="shared" si="62"/>
        <v>4.3</v>
      </c>
      <c r="H278" s="56">
        <f t="shared" si="63"/>
        <v>9.6999999999999993</v>
      </c>
      <c r="I278" s="11">
        <f t="shared" si="66"/>
        <v>4.3271693828277141E-2</v>
      </c>
      <c r="J278" s="33">
        <f t="shared" si="67"/>
        <v>1.6690510476621182E-2</v>
      </c>
      <c r="K278" s="33">
        <f t="shared" si="68"/>
        <v>59.914284910621824</v>
      </c>
      <c r="L278" s="59">
        <v>1</v>
      </c>
      <c r="M278" s="60">
        <v>0</v>
      </c>
      <c r="N278" s="59">
        <v>1</v>
      </c>
      <c r="O278" s="60">
        <v>0</v>
      </c>
      <c r="P278" s="60">
        <v>0</v>
      </c>
      <c r="Q278" s="60">
        <v>0</v>
      </c>
      <c r="R278" s="60">
        <v>0</v>
      </c>
      <c r="S278" s="59">
        <v>3598</v>
      </c>
      <c r="T278" s="60">
        <v>14</v>
      </c>
      <c r="U278" s="60">
        <f t="shared" si="64"/>
        <v>3583</v>
      </c>
      <c r="V278" s="60">
        <f t="shared" si="65"/>
        <v>48</v>
      </c>
      <c r="W278" s="55">
        <v>7</v>
      </c>
      <c r="X278" s="55">
        <f t="shared" si="60"/>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v>0</v>
      </c>
      <c r="BF278" s="65">
        <v>0</v>
      </c>
      <c r="BG278">
        <v>0</v>
      </c>
      <c r="BH278">
        <v>1</v>
      </c>
      <c r="BI278" s="65">
        <v>0</v>
      </c>
      <c r="BJ278">
        <v>869</v>
      </c>
      <c r="BK278">
        <v>116</v>
      </c>
      <c r="BL278" s="52">
        <v>44.274999999999999</v>
      </c>
      <c r="BM278" s="51">
        <v>0</v>
      </c>
      <c r="BN278" s="51">
        <v>0</v>
      </c>
      <c r="BO278" s="51">
        <v>0</v>
      </c>
      <c r="BP278" s="51">
        <v>0</v>
      </c>
      <c r="BQ278" s="51">
        <v>0</v>
      </c>
      <c r="BR278" s="51">
        <v>0</v>
      </c>
      <c r="BS278" s="51">
        <v>0</v>
      </c>
      <c r="BT278" s="65">
        <v>1</v>
      </c>
      <c r="BU278" s="51">
        <v>0</v>
      </c>
      <c r="BV278" s="51">
        <v>1</v>
      </c>
      <c r="BW278" s="51">
        <v>0</v>
      </c>
      <c r="BX278" s="65">
        <v>0</v>
      </c>
      <c r="BY278" s="51">
        <v>1</v>
      </c>
      <c r="BZ278" s="51">
        <v>0</v>
      </c>
      <c r="CA278" s="51">
        <v>0</v>
      </c>
      <c r="CB278" s="51">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62"/>
        <v>-9.0032814310451652</v>
      </c>
      <c r="H279" s="16">
        <f t="shared" si="63"/>
        <v>12.171773803557896</v>
      </c>
      <c r="I279" s="11">
        <f t="shared" si="66"/>
        <v>2.1486033195640079E-3</v>
      </c>
      <c r="J279" s="33">
        <f t="shared" si="67"/>
        <v>1.4359130027805221E-2</v>
      </c>
      <c r="K279" s="33">
        <f t="shared" si="68"/>
        <v>69.642102137356929</v>
      </c>
      <c r="L279" s="8">
        <v>1</v>
      </c>
      <c r="M279" s="9">
        <v>0</v>
      </c>
      <c r="N279" s="8">
        <v>0</v>
      </c>
      <c r="O279" s="9">
        <v>1</v>
      </c>
      <c r="P279" s="9">
        <v>0</v>
      </c>
      <c r="Q279" s="9">
        <v>0</v>
      </c>
      <c r="R279" s="9">
        <v>0</v>
      </c>
      <c r="S279" s="8">
        <v>4880</v>
      </c>
      <c r="T279" s="9">
        <v>29</v>
      </c>
      <c r="U279" s="9">
        <f t="shared" si="64"/>
        <v>4850</v>
      </c>
      <c r="V279" s="9">
        <f t="shared" si="65"/>
        <v>16</v>
      </c>
      <c r="W279" s="7">
        <v>6</v>
      </c>
      <c r="X279" s="7">
        <f t="shared" si="60"/>
        <v>37.57</v>
      </c>
      <c r="Y279" s="9">
        <v>0</v>
      </c>
      <c r="Z279" s="9">
        <v>1</v>
      </c>
      <c r="AA279" s="9">
        <v>0</v>
      </c>
      <c r="AB279" s="9">
        <v>0</v>
      </c>
      <c r="AC279" s="9">
        <v>1</v>
      </c>
      <c r="AD279" s="9">
        <v>0</v>
      </c>
      <c r="AE279" s="8">
        <v>0</v>
      </c>
      <c r="AF279" s="9">
        <v>1</v>
      </c>
      <c r="AG279" s="30">
        <v>0</v>
      </c>
      <c r="AH279" s="9">
        <v>1</v>
      </c>
      <c r="AI279" s="30">
        <v>0</v>
      </c>
      <c r="AJ279" s="21">
        <v>2011</v>
      </c>
      <c r="AK279" s="33">
        <f t="shared" ref="AK279:AK294" si="70">1-(AL279+AM279+AN279)</f>
        <v>0.3972</v>
      </c>
      <c r="AL279" s="33">
        <v>0.26300000000000001</v>
      </c>
      <c r="AM279" s="33">
        <v>0.2162</v>
      </c>
      <c r="AN279" s="43">
        <v>0.1236</v>
      </c>
      <c r="AO279" s="42">
        <v>1</v>
      </c>
      <c r="AP279" s="18">
        <v>0</v>
      </c>
      <c r="AQ279">
        <v>0.18748699999999999</v>
      </c>
      <c r="AR279" s="40">
        <f t="shared" ref="AR279:AR294" si="71">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v>0</v>
      </c>
      <c r="BF279" s="18">
        <v>1</v>
      </c>
      <c r="BG279">
        <v>0</v>
      </c>
      <c r="BH279">
        <v>1</v>
      </c>
      <c r="BI279" s="18">
        <v>0</v>
      </c>
      <c r="BJ279">
        <v>1894</v>
      </c>
      <c r="BK279">
        <v>75</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62"/>
        <v>-3.9489575596732442</v>
      </c>
      <c r="H280" s="16">
        <f t="shared" si="63"/>
        <v>6.6089302702123938</v>
      </c>
      <c r="I280" s="11">
        <f t="shared" si="66"/>
        <v>3.6176489903127604E-3</v>
      </c>
      <c r="J280" s="33">
        <f t="shared" si="67"/>
        <v>1.4359069210104596E-2</v>
      </c>
      <c r="K280" s="33">
        <f t="shared" si="68"/>
        <v>69.642397105816002</v>
      </c>
      <c r="L280" s="8">
        <v>1</v>
      </c>
      <c r="M280" s="9">
        <v>0</v>
      </c>
      <c r="N280" s="8">
        <v>0</v>
      </c>
      <c r="O280" s="9">
        <v>1</v>
      </c>
      <c r="P280" s="9">
        <v>0</v>
      </c>
      <c r="Q280" s="9">
        <v>0</v>
      </c>
      <c r="R280" s="9">
        <v>0</v>
      </c>
      <c r="S280" s="8">
        <v>4880</v>
      </c>
      <c r="T280" s="9">
        <v>29</v>
      </c>
      <c r="U280" s="9">
        <f t="shared" si="64"/>
        <v>4850</v>
      </c>
      <c r="V280" s="9">
        <f t="shared" si="65"/>
        <v>16</v>
      </c>
      <c r="W280" s="7">
        <v>12</v>
      </c>
      <c r="X280" s="7">
        <f t="shared" si="60"/>
        <v>31.57</v>
      </c>
      <c r="Y280" s="9">
        <v>0</v>
      </c>
      <c r="Z280" s="9">
        <v>1</v>
      </c>
      <c r="AA280" s="9">
        <v>0</v>
      </c>
      <c r="AB280" s="9">
        <v>0</v>
      </c>
      <c r="AC280" s="9">
        <v>1</v>
      </c>
      <c r="AD280" s="9">
        <v>0</v>
      </c>
      <c r="AE280" s="8">
        <v>0</v>
      </c>
      <c r="AF280" s="9">
        <v>1</v>
      </c>
      <c r="AG280" s="30">
        <v>0</v>
      </c>
      <c r="AH280" s="9">
        <v>1</v>
      </c>
      <c r="AI280" s="30">
        <v>0</v>
      </c>
      <c r="AJ280" s="21">
        <v>2011</v>
      </c>
      <c r="AK280" s="33">
        <f t="shared" si="70"/>
        <v>0.3972</v>
      </c>
      <c r="AL280" s="33">
        <v>0.26300000000000001</v>
      </c>
      <c r="AM280" s="33">
        <v>0.2162</v>
      </c>
      <c r="AN280" s="43">
        <v>0.1236</v>
      </c>
      <c r="AO280" s="42">
        <v>1</v>
      </c>
      <c r="AP280" s="18">
        <v>0</v>
      </c>
      <c r="AQ280">
        <v>0.18748699999999999</v>
      </c>
      <c r="AR280" s="40">
        <f t="shared" si="71"/>
        <v>0.81251300000000004</v>
      </c>
      <c r="AS280">
        <v>0.498</v>
      </c>
      <c r="AT280" s="40">
        <v>0.502</v>
      </c>
      <c r="AU280">
        <v>0</v>
      </c>
      <c r="AV280" s="18">
        <v>1</v>
      </c>
      <c r="AW280">
        <v>0.32400000000000001</v>
      </c>
      <c r="AX280" s="18">
        <v>0.67600000000000005</v>
      </c>
      <c r="AY280" s="18" t="s">
        <v>19</v>
      </c>
      <c r="AZ280">
        <v>0</v>
      </c>
      <c r="BA280">
        <v>0</v>
      </c>
      <c r="BB280">
        <v>0</v>
      </c>
      <c r="BC280">
        <v>0</v>
      </c>
      <c r="BD280">
        <v>0</v>
      </c>
      <c r="BE280">
        <v>0</v>
      </c>
      <c r="BF280" s="18">
        <v>1</v>
      </c>
      <c r="BG280">
        <v>0</v>
      </c>
      <c r="BH280">
        <v>1</v>
      </c>
      <c r="BI280" s="18">
        <v>0</v>
      </c>
      <c r="BJ280">
        <v>1894</v>
      </c>
      <c r="BK280">
        <v>75</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62"/>
        <v>-0.54691683728220797</v>
      </c>
      <c r="H281" s="16">
        <f t="shared" si="63"/>
        <v>6.8022781636974745</v>
      </c>
      <c r="I281" s="11">
        <f t="shared" si="66"/>
        <v>1.2221072658809409E-2</v>
      </c>
      <c r="J281" s="33">
        <f t="shared" si="67"/>
        <v>1.4358090828655861E-2</v>
      </c>
      <c r="K281" s="33">
        <f t="shared" si="68"/>
        <v>69.647142641290515</v>
      </c>
      <c r="L281" s="8">
        <v>1</v>
      </c>
      <c r="M281" s="9">
        <v>0</v>
      </c>
      <c r="N281" s="8">
        <v>0</v>
      </c>
      <c r="O281" s="9">
        <v>1</v>
      </c>
      <c r="P281" s="9">
        <v>0</v>
      </c>
      <c r="Q281" s="9">
        <v>0</v>
      </c>
      <c r="R281" s="9">
        <v>0</v>
      </c>
      <c r="S281" s="8">
        <v>4880</v>
      </c>
      <c r="T281" s="9">
        <v>29</v>
      </c>
      <c r="U281" s="9">
        <f t="shared" si="64"/>
        <v>4850</v>
      </c>
      <c r="V281" s="9">
        <f t="shared" si="65"/>
        <v>16</v>
      </c>
      <c r="W281" s="7">
        <v>16</v>
      </c>
      <c r="X281" s="7">
        <f t="shared" si="60"/>
        <v>27.57</v>
      </c>
      <c r="Y281" s="9">
        <v>0</v>
      </c>
      <c r="Z281" s="9">
        <v>1</v>
      </c>
      <c r="AA281" s="9">
        <v>0</v>
      </c>
      <c r="AB281" s="9">
        <v>0</v>
      </c>
      <c r="AC281" s="9">
        <v>1</v>
      </c>
      <c r="AD281" s="9">
        <v>0</v>
      </c>
      <c r="AE281" s="8">
        <v>0</v>
      </c>
      <c r="AF281" s="9">
        <v>1</v>
      </c>
      <c r="AG281" s="30">
        <v>0</v>
      </c>
      <c r="AH281" s="9">
        <v>1</v>
      </c>
      <c r="AI281" s="30">
        <v>0</v>
      </c>
      <c r="AJ281" s="21">
        <v>2011</v>
      </c>
      <c r="AK281" s="33">
        <f t="shared" si="70"/>
        <v>0.3972</v>
      </c>
      <c r="AL281" s="33">
        <v>0.26300000000000001</v>
      </c>
      <c r="AM281" s="33">
        <v>0.2162</v>
      </c>
      <c r="AN281" s="43">
        <v>0.1236</v>
      </c>
      <c r="AO281" s="42">
        <v>1</v>
      </c>
      <c r="AP281" s="18">
        <v>0</v>
      </c>
      <c r="AQ281">
        <v>0.18748699999999999</v>
      </c>
      <c r="AR281" s="40">
        <f t="shared" si="71"/>
        <v>0.81251300000000004</v>
      </c>
      <c r="AS281">
        <v>0.498</v>
      </c>
      <c r="AT281" s="40">
        <v>0.502</v>
      </c>
      <c r="AU281">
        <v>0</v>
      </c>
      <c r="AV281" s="18">
        <v>1</v>
      </c>
      <c r="AW281">
        <v>0.32400000000000001</v>
      </c>
      <c r="AX281" s="18">
        <v>0.67600000000000005</v>
      </c>
      <c r="AY281" s="18" t="s">
        <v>19</v>
      </c>
      <c r="AZ281">
        <v>0</v>
      </c>
      <c r="BA281">
        <v>0</v>
      </c>
      <c r="BB281">
        <v>0</v>
      </c>
      <c r="BC281">
        <v>0</v>
      </c>
      <c r="BD281">
        <v>0</v>
      </c>
      <c r="BE281">
        <v>0</v>
      </c>
      <c r="BF281" s="18">
        <v>1</v>
      </c>
      <c r="BG281">
        <v>0</v>
      </c>
      <c r="BH281">
        <v>1</v>
      </c>
      <c r="BI281" s="18">
        <v>0</v>
      </c>
      <c r="BJ281">
        <v>1894</v>
      </c>
      <c r="BK281">
        <v>75</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62"/>
        <v>1.3305480095937972</v>
      </c>
      <c r="H282" s="16">
        <f t="shared" si="63"/>
        <v>7.804054173544599</v>
      </c>
      <c r="I282" s="11">
        <f t="shared" si="66"/>
        <v>2.0257697105299E-2</v>
      </c>
      <c r="J282" s="33">
        <f t="shared" si="67"/>
        <v>1.4356216554309312E-2</v>
      </c>
      <c r="K282" s="33">
        <f t="shared" si="68"/>
        <v>69.656235416693377</v>
      </c>
      <c r="L282" s="8">
        <v>1</v>
      </c>
      <c r="M282" s="9">
        <v>0</v>
      </c>
      <c r="N282" s="8">
        <v>0</v>
      </c>
      <c r="O282" s="9">
        <v>1</v>
      </c>
      <c r="P282" s="9">
        <v>0</v>
      </c>
      <c r="Q282" s="9">
        <v>0</v>
      </c>
      <c r="R282" s="9">
        <v>0</v>
      </c>
      <c r="S282" s="8">
        <v>4880</v>
      </c>
      <c r="T282" s="9">
        <v>29</v>
      </c>
      <c r="U282" s="9">
        <f t="shared" si="64"/>
        <v>4850</v>
      </c>
      <c r="V282" s="9">
        <f t="shared" si="65"/>
        <v>16</v>
      </c>
      <c r="W282" s="7">
        <v>21</v>
      </c>
      <c r="X282" s="7">
        <f t="shared" si="60"/>
        <v>22.57</v>
      </c>
      <c r="Y282" s="9">
        <v>0</v>
      </c>
      <c r="Z282" s="9">
        <v>1</v>
      </c>
      <c r="AA282" s="9">
        <v>0</v>
      </c>
      <c r="AB282" s="9">
        <v>0</v>
      </c>
      <c r="AC282" s="9">
        <v>1</v>
      </c>
      <c r="AD282" s="9">
        <v>0</v>
      </c>
      <c r="AE282" s="8">
        <v>0</v>
      </c>
      <c r="AF282" s="9">
        <v>1</v>
      </c>
      <c r="AG282" s="30">
        <v>0</v>
      </c>
      <c r="AH282" s="9">
        <v>1</v>
      </c>
      <c r="AI282" s="30">
        <v>0</v>
      </c>
      <c r="AJ282" s="21">
        <v>2011</v>
      </c>
      <c r="AK282" s="33">
        <f t="shared" si="70"/>
        <v>0.3972</v>
      </c>
      <c r="AL282" s="33">
        <v>0.26300000000000001</v>
      </c>
      <c r="AM282" s="33">
        <v>0.2162</v>
      </c>
      <c r="AN282" s="43">
        <v>0.1236</v>
      </c>
      <c r="AO282" s="42">
        <v>1</v>
      </c>
      <c r="AP282" s="18">
        <v>0</v>
      </c>
      <c r="AQ282">
        <v>0.18748699999999999</v>
      </c>
      <c r="AR282" s="40">
        <f t="shared" si="71"/>
        <v>0.81251300000000004</v>
      </c>
      <c r="AS282">
        <v>0.498</v>
      </c>
      <c r="AT282" s="40">
        <v>0.502</v>
      </c>
      <c r="AU282">
        <v>0</v>
      </c>
      <c r="AV282" s="18">
        <v>1</v>
      </c>
      <c r="AW282">
        <v>0.32400000000000001</v>
      </c>
      <c r="AX282" s="18">
        <v>0.67600000000000005</v>
      </c>
      <c r="AY282" s="18" t="s">
        <v>19</v>
      </c>
      <c r="AZ282">
        <v>0</v>
      </c>
      <c r="BA282">
        <v>0</v>
      </c>
      <c r="BB282">
        <v>0</v>
      </c>
      <c r="BC282">
        <v>0</v>
      </c>
      <c r="BD282">
        <v>0</v>
      </c>
      <c r="BE282">
        <v>0</v>
      </c>
      <c r="BF282" s="18">
        <v>1</v>
      </c>
      <c r="BG282">
        <v>0</v>
      </c>
      <c r="BH282">
        <v>1</v>
      </c>
      <c r="BI282" s="18">
        <v>0</v>
      </c>
      <c r="BJ282">
        <v>1894</v>
      </c>
      <c r="BK282">
        <v>75</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62"/>
        <v>-1.9030389131631278</v>
      </c>
      <c r="H283" s="16">
        <f t="shared" si="63"/>
        <v>4.2246155941696939</v>
      </c>
      <c r="I283" s="11">
        <f t="shared" si="66"/>
        <v>5.4401574114529179E-3</v>
      </c>
      <c r="J283" s="33">
        <f t="shared" si="67"/>
        <v>1.4358950688820801E-2</v>
      </c>
      <c r="K283" s="33">
        <f t="shared" si="68"/>
        <v>69.642971946310297</v>
      </c>
      <c r="L283" s="8">
        <v>1</v>
      </c>
      <c r="M283" s="9">
        <v>0</v>
      </c>
      <c r="N283" s="8">
        <v>0</v>
      </c>
      <c r="O283" s="9">
        <v>1</v>
      </c>
      <c r="P283" s="9">
        <v>0</v>
      </c>
      <c r="Q283" s="9">
        <v>0</v>
      </c>
      <c r="R283" s="9">
        <v>0</v>
      </c>
      <c r="S283" s="8">
        <v>4880</v>
      </c>
      <c r="T283" s="9">
        <v>29</v>
      </c>
      <c r="U283" s="9">
        <f t="shared" si="64"/>
        <v>4850</v>
      </c>
      <c r="V283" s="9">
        <f t="shared" si="65"/>
        <v>16</v>
      </c>
      <c r="W283" s="7">
        <v>6</v>
      </c>
      <c r="X283" s="7">
        <f t="shared" si="60"/>
        <v>37.57</v>
      </c>
      <c r="Y283" s="9">
        <v>0</v>
      </c>
      <c r="Z283" s="9">
        <v>1</v>
      </c>
      <c r="AA283" s="9">
        <v>0</v>
      </c>
      <c r="AB283" s="9">
        <v>0</v>
      </c>
      <c r="AC283" s="9">
        <v>1</v>
      </c>
      <c r="AD283" s="9">
        <v>0</v>
      </c>
      <c r="AE283" s="8">
        <v>0</v>
      </c>
      <c r="AF283" s="9">
        <v>1</v>
      </c>
      <c r="AG283" s="30">
        <v>0</v>
      </c>
      <c r="AH283" s="9">
        <v>1</v>
      </c>
      <c r="AI283" s="30">
        <v>0</v>
      </c>
      <c r="AJ283" s="21">
        <v>2011</v>
      </c>
      <c r="AK283" s="33">
        <f t="shared" si="70"/>
        <v>0.3972</v>
      </c>
      <c r="AL283" s="33">
        <v>0.26300000000000001</v>
      </c>
      <c r="AM283" s="33">
        <v>0.2162</v>
      </c>
      <c r="AN283" s="43">
        <v>0.1236</v>
      </c>
      <c r="AO283" s="42">
        <v>1</v>
      </c>
      <c r="AP283" s="18">
        <v>0</v>
      </c>
      <c r="AQ283">
        <v>0.18748699999999999</v>
      </c>
      <c r="AR283" s="40">
        <f t="shared" si="71"/>
        <v>0.81251300000000004</v>
      </c>
      <c r="AS283">
        <v>0.498</v>
      </c>
      <c r="AT283" s="40">
        <v>0.502</v>
      </c>
      <c r="AU283">
        <v>0</v>
      </c>
      <c r="AV283" s="18">
        <v>1</v>
      </c>
      <c r="AW283">
        <v>0.32400000000000001</v>
      </c>
      <c r="AX283" s="18">
        <v>0.67600000000000005</v>
      </c>
      <c r="AY283" s="18" t="s">
        <v>19</v>
      </c>
      <c r="AZ283">
        <v>0</v>
      </c>
      <c r="BA283">
        <v>0</v>
      </c>
      <c r="BB283">
        <v>0</v>
      </c>
      <c r="BC283">
        <v>0</v>
      </c>
      <c r="BD283">
        <v>0</v>
      </c>
      <c r="BE283">
        <v>0</v>
      </c>
      <c r="BF283" s="18">
        <v>1</v>
      </c>
      <c r="BG283">
        <v>0</v>
      </c>
      <c r="BH283">
        <v>1</v>
      </c>
      <c r="BI283" s="18">
        <v>0</v>
      </c>
      <c r="BJ283">
        <v>1894</v>
      </c>
      <c r="BK283">
        <v>75</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62"/>
        <v>-1.7833424752291687</v>
      </c>
      <c r="H284" s="16">
        <f t="shared" si="63"/>
        <v>7.5829520375290702</v>
      </c>
      <c r="I284" s="11">
        <f t="shared" si="66"/>
        <v>8.8908424179269321E-3</v>
      </c>
      <c r="J284" s="33">
        <f t="shared" si="67"/>
        <v>1.4358595636186907E-2</v>
      </c>
      <c r="K284" s="33">
        <f t="shared" si="68"/>
        <v>69.644694045131686</v>
      </c>
      <c r="L284" s="8">
        <v>1</v>
      </c>
      <c r="M284" s="9">
        <v>0</v>
      </c>
      <c r="N284" s="8">
        <v>0</v>
      </c>
      <c r="O284" s="9">
        <v>1</v>
      </c>
      <c r="P284" s="9">
        <v>0</v>
      </c>
      <c r="Q284" s="9">
        <v>0</v>
      </c>
      <c r="R284" s="9">
        <v>0</v>
      </c>
      <c r="S284" s="8">
        <v>4880</v>
      </c>
      <c r="T284" s="9">
        <v>29</v>
      </c>
      <c r="U284" s="9">
        <f t="shared" si="64"/>
        <v>4850</v>
      </c>
      <c r="V284" s="9">
        <f t="shared" si="65"/>
        <v>16</v>
      </c>
      <c r="W284" s="7">
        <v>12</v>
      </c>
      <c r="X284" s="7">
        <f t="shared" si="60"/>
        <v>31.57</v>
      </c>
      <c r="Y284" s="9">
        <v>0</v>
      </c>
      <c r="Z284" s="9">
        <v>1</v>
      </c>
      <c r="AA284" s="9">
        <v>0</v>
      </c>
      <c r="AB284" s="9">
        <v>0</v>
      </c>
      <c r="AC284" s="9">
        <v>1</v>
      </c>
      <c r="AD284" s="9">
        <v>0</v>
      </c>
      <c r="AE284" s="8">
        <v>0</v>
      </c>
      <c r="AF284" s="9">
        <v>1</v>
      </c>
      <c r="AG284" s="30">
        <v>0</v>
      </c>
      <c r="AH284" s="9">
        <v>1</v>
      </c>
      <c r="AI284" s="30">
        <v>0</v>
      </c>
      <c r="AJ284" s="21">
        <v>2011</v>
      </c>
      <c r="AK284" s="33">
        <f t="shared" si="70"/>
        <v>0.3972</v>
      </c>
      <c r="AL284" s="33">
        <v>0.26300000000000001</v>
      </c>
      <c r="AM284" s="33">
        <v>0.2162</v>
      </c>
      <c r="AN284" s="43">
        <v>0.1236</v>
      </c>
      <c r="AO284" s="42">
        <v>1</v>
      </c>
      <c r="AP284" s="18">
        <v>0</v>
      </c>
      <c r="AQ284">
        <v>0.18748699999999999</v>
      </c>
      <c r="AR284" s="40">
        <f t="shared" si="71"/>
        <v>0.81251300000000004</v>
      </c>
      <c r="AS284">
        <v>0.498</v>
      </c>
      <c r="AT284" s="40">
        <v>0.502</v>
      </c>
      <c r="AU284">
        <v>0</v>
      </c>
      <c r="AV284" s="18">
        <v>1</v>
      </c>
      <c r="AW284">
        <v>0.32400000000000001</v>
      </c>
      <c r="AX284" s="18">
        <v>0.67600000000000005</v>
      </c>
      <c r="AY284" s="18" t="s">
        <v>19</v>
      </c>
      <c r="AZ284">
        <v>0</v>
      </c>
      <c r="BA284">
        <v>0</v>
      </c>
      <c r="BB284">
        <v>0</v>
      </c>
      <c r="BC284">
        <v>0</v>
      </c>
      <c r="BD284">
        <v>0</v>
      </c>
      <c r="BE284">
        <v>0</v>
      </c>
      <c r="BF284" s="18">
        <v>1</v>
      </c>
      <c r="BG284">
        <v>0</v>
      </c>
      <c r="BH284">
        <v>1</v>
      </c>
      <c r="BI284" s="18">
        <v>0</v>
      </c>
      <c r="BJ284">
        <v>1894</v>
      </c>
      <c r="BK284">
        <v>75</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62"/>
        <v>5.805682516116569</v>
      </c>
      <c r="H285" s="16">
        <f t="shared" si="63"/>
        <v>12.237484774641242</v>
      </c>
      <c r="I285" s="11">
        <f t="shared" si="66"/>
        <v>4.024919135710265E-2</v>
      </c>
      <c r="J285" s="33">
        <f t="shared" si="67"/>
        <v>1.4347527554489122E-2</v>
      </c>
      <c r="K285" s="33">
        <f t="shared" si="68"/>
        <v>69.698419898633702</v>
      </c>
      <c r="L285" s="8">
        <v>1</v>
      </c>
      <c r="M285" s="9">
        <v>0</v>
      </c>
      <c r="N285" s="8">
        <v>0</v>
      </c>
      <c r="O285" s="9">
        <v>1</v>
      </c>
      <c r="P285" s="9">
        <v>0</v>
      </c>
      <c r="Q285" s="9">
        <v>0</v>
      </c>
      <c r="R285" s="9">
        <v>0</v>
      </c>
      <c r="S285" s="8">
        <v>4880</v>
      </c>
      <c r="T285" s="9">
        <v>29</v>
      </c>
      <c r="U285" s="9">
        <f t="shared" si="64"/>
        <v>4850</v>
      </c>
      <c r="V285" s="9">
        <f t="shared" si="65"/>
        <v>16</v>
      </c>
      <c r="W285" s="7">
        <v>16</v>
      </c>
      <c r="X285" s="7">
        <f t="shared" si="60"/>
        <v>27.57</v>
      </c>
      <c r="Y285" s="9">
        <v>0</v>
      </c>
      <c r="Z285" s="9">
        <v>1</v>
      </c>
      <c r="AA285" s="9">
        <v>0</v>
      </c>
      <c r="AB285" s="9">
        <v>0</v>
      </c>
      <c r="AC285" s="9">
        <v>1</v>
      </c>
      <c r="AD285" s="9">
        <v>0</v>
      </c>
      <c r="AE285" s="8">
        <v>0</v>
      </c>
      <c r="AF285" s="9">
        <v>1</v>
      </c>
      <c r="AG285" s="30">
        <v>0</v>
      </c>
      <c r="AH285" s="9">
        <v>1</v>
      </c>
      <c r="AI285" s="30">
        <v>0</v>
      </c>
      <c r="AJ285" s="21">
        <v>2011</v>
      </c>
      <c r="AK285" s="33">
        <f t="shared" si="70"/>
        <v>0.3972</v>
      </c>
      <c r="AL285" s="33">
        <v>0.26300000000000001</v>
      </c>
      <c r="AM285" s="33">
        <v>0.2162</v>
      </c>
      <c r="AN285" s="43">
        <v>0.1236</v>
      </c>
      <c r="AO285" s="42">
        <v>1</v>
      </c>
      <c r="AP285" s="18">
        <v>0</v>
      </c>
      <c r="AQ285">
        <v>0.18748699999999999</v>
      </c>
      <c r="AR285" s="40">
        <f t="shared" si="71"/>
        <v>0.81251300000000004</v>
      </c>
      <c r="AS285">
        <v>0.498</v>
      </c>
      <c r="AT285" s="40">
        <v>0.502</v>
      </c>
      <c r="AU285">
        <v>0</v>
      </c>
      <c r="AV285" s="18">
        <v>1</v>
      </c>
      <c r="AW285">
        <v>0.32400000000000001</v>
      </c>
      <c r="AX285" s="18">
        <v>0.67600000000000005</v>
      </c>
      <c r="AY285" s="18" t="s">
        <v>19</v>
      </c>
      <c r="AZ285">
        <v>0</v>
      </c>
      <c r="BA285">
        <v>0</v>
      </c>
      <c r="BB285">
        <v>0</v>
      </c>
      <c r="BC285">
        <v>0</v>
      </c>
      <c r="BD285">
        <v>0</v>
      </c>
      <c r="BE285">
        <v>0</v>
      </c>
      <c r="BF285" s="18">
        <v>1</v>
      </c>
      <c r="BG285">
        <v>0</v>
      </c>
      <c r="BH285">
        <v>1</v>
      </c>
      <c r="BI285" s="18">
        <v>0</v>
      </c>
      <c r="BJ285">
        <v>1894</v>
      </c>
      <c r="BK285">
        <v>75</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62"/>
        <v>8.9457280365839509</v>
      </c>
      <c r="H286" s="16">
        <f t="shared" si="63"/>
        <v>13.04483404666253</v>
      </c>
      <c r="I286" s="11">
        <f t="shared" si="66"/>
        <v>7.6805364073472646E-2</v>
      </c>
      <c r="J286" s="33">
        <f t="shared" si="67"/>
        <v>1.4316747716044097E-2</v>
      </c>
      <c r="K286" s="33">
        <f t="shared" si="68"/>
        <v>69.848265809653654</v>
      </c>
      <c r="L286" s="8">
        <v>1</v>
      </c>
      <c r="M286" s="9">
        <v>0</v>
      </c>
      <c r="N286" s="8">
        <v>0</v>
      </c>
      <c r="O286" s="9">
        <v>1</v>
      </c>
      <c r="P286" s="9">
        <v>0</v>
      </c>
      <c r="Q286" s="9">
        <v>0</v>
      </c>
      <c r="R286" s="9">
        <v>0</v>
      </c>
      <c r="S286" s="8">
        <v>4880</v>
      </c>
      <c r="T286" s="9">
        <v>29</v>
      </c>
      <c r="U286" s="9">
        <f t="shared" si="64"/>
        <v>4850</v>
      </c>
      <c r="V286" s="9">
        <f t="shared" si="65"/>
        <v>16</v>
      </c>
      <c r="W286" s="7">
        <v>21</v>
      </c>
      <c r="X286" s="7">
        <f t="shared" si="60"/>
        <v>22.57</v>
      </c>
      <c r="Y286" s="9">
        <v>0</v>
      </c>
      <c r="Z286" s="9">
        <v>1</v>
      </c>
      <c r="AA286" s="9">
        <v>0</v>
      </c>
      <c r="AB286" s="9">
        <v>0</v>
      </c>
      <c r="AC286" s="9">
        <v>1</v>
      </c>
      <c r="AD286" s="9">
        <v>0</v>
      </c>
      <c r="AE286" s="8">
        <v>0</v>
      </c>
      <c r="AF286" s="9">
        <v>1</v>
      </c>
      <c r="AG286" s="30">
        <v>0</v>
      </c>
      <c r="AH286" s="9">
        <v>1</v>
      </c>
      <c r="AI286" s="30">
        <v>0</v>
      </c>
      <c r="AJ286" s="21">
        <v>2011</v>
      </c>
      <c r="AK286" s="33">
        <f t="shared" si="70"/>
        <v>0.3972</v>
      </c>
      <c r="AL286" s="33">
        <v>0.26300000000000001</v>
      </c>
      <c r="AM286" s="33">
        <v>0.2162</v>
      </c>
      <c r="AN286" s="43">
        <v>0.1236</v>
      </c>
      <c r="AO286" s="42">
        <v>1</v>
      </c>
      <c r="AP286" s="18">
        <v>0</v>
      </c>
      <c r="AQ286">
        <v>0.18748699999999999</v>
      </c>
      <c r="AR286" s="40">
        <f t="shared" si="71"/>
        <v>0.81251300000000004</v>
      </c>
      <c r="AS286">
        <v>0.498</v>
      </c>
      <c r="AT286" s="40">
        <v>0.502</v>
      </c>
      <c r="AU286">
        <v>0</v>
      </c>
      <c r="AV286" s="18">
        <v>1</v>
      </c>
      <c r="AW286">
        <v>0.32400000000000001</v>
      </c>
      <c r="AX286" s="18">
        <v>0.67600000000000005</v>
      </c>
      <c r="AY286" s="18" t="s">
        <v>19</v>
      </c>
      <c r="AZ286">
        <v>0</v>
      </c>
      <c r="BA286">
        <v>0</v>
      </c>
      <c r="BB286">
        <v>0</v>
      </c>
      <c r="BC286">
        <v>0</v>
      </c>
      <c r="BD286">
        <v>0</v>
      </c>
      <c r="BE286">
        <v>0</v>
      </c>
      <c r="BF286" s="18">
        <v>1</v>
      </c>
      <c r="BG286">
        <v>0</v>
      </c>
      <c r="BH286">
        <v>1</v>
      </c>
      <c r="BI286" s="18">
        <v>0</v>
      </c>
      <c r="BJ286">
        <v>1894</v>
      </c>
      <c r="BK286">
        <v>75</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62"/>
        <v>-3.8337287623726004</v>
      </c>
      <c r="H287" s="16">
        <f t="shared" si="63"/>
        <v>6.6214301306088599</v>
      </c>
      <c r="I287" s="11">
        <f t="shared" si="66"/>
        <v>3.8529197966167953E-3</v>
      </c>
      <c r="J287" s="33">
        <f t="shared" si="67"/>
        <v>1.44502166317151E-2</v>
      </c>
      <c r="K287" s="33">
        <f t="shared" si="68"/>
        <v>69.203114768896697</v>
      </c>
      <c r="L287" s="8">
        <v>1</v>
      </c>
      <c r="M287" s="9">
        <v>0</v>
      </c>
      <c r="N287" s="8">
        <v>0</v>
      </c>
      <c r="O287" s="9">
        <v>1</v>
      </c>
      <c r="P287" s="9">
        <v>0</v>
      </c>
      <c r="Q287" s="9">
        <v>0</v>
      </c>
      <c r="R287" s="9">
        <v>0</v>
      </c>
      <c r="S287" s="8">
        <v>4821</v>
      </c>
      <c r="T287" s="9">
        <v>31</v>
      </c>
      <c r="U287" s="9">
        <f t="shared" si="64"/>
        <v>4789</v>
      </c>
      <c r="V287" s="9">
        <f t="shared" si="65"/>
        <v>16</v>
      </c>
      <c r="W287" s="7">
        <v>6</v>
      </c>
      <c r="X287" s="7">
        <f t="shared" si="60"/>
        <v>37.57</v>
      </c>
      <c r="Y287" s="9">
        <v>0</v>
      </c>
      <c r="Z287" s="9">
        <v>1</v>
      </c>
      <c r="AA287" s="9">
        <v>0</v>
      </c>
      <c r="AB287" s="9">
        <v>0</v>
      </c>
      <c r="AC287" s="9">
        <v>1</v>
      </c>
      <c r="AD287" s="9">
        <v>0</v>
      </c>
      <c r="AE287" s="8">
        <v>0</v>
      </c>
      <c r="AF287" s="9">
        <v>1</v>
      </c>
      <c r="AG287" s="30">
        <v>0</v>
      </c>
      <c r="AH287" s="9">
        <v>1</v>
      </c>
      <c r="AI287" s="30">
        <v>0</v>
      </c>
      <c r="AJ287" s="21">
        <v>2011</v>
      </c>
      <c r="AK287" s="33">
        <f t="shared" si="70"/>
        <v>0.3972</v>
      </c>
      <c r="AL287" s="33">
        <v>0.26300000000000001</v>
      </c>
      <c r="AM287" s="33">
        <v>0.2162</v>
      </c>
      <c r="AN287" s="43">
        <v>0.1236</v>
      </c>
      <c r="AO287" s="42">
        <v>1</v>
      </c>
      <c r="AP287" s="18">
        <v>0</v>
      </c>
      <c r="AQ287">
        <v>0.18748699999999999</v>
      </c>
      <c r="AR287" s="40">
        <f t="shared" si="71"/>
        <v>0.81251300000000004</v>
      </c>
      <c r="AS287">
        <v>0.498</v>
      </c>
      <c r="AT287" s="40">
        <v>0.502</v>
      </c>
      <c r="AU287">
        <v>0</v>
      </c>
      <c r="AV287" s="18">
        <v>1</v>
      </c>
      <c r="AW287">
        <v>0.32400000000000001</v>
      </c>
      <c r="AX287" s="18">
        <v>0.67600000000000005</v>
      </c>
      <c r="AY287" s="18" t="s">
        <v>19</v>
      </c>
      <c r="AZ287">
        <v>0</v>
      </c>
      <c r="BA287">
        <v>0</v>
      </c>
      <c r="BB287">
        <v>0</v>
      </c>
      <c r="BC287">
        <v>0</v>
      </c>
      <c r="BD287">
        <v>0</v>
      </c>
      <c r="BE287">
        <v>0</v>
      </c>
      <c r="BF287" s="18">
        <v>1</v>
      </c>
      <c r="BG287">
        <v>0</v>
      </c>
      <c r="BH287">
        <v>1</v>
      </c>
      <c r="BI287" s="18">
        <v>0</v>
      </c>
      <c r="BJ287">
        <v>1894</v>
      </c>
      <c r="BK287">
        <v>75</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62"/>
        <v>-7.5210989644745894</v>
      </c>
      <c r="H288" s="16">
        <f t="shared" si="63"/>
        <v>10.315020718960263</v>
      </c>
      <c r="I288" s="11">
        <f t="shared" si="66"/>
        <v>2.2635512410683397E-3</v>
      </c>
      <c r="J288" s="33">
        <f t="shared" si="67"/>
        <v>1.4450286870225745E-2</v>
      </c>
      <c r="K288" s="33">
        <f t="shared" si="68"/>
        <v>69.202778393310737</v>
      </c>
      <c r="L288" s="8">
        <v>1</v>
      </c>
      <c r="M288" s="9">
        <v>0</v>
      </c>
      <c r="N288" s="8">
        <v>0</v>
      </c>
      <c r="O288" s="9">
        <v>1</v>
      </c>
      <c r="P288" s="9">
        <v>0</v>
      </c>
      <c r="Q288" s="9">
        <v>0</v>
      </c>
      <c r="R288" s="9">
        <v>0</v>
      </c>
      <c r="S288" s="8">
        <v>4821</v>
      </c>
      <c r="T288" s="9">
        <v>31</v>
      </c>
      <c r="U288" s="9">
        <f t="shared" si="64"/>
        <v>4789</v>
      </c>
      <c r="V288" s="9">
        <f t="shared" si="65"/>
        <v>16</v>
      </c>
      <c r="W288" s="7">
        <v>12</v>
      </c>
      <c r="X288" s="7">
        <f t="shared" si="60"/>
        <v>31.57</v>
      </c>
      <c r="Y288" s="9">
        <v>0</v>
      </c>
      <c r="Z288" s="9">
        <v>1</v>
      </c>
      <c r="AA288" s="9">
        <v>0</v>
      </c>
      <c r="AB288" s="9">
        <v>0</v>
      </c>
      <c r="AC288" s="9">
        <v>1</v>
      </c>
      <c r="AD288" s="9">
        <v>0</v>
      </c>
      <c r="AE288" s="8">
        <v>0</v>
      </c>
      <c r="AF288" s="9">
        <v>1</v>
      </c>
      <c r="AG288" s="30">
        <v>0</v>
      </c>
      <c r="AH288" s="9">
        <v>1</v>
      </c>
      <c r="AI288" s="30">
        <v>0</v>
      </c>
      <c r="AJ288" s="21">
        <v>2011</v>
      </c>
      <c r="AK288" s="33">
        <f t="shared" si="70"/>
        <v>0.3972</v>
      </c>
      <c r="AL288" s="33">
        <v>0.26300000000000001</v>
      </c>
      <c r="AM288" s="33">
        <v>0.2162</v>
      </c>
      <c r="AN288" s="43">
        <v>0.1236</v>
      </c>
      <c r="AO288" s="42">
        <v>1</v>
      </c>
      <c r="AP288" s="18">
        <v>0</v>
      </c>
      <c r="AQ288">
        <v>0.18748699999999999</v>
      </c>
      <c r="AR288" s="40">
        <f t="shared" si="71"/>
        <v>0.81251300000000004</v>
      </c>
      <c r="AS288">
        <v>0.498</v>
      </c>
      <c r="AT288" s="40">
        <v>0.502</v>
      </c>
      <c r="AU288">
        <v>0</v>
      </c>
      <c r="AV288" s="18">
        <v>1</v>
      </c>
      <c r="AW288">
        <v>0.32400000000000001</v>
      </c>
      <c r="AX288" s="18">
        <v>0.67600000000000005</v>
      </c>
      <c r="AY288" s="18" t="s">
        <v>19</v>
      </c>
      <c r="AZ288">
        <v>0</v>
      </c>
      <c r="BA288">
        <v>0</v>
      </c>
      <c r="BB288">
        <v>0</v>
      </c>
      <c r="BC288">
        <v>0</v>
      </c>
      <c r="BD288">
        <v>0</v>
      </c>
      <c r="BE288">
        <v>0</v>
      </c>
      <c r="BF288" s="18">
        <v>1</v>
      </c>
      <c r="BG288">
        <v>0</v>
      </c>
      <c r="BH288">
        <v>1</v>
      </c>
      <c r="BI288" s="18">
        <v>0</v>
      </c>
      <c r="BJ288">
        <v>1894</v>
      </c>
      <c r="BK288">
        <v>75</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62"/>
        <v>-0.93546953523465071</v>
      </c>
      <c r="H289" s="16">
        <f t="shared" si="63"/>
        <v>7.3320066036769269</v>
      </c>
      <c r="I289" s="11">
        <f t="shared" si="66"/>
        <v>1.1179500798345203E-2</v>
      </c>
      <c r="J289" s="33">
        <f t="shared" si="67"/>
        <v>1.4449420851674995E-2</v>
      </c>
      <c r="K289" s="33">
        <f t="shared" si="68"/>
        <v>69.206926025971399</v>
      </c>
      <c r="L289" s="8">
        <v>1</v>
      </c>
      <c r="M289" s="9">
        <v>0</v>
      </c>
      <c r="N289" s="8">
        <v>0</v>
      </c>
      <c r="O289" s="9">
        <v>1</v>
      </c>
      <c r="P289" s="9">
        <v>0</v>
      </c>
      <c r="Q289" s="9">
        <v>0</v>
      </c>
      <c r="R289" s="9">
        <v>0</v>
      </c>
      <c r="S289" s="8">
        <v>4821</v>
      </c>
      <c r="T289" s="9">
        <v>31</v>
      </c>
      <c r="U289" s="9">
        <f t="shared" si="64"/>
        <v>4789</v>
      </c>
      <c r="V289" s="9">
        <f t="shared" si="65"/>
        <v>16</v>
      </c>
      <c r="W289" s="7">
        <v>16</v>
      </c>
      <c r="X289" s="7">
        <f t="shared" si="60"/>
        <v>27.57</v>
      </c>
      <c r="Y289" s="9">
        <v>0</v>
      </c>
      <c r="Z289" s="9">
        <v>1</v>
      </c>
      <c r="AA289" s="9">
        <v>0</v>
      </c>
      <c r="AB289" s="9">
        <v>0</v>
      </c>
      <c r="AC289" s="9">
        <v>1</v>
      </c>
      <c r="AD289" s="9">
        <v>0</v>
      </c>
      <c r="AE289" s="8">
        <v>0</v>
      </c>
      <c r="AF289" s="9">
        <v>1</v>
      </c>
      <c r="AG289" s="30">
        <v>0</v>
      </c>
      <c r="AH289" s="9">
        <v>1</v>
      </c>
      <c r="AI289" s="30">
        <v>0</v>
      </c>
      <c r="AJ289" s="21">
        <v>2011</v>
      </c>
      <c r="AK289" s="33">
        <f t="shared" si="70"/>
        <v>0.3972</v>
      </c>
      <c r="AL289" s="33">
        <v>0.26300000000000001</v>
      </c>
      <c r="AM289" s="33">
        <v>0.2162</v>
      </c>
      <c r="AN289" s="43">
        <v>0.1236</v>
      </c>
      <c r="AO289" s="42">
        <v>1</v>
      </c>
      <c r="AP289" s="18">
        <v>0</v>
      </c>
      <c r="AQ289">
        <v>0.18748699999999999</v>
      </c>
      <c r="AR289" s="40">
        <f t="shared" si="71"/>
        <v>0.81251300000000004</v>
      </c>
      <c r="AS289">
        <v>0.498</v>
      </c>
      <c r="AT289" s="40">
        <v>0.502</v>
      </c>
      <c r="AU289">
        <v>0</v>
      </c>
      <c r="AV289" s="18">
        <v>1</v>
      </c>
      <c r="AW289">
        <v>0.32400000000000001</v>
      </c>
      <c r="AX289" s="18">
        <v>0.67600000000000005</v>
      </c>
      <c r="AY289" s="18" t="s">
        <v>19</v>
      </c>
      <c r="AZ289">
        <v>0</v>
      </c>
      <c r="BA289">
        <v>0</v>
      </c>
      <c r="BB289">
        <v>0</v>
      </c>
      <c r="BC289">
        <v>0</v>
      </c>
      <c r="BD289">
        <v>0</v>
      </c>
      <c r="BE289">
        <v>0</v>
      </c>
      <c r="BF289" s="18">
        <v>1</v>
      </c>
      <c r="BG289">
        <v>0</v>
      </c>
      <c r="BH289">
        <v>1</v>
      </c>
      <c r="BI289" s="18">
        <v>0</v>
      </c>
      <c r="BJ289">
        <v>1894</v>
      </c>
      <c r="BK289">
        <v>75</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62"/>
        <v>1.0646486563446858</v>
      </c>
      <c r="H290" s="16">
        <f t="shared" si="63"/>
        <v>7.714109096783778</v>
      </c>
      <c r="I290" s="11">
        <f t="shared" si="66"/>
        <v>1.9074151257265526E-2</v>
      </c>
      <c r="J290" s="33">
        <f t="shared" si="67"/>
        <v>1.4447694968566549E-2</v>
      </c>
      <c r="K290" s="33">
        <f t="shared" si="68"/>
        <v>69.215193300777216</v>
      </c>
      <c r="L290" s="8">
        <v>1</v>
      </c>
      <c r="M290" s="9">
        <v>0</v>
      </c>
      <c r="N290" s="8">
        <v>0</v>
      </c>
      <c r="O290" s="9">
        <v>1</v>
      </c>
      <c r="P290" s="9">
        <v>0</v>
      </c>
      <c r="Q290" s="9">
        <v>0</v>
      </c>
      <c r="R290" s="9">
        <v>0</v>
      </c>
      <c r="S290" s="8">
        <v>4821</v>
      </c>
      <c r="T290" s="9">
        <v>31</v>
      </c>
      <c r="U290" s="9">
        <f t="shared" si="64"/>
        <v>4789</v>
      </c>
      <c r="V290" s="9">
        <f t="shared" si="65"/>
        <v>16</v>
      </c>
      <c r="W290" s="7">
        <v>21</v>
      </c>
      <c r="X290" s="7">
        <f t="shared" si="60"/>
        <v>22.57</v>
      </c>
      <c r="Y290" s="9">
        <v>0</v>
      </c>
      <c r="Z290" s="9">
        <v>1</v>
      </c>
      <c r="AA290" s="9">
        <v>0</v>
      </c>
      <c r="AB290" s="9">
        <v>0</v>
      </c>
      <c r="AC290" s="9">
        <v>1</v>
      </c>
      <c r="AD290" s="9">
        <v>0</v>
      </c>
      <c r="AE290" s="8">
        <v>0</v>
      </c>
      <c r="AF290" s="9">
        <v>1</v>
      </c>
      <c r="AG290" s="30">
        <v>0</v>
      </c>
      <c r="AH290" s="9">
        <v>1</v>
      </c>
      <c r="AI290" s="30">
        <v>0</v>
      </c>
      <c r="AJ290" s="21">
        <v>2011</v>
      </c>
      <c r="AK290" s="33">
        <f t="shared" si="70"/>
        <v>0.3972</v>
      </c>
      <c r="AL290" s="33">
        <v>0.26300000000000001</v>
      </c>
      <c r="AM290" s="33">
        <v>0.2162</v>
      </c>
      <c r="AN290" s="43">
        <v>0.1236</v>
      </c>
      <c r="AO290" s="42">
        <v>1</v>
      </c>
      <c r="AP290" s="18">
        <v>0</v>
      </c>
      <c r="AQ290">
        <v>0.18748699999999999</v>
      </c>
      <c r="AR290" s="40">
        <f t="shared" si="71"/>
        <v>0.81251300000000004</v>
      </c>
      <c r="AS290">
        <v>0.498</v>
      </c>
      <c r="AT290" s="40">
        <v>0.502</v>
      </c>
      <c r="AU290">
        <v>0</v>
      </c>
      <c r="AV290" s="18">
        <v>1</v>
      </c>
      <c r="AW290">
        <v>0.32400000000000001</v>
      </c>
      <c r="AX290" s="18">
        <v>0.67600000000000005</v>
      </c>
      <c r="AY290" s="18" t="s">
        <v>19</v>
      </c>
      <c r="AZ290">
        <v>0</v>
      </c>
      <c r="BA290">
        <v>0</v>
      </c>
      <c r="BB290">
        <v>0</v>
      </c>
      <c r="BC290">
        <v>0</v>
      </c>
      <c r="BD290">
        <v>0</v>
      </c>
      <c r="BE290">
        <v>0</v>
      </c>
      <c r="BF290" s="18">
        <v>1</v>
      </c>
      <c r="BG290">
        <v>0</v>
      </c>
      <c r="BH290">
        <v>1</v>
      </c>
      <c r="BI290" s="18">
        <v>0</v>
      </c>
      <c r="BJ290">
        <v>1894</v>
      </c>
      <c r="BK290">
        <v>75</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62"/>
        <v>-2.2397811324136581</v>
      </c>
      <c r="H291" s="16">
        <f t="shared" si="63"/>
        <v>4.7309092746991723</v>
      </c>
      <c r="I291" s="11">
        <f t="shared" si="66"/>
        <v>5.1640693268210575E-3</v>
      </c>
      <c r="J291" s="33">
        <f t="shared" si="67"/>
        <v>1.445013121047686E-2</v>
      </c>
      <c r="K291" s="33">
        <f t="shared" si="68"/>
        <v>69.203523859697853</v>
      </c>
      <c r="L291" s="8">
        <v>1</v>
      </c>
      <c r="M291" s="9">
        <v>0</v>
      </c>
      <c r="N291" s="8">
        <v>0</v>
      </c>
      <c r="O291" s="9">
        <v>1</v>
      </c>
      <c r="P291" s="9">
        <v>0</v>
      </c>
      <c r="Q291" s="9">
        <v>0</v>
      </c>
      <c r="R291" s="9">
        <v>0</v>
      </c>
      <c r="S291" s="8">
        <v>4821</v>
      </c>
      <c r="T291" s="9">
        <v>31</v>
      </c>
      <c r="U291" s="9">
        <f t="shared" si="64"/>
        <v>4789</v>
      </c>
      <c r="V291" s="9">
        <f t="shared" si="65"/>
        <v>16</v>
      </c>
      <c r="W291" s="7">
        <v>6</v>
      </c>
      <c r="X291" s="7">
        <f t="shared" si="60"/>
        <v>37.57</v>
      </c>
      <c r="Y291" s="9">
        <v>0</v>
      </c>
      <c r="Z291" s="9">
        <v>1</v>
      </c>
      <c r="AA291" s="9">
        <v>0</v>
      </c>
      <c r="AB291" s="9">
        <v>0</v>
      </c>
      <c r="AC291" s="9">
        <v>1</v>
      </c>
      <c r="AD291" s="9">
        <v>0</v>
      </c>
      <c r="AE291" s="8">
        <v>0</v>
      </c>
      <c r="AF291" s="9">
        <v>1</v>
      </c>
      <c r="AG291" s="30">
        <v>0</v>
      </c>
      <c r="AH291" s="9">
        <v>1</v>
      </c>
      <c r="AI291" s="30">
        <v>0</v>
      </c>
      <c r="AJ291" s="21">
        <v>2011</v>
      </c>
      <c r="AK291" s="33">
        <f t="shared" si="70"/>
        <v>0.3972</v>
      </c>
      <c r="AL291" s="33">
        <v>0.26300000000000001</v>
      </c>
      <c r="AM291" s="33">
        <v>0.2162</v>
      </c>
      <c r="AN291" s="43">
        <v>0.1236</v>
      </c>
      <c r="AO291" s="42">
        <v>1</v>
      </c>
      <c r="AP291" s="18">
        <v>0</v>
      </c>
      <c r="AQ291">
        <v>0.18748699999999999</v>
      </c>
      <c r="AR291" s="40">
        <f t="shared" si="71"/>
        <v>0.81251300000000004</v>
      </c>
      <c r="AS291">
        <v>0.498</v>
      </c>
      <c r="AT291" s="40">
        <v>0.502</v>
      </c>
      <c r="AU291">
        <v>0</v>
      </c>
      <c r="AV291" s="18">
        <v>1</v>
      </c>
      <c r="AW291">
        <v>0.32400000000000001</v>
      </c>
      <c r="AX291" s="18">
        <v>0.67600000000000005</v>
      </c>
      <c r="AY291" s="18" t="s">
        <v>19</v>
      </c>
      <c r="AZ291">
        <v>0</v>
      </c>
      <c r="BA291">
        <v>0</v>
      </c>
      <c r="BB291">
        <v>0</v>
      </c>
      <c r="BC291">
        <v>0</v>
      </c>
      <c r="BD291">
        <v>0</v>
      </c>
      <c r="BE291">
        <v>0</v>
      </c>
      <c r="BF291" s="18">
        <v>1</v>
      </c>
      <c r="BG291">
        <v>0</v>
      </c>
      <c r="BH291">
        <v>1</v>
      </c>
      <c r="BI291" s="18">
        <v>0</v>
      </c>
      <c r="BJ291">
        <v>1894</v>
      </c>
      <c r="BK291">
        <v>75</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62"/>
        <v>-1.1633964120130007</v>
      </c>
      <c r="H292" s="16">
        <f t="shared" si="63"/>
        <v>7.4370173004618074</v>
      </c>
      <c r="I292" s="11">
        <f t="shared" si="66"/>
        <v>1.054028571930227E-2</v>
      </c>
      <c r="J292" s="33">
        <f t="shared" si="67"/>
        <v>1.4449521168963026E-2</v>
      </c>
      <c r="K292" s="33">
        <f t="shared" si="68"/>
        <v>69.20644554976387</v>
      </c>
      <c r="L292" s="8">
        <v>1</v>
      </c>
      <c r="M292" s="9">
        <v>0</v>
      </c>
      <c r="N292" s="8">
        <v>0</v>
      </c>
      <c r="O292" s="9">
        <v>1</v>
      </c>
      <c r="P292" s="9">
        <v>0</v>
      </c>
      <c r="Q292" s="9">
        <v>0</v>
      </c>
      <c r="R292" s="9">
        <v>0</v>
      </c>
      <c r="S292" s="8">
        <v>4821</v>
      </c>
      <c r="T292" s="9">
        <v>31</v>
      </c>
      <c r="U292" s="9">
        <f t="shared" si="64"/>
        <v>4789</v>
      </c>
      <c r="V292" s="9">
        <f t="shared" si="65"/>
        <v>16</v>
      </c>
      <c r="W292" s="7">
        <v>12</v>
      </c>
      <c r="X292" s="7">
        <f t="shared" si="60"/>
        <v>31.57</v>
      </c>
      <c r="Y292" s="9">
        <v>0</v>
      </c>
      <c r="Z292" s="9">
        <v>1</v>
      </c>
      <c r="AA292" s="9">
        <v>0</v>
      </c>
      <c r="AB292" s="9">
        <v>0</v>
      </c>
      <c r="AC292" s="9">
        <v>1</v>
      </c>
      <c r="AD292" s="9">
        <v>0</v>
      </c>
      <c r="AE292" s="8">
        <v>0</v>
      </c>
      <c r="AF292" s="9">
        <v>1</v>
      </c>
      <c r="AG292" s="30">
        <v>0</v>
      </c>
      <c r="AH292" s="9">
        <v>1</v>
      </c>
      <c r="AI292" s="30">
        <v>0</v>
      </c>
      <c r="AJ292" s="21">
        <v>2011</v>
      </c>
      <c r="AK292" s="33">
        <f t="shared" si="70"/>
        <v>0.3972</v>
      </c>
      <c r="AL292" s="33">
        <v>0.26300000000000001</v>
      </c>
      <c r="AM292" s="33">
        <v>0.2162</v>
      </c>
      <c r="AN292" s="43">
        <v>0.1236</v>
      </c>
      <c r="AO292" s="42">
        <v>1</v>
      </c>
      <c r="AP292" s="18">
        <v>0</v>
      </c>
      <c r="AQ292">
        <v>0.18748699999999999</v>
      </c>
      <c r="AR292" s="40">
        <f t="shared" si="71"/>
        <v>0.81251300000000004</v>
      </c>
      <c r="AS292">
        <v>0.498</v>
      </c>
      <c r="AT292" s="40">
        <v>0.502</v>
      </c>
      <c r="AU292">
        <v>0</v>
      </c>
      <c r="AV292" s="18">
        <v>1</v>
      </c>
      <c r="AW292">
        <v>0.32400000000000001</v>
      </c>
      <c r="AX292" s="18">
        <v>0.67600000000000005</v>
      </c>
      <c r="AY292" s="18" t="s">
        <v>19</v>
      </c>
      <c r="AZ292">
        <v>0</v>
      </c>
      <c r="BA292">
        <v>0</v>
      </c>
      <c r="BB292">
        <v>0</v>
      </c>
      <c r="BC292">
        <v>0</v>
      </c>
      <c r="BD292">
        <v>0</v>
      </c>
      <c r="BE292">
        <v>0</v>
      </c>
      <c r="BF292" s="18">
        <v>1</v>
      </c>
      <c r="BG292">
        <v>0</v>
      </c>
      <c r="BH292">
        <v>1</v>
      </c>
      <c r="BI292" s="18">
        <v>0</v>
      </c>
      <c r="BJ292">
        <v>1894</v>
      </c>
      <c r="BK292">
        <v>75</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62"/>
        <v>5.9427397593278961</v>
      </c>
      <c r="H293" s="16">
        <f t="shared" si="63"/>
        <v>12.135146860672887</v>
      </c>
      <c r="I293" s="11">
        <f t="shared" si="66"/>
        <v>4.214825897840617E-2</v>
      </c>
      <c r="J293" s="33">
        <f t="shared" si="67"/>
        <v>1.4437482859221445E-2</v>
      </c>
      <c r="K293" s="33">
        <f t="shared" si="68"/>
        <v>69.26415149724555</v>
      </c>
      <c r="L293" s="8">
        <v>1</v>
      </c>
      <c r="M293" s="9">
        <v>0</v>
      </c>
      <c r="N293" s="8">
        <v>0</v>
      </c>
      <c r="O293" s="9">
        <v>1</v>
      </c>
      <c r="P293" s="9">
        <v>0</v>
      </c>
      <c r="Q293" s="9">
        <v>0</v>
      </c>
      <c r="R293" s="9">
        <v>0</v>
      </c>
      <c r="S293" s="8">
        <v>4821</v>
      </c>
      <c r="T293" s="9">
        <v>31</v>
      </c>
      <c r="U293" s="9">
        <f t="shared" si="64"/>
        <v>4789</v>
      </c>
      <c r="V293" s="9">
        <f t="shared" si="65"/>
        <v>16</v>
      </c>
      <c r="W293" s="7">
        <v>16</v>
      </c>
      <c r="X293" s="7">
        <f t="shared" si="60"/>
        <v>27.57</v>
      </c>
      <c r="Y293" s="9">
        <v>0</v>
      </c>
      <c r="Z293" s="9">
        <v>1</v>
      </c>
      <c r="AA293" s="9">
        <v>0</v>
      </c>
      <c r="AB293" s="9">
        <v>0</v>
      </c>
      <c r="AC293" s="9">
        <v>1</v>
      </c>
      <c r="AD293" s="9">
        <v>0</v>
      </c>
      <c r="AE293" s="8">
        <v>0</v>
      </c>
      <c r="AF293" s="9">
        <v>1</v>
      </c>
      <c r="AG293" s="30">
        <v>0</v>
      </c>
      <c r="AH293" s="9">
        <v>1</v>
      </c>
      <c r="AI293" s="30">
        <v>0</v>
      </c>
      <c r="AJ293" s="21">
        <v>2011</v>
      </c>
      <c r="AK293" s="33">
        <f t="shared" si="70"/>
        <v>0.3972</v>
      </c>
      <c r="AL293" s="33">
        <v>0.26300000000000001</v>
      </c>
      <c r="AM293" s="33">
        <v>0.2162</v>
      </c>
      <c r="AN293" s="43">
        <v>0.1236</v>
      </c>
      <c r="AO293" s="42">
        <v>1</v>
      </c>
      <c r="AP293" s="18">
        <v>0</v>
      </c>
      <c r="AQ293">
        <v>0.18748699999999999</v>
      </c>
      <c r="AR293" s="40">
        <f t="shared" si="71"/>
        <v>0.81251300000000004</v>
      </c>
      <c r="AS293">
        <v>0.498</v>
      </c>
      <c r="AT293" s="40">
        <v>0.502</v>
      </c>
      <c r="AU293">
        <v>0</v>
      </c>
      <c r="AV293" s="18">
        <v>1</v>
      </c>
      <c r="AW293">
        <v>0.32400000000000001</v>
      </c>
      <c r="AX293" s="18">
        <v>0.67600000000000005</v>
      </c>
      <c r="AY293" s="18" t="s">
        <v>19</v>
      </c>
      <c r="AZ293">
        <v>0</v>
      </c>
      <c r="BA293">
        <v>0</v>
      </c>
      <c r="BB293">
        <v>0</v>
      </c>
      <c r="BC293">
        <v>0</v>
      </c>
      <c r="BD293">
        <v>0</v>
      </c>
      <c r="BE293">
        <v>0</v>
      </c>
      <c r="BF293" s="18">
        <v>1</v>
      </c>
      <c r="BG293">
        <v>0</v>
      </c>
      <c r="BH293">
        <v>1</v>
      </c>
      <c r="BI293" s="18">
        <v>0</v>
      </c>
      <c r="BJ293">
        <v>1894</v>
      </c>
      <c r="BK293">
        <v>75</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62"/>
        <v>8.9780393841744335</v>
      </c>
      <c r="H294" s="56">
        <f t="shared" si="63"/>
        <v>13.007251704727086</v>
      </c>
      <c r="I294" s="11">
        <f t="shared" si="66"/>
        <v>7.8603851765246743E-2</v>
      </c>
      <c r="J294" s="33">
        <f t="shared" si="67"/>
        <v>1.4405613584771087E-2</v>
      </c>
      <c r="K294" s="33">
        <f t="shared" si="68"/>
        <v>69.417383307931516</v>
      </c>
      <c r="L294" s="59">
        <v>1</v>
      </c>
      <c r="M294" s="60">
        <v>0</v>
      </c>
      <c r="N294" s="59">
        <v>0</v>
      </c>
      <c r="O294" s="60">
        <v>1</v>
      </c>
      <c r="P294" s="60">
        <v>0</v>
      </c>
      <c r="Q294" s="60">
        <v>0</v>
      </c>
      <c r="R294" s="60">
        <v>0</v>
      </c>
      <c r="S294" s="59">
        <v>4821</v>
      </c>
      <c r="T294" s="60">
        <v>31</v>
      </c>
      <c r="U294" s="60">
        <f t="shared" si="64"/>
        <v>4789</v>
      </c>
      <c r="V294" s="60">
        <f t="shared" si="65"/>
        <v>16</v>
      </c>
      <c r="W294" s="55">
        <v>21</v>
      </c>
      <c r="X294" s="55">
        <f t="shared" si="60"/>
        <v>22.57</v>
      </c>
      <c r="Y294" s="60">
        <v>0</v>
      </c>
      <c r="Z294" s="60">
        <v>1</v>
      </c>
      <c r="AA294" s="60">
        <v>0</v>
      </c>
      <c r="AB294" s="60">
        <v>0</v>
      </c>
      <c r="AC294" s="60">
        <v>1</v>
      </c>
      <c r="AD294" s="60">
        <v>0</v>
      </c>
      <c r="AE294" s="59">
        <v>0</v>
      </c>
      <c r="AF294" s="60">
        <v>1</v>
      </c>
      <c r="AG294" s="61">
        <v>0</v>
      </c>
      <c r="AH294" s="60">
        <v>1</v>
      </c>
      <c r="AI294" s="61">
        <v>0</v>
      </c>
      <c r="AJ294" s="62">
        <v>2011</v>
      </c>
      <c r="AK294" s="58">
        <f t="shared" si="70"/>
        <v>0.3972</v>
      </c>
      <c r="AL294" s="58">
        <v>0.26300000000000001</v>
      </c>
      <c r="AM294" s="58">
        <v>0.2162</v>
      </c>
      <c r="AN294" s="63">
        <v>0.1236</v>
      </c>
      <c r="AO294" s="64">
        <v>1</v>
      </c>
      <c r="AP294" s="65">
        <v>0</v>
      </c>
      <c r="AQ294" s="51">
        <v>0.18748699999999999</v>
      </c>
      <c r="AR294" s="66">
        <f t="shared" si="71"/>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v>0</v>
      </c>
      <c r="BF294" s="65">
        <v>1</v>
      </c>
      <c r="BG294">
        <v>0</v>
      </c>
      <c r="BH294">
        <v>1</v>
      </c>
      <c r="BI294" s="65">
        <v>0</v>
      </c>
      <c r="BJ294">
        <v>1894</v>
      </c>
      <c r="BK294">
        <v>75</v>
      </c>
      <c r="BL294" s="52">
        <v>49.57</v>
      </c>
      <c r="BM294" s="51">
        <v>0</v>
      </c>
      <c r="BN294" s="51">
        <v>1</v>
      </c>
      <c r="BO294" s="51">
        <v>0</v>
      </c>
      <c r="BP294" s="51">
        <v>0</v>
      </c>
      <c r="BQ294" s="51">
        <v>0</v>
      </c>
      <c r="BR294" s="51">
        <v>0</v>
      </c>
      <c r="BS294" s="51">
        <v>0</v>
      </c>
      <c r="BT294" s="65">
        <v>0</v>
      </c>
      <c r="BU294" s="51">
        <v>0</v>
      </c>
      <c r="BV294" s="51">
        <v>1</v>
      </c>
      <c r="BW294" s="51">
        <v>0</v>
      </c>
      <c r="BX294" s="65">
        <v>0</v>
      </c>
      <c r="BY294" s="51">
        <v>1</v>
      </c>
      <c r="BZ294" s="51">
        <v>0</v>
      </c>
      <c r="CA294" s="51">
        <v>0</v>
      </c>
      <c r="CB294" s="51">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72">D295/E295</f>
        <v>243.33333333333334</v>
      </c>
      <c r="G295" s="7">
        <f t="shared" si="62"/>
        <v>7.27</v>
      </c>
      <c r="H295" s="16">
        <f t="shared" si="63"/>
        <v>7.33</v>
      </c>
      <c r="I295" s="11">
        <f t="shared" si="66"/>
        <v>0.29748793755946545</v>
      </c>
      <c r="J295" s="33">
        <f t="shared" si="67"/>
        <v>1.2225531680525976E-3</v>
      </c>
      <c r="K295" s="33">
        <f t="shared" si="68"/>
        <v>817.96033590334389</v>
      </c>
      <c r="L295" s="8">
        <v>0</v>
      </c>
      <c r="M295" s="9">
        <v>1</v>
      </c>
      <c r="N295" s="8">
        <v>0</v>
      </c>
      <c r="O295" s="9">
        <v>0</v>
      </c>
      <c r="P295" s="9">
        <v>0</v>
      </c>
      <c r="Q295" s="9">
        <v>1</v>
      </c>
      <c r="R295" s="9">
        <v>0</v>
      </c>
      <c r="S295" s="8">
        <v>609852</v>
      </c>
      <c r="T295" s="9">
        <v>3</v>
      </c>
      <c r="U295" s="9">
        <f t="shared" si="64"/>
        <v>609848</v>
      </c>
      <c r="V295" s="9">
        <f t="shared" si="65"/>
        <v>16</v>
      </c>
      <c r="W295" s="7">
        <v>11.59</v>
      </c>
      <c r="X295" s="7">
        <f t="shared" ref="X295:X322" si="73">BL295-W295-6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v>0</v>
      </c>
      <c r="BF295" s="18">
        <v>0</v>
      </c>
      <c r="BG295">
        <v>1</v>
      </c>
      <c r="BH295">
        <v>0</v>
      </c>
      <c r="BI295" s="18">
        <v>0</v>
      </c>
      <c r="BJ295">
        <v>15553</v>
      </c>
      <c r="BK295">
        <v>23227</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72"/>
        <v>226.66666666666666</v>
      </c>
      <c r="G296" s="7">
        <f t="shared" si="62"/>
        <v>6.77</v>
      </c>
      <c r="H296" s="16">
        <f t="shared" si="63"/>
        <v>6.83</v>
      </c>
      <c r="I296" s="11">
        <f t="shared" si="66"/>
        <v>0.27530222229546214</v>
      </c>
      <c r="J296" s="33">
        <f t="shared" si="67"/>
        <v>1.2145686277740978E-3</v>
      </c>
      <c r="K296" s="33">
        <f t="shared" si="68"/>
        <v>823.33758433450487</v>
      </c>
      <c r="L296" s="8">
        <v>0</v>
      </c>
      <c r="M296" s="9">
        <v>1</v>
      </c>
      <c r="N296" s="8">
        <v>0</v>
      </c>
      <c r="O296" s="9">
        <v>0</v>
      </c>
      <c r="P296" s="9">
        <v>0</v>
      </c>
      <c r="Q296" s="9">
        <v>1</v>
      </c>
      <c r="R296" s="9">
        <v>0</v>
      </c>
      <c r="S296" s="8">
        <v>626511</v>
      </c>
      <c r="T296" s="9">
        <v>3</v>
      </c>
      <c r="U296" s="9">
        <f t="shared" si="64"/>
        <v>626507</v>
      </c>
      <c r="V296" s="9">
        <f t="shared" si="65"/>
        <v>16</v>
      </c>
      <c r="W296" s="7">
        <v>10.52</v>
      </c>
      <c r="X296" s="7">
        <f t="shared" si="73"/>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v>0</v>
      </c>
      <c r="BF296" s="18">
        <v>0</v>
      </c>
      <c r="BG296">
        <v>1</v>
      </c>
      <c r="BH296">
        <v>0</v>
      </c>
      <c r="BI296" s="18">
        <v>0</v>
      </c>
      <c r="BJ296">
        <v>16678</v>
      </c>
      <c r="BK296">
        <v>22359</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72"/>
        <v>250</v>
      </c>
      <c r="G297" s="7">
        <f t="shared" si="62"/>
        <v>7.47</v>
      </c>
      <c r="H297" s="16">
        <f t="shared" si="63"/>
        <v>7.53</v>
      </c>
      <c r="I297" s="11">
        <f t="shared" si="66"/>
        <v>0.28088274233337129</v>
      </c>
      <c r="J297" s="33">
        <f t="shared" si="67"/>
        <v>1.1235309693334852E-3</v>
      </c>
      <c r="K297" s="33">
        <f t="shared" si="68"/>
        <v>890.05112212726294</v>
      </c>
      <c r="L297" s="8">
        <v>0</v>
      </c>
      <c r="M297" s="9">
        <v>1</v>
      </c>
      <c r="N297" s="8">
        <v>0</v>
      </c>
      <c r="O297" s="9">
        <v>0</v>
      </c>
      <c r="P297" s="9">
        <v>0</v>
      </c>
      <c r="Q297" s="9">
        <v>1</v>
      </c>
      <c r="R297" s="9">
        <v>0</v>
      </c>
      <c r="S297" s="8">
        <v>729695</v>
      </c>
      <c r="T297" s="9">
        <v>3</v>
      </c>
      <c r="U297" s="9">
        <f t="shared" si="64"/>
        <v>729691</v>
      </c>
      <c r="V297" s="9">
        <f t="shared" si="65"/>
        <v>16</v>
      </c>
      <c r="W297" s="7">
        <v>11.59</v>
      </c>
      <c r="X297" s="7">
        <f t="shared" si="73"/>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v>0</v>
      </c>
      <c r="BF297" s="18">
        <v>0</v>
      </c>
      <c r="BG297">
        <v>1</v>
      </c>
      <c r="BH297">
        <v>0</v>
      </c>
      <c r="BI297" s="18">
        <v>0</v>
      </c>
      <c r="BJ297">
        <v>15553</v>
      </c>
      <c r="BK297">
        <v>23227</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72"/>
        <v>27.5</v>
      </c>
      <c r="G298" s="7">
        <f t="shared" si="62"/>
        <v>5.3</v>
      </c>
      <c r="H298" s="16">
        <f t="shared" si="63"/>
        <v>5.7</v>
      </c>
      <c r="I298" s="11">
        <f t="shared" si="66"/>
        <v>0.20840959907803441</v>
      </c>
      <c r="J298" s="33">
        <f t="shared" si="67"/>
        <v>7.5785308755648879E-3</v>
      </c>
      <c r="K298" s="33">
        <f t="shared" si="68"/>
        <v>131.95169570717914</v>
      </c>
      <c r="L298" s="8">
        <v>0</v>
      </c>
      <c r="M298" s="9">
        <v>1</v>
      </c>
      <c r="N298" s="8">
        <v>0</v>
      </c>
      <c r="O298" s="9">
        <v>0</v>
      </c>
      <c r="P298" s="9">
        <v>0</v>
      </c>
      <c r="Q298" s="9">
        <v>1</v>
      </c>
      <c r="R298" s="9">
        <v>0</v>
      </c>
      <c r="S298" s="8">
        <v>16659</v>
      </c>
      <c r="T298" s="9">
        <v>3</v>
      </c>
      <c r="U298" s="9">
        <f t="shared" si="64"/>
        <v>16655</v>
      </c>
      <c r="V298" s="9">
        <f t="shared" si="65"/>
        <v>16</v>
      </c>
      <c r="W298" s="7">
        <v>6.97</v>
      </c>
      <c r="X298" s="7">
        <f t="shared" si="73"/>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v>0</v>
      </c>
      <c r="BF298" s="18">
        <v>0</v>
      </c>
      <c r="BG298">
        <v>1</v>
      </c>
      <c r="BH298">
        <v>0</v>
      </c>
      <c r="BI298" s="18">
        <v>0</v>
      </c>
      <c r="BJ298">
        <v>15635</v>
      </c>
      <c r="BK298">
        <v>810</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72"/>
        <v>69</v>
      </c>
      <c r="G299" s="7">
        <f t="shared" si="62"/>
        <v>6.8000000000000007</v>
      </c>
      <c r="H299" s="16">
        <f t="shared" si="63"/>
        <v>7</v>
      </c>
      <c r="I299" s="11">
        <f t="shared" si="66"/>
        <v>0.248495818581531</v>
      </c>
      <c r="J299" s="33">
        <f t="shared" si="67"/>
        <v>3.6013886750946517E-3</v>
      </c>
      <c r="K299" s="33">
        <f t="shared" si="68"/>
        <v>277.67066823847279</v>
      </c>
      <c r="L299" s="8">
        <v>0</v>
      </c>
      <c r="M299" s="9">
        <v>1</v>
      </c>
      <c r="N299" s="8">
        <v>0</v>
      </c>
      <c r="O299" s="9">
        <v>0</v>
      </c>
      <c r="P299" s="9">
        <v>0</v>
      </c>
      <c r="Q299" s="9">
        <v>1</v>
      </c>
      <c r="R299" s="9">
        <v>0</v>
      </c>
      <c r="S299" s="8">
        <v>72344</v>
      </c>
      <c r="T299" s="9">
        <v>3</v>
      </c>
      <c r="U299" s="9">
        <f t="shared" si="64"/>
        <v>72340</v>
      </c>
      <c r="V299" s="9">
        <f t="shared" si="65"/>
        <v>16</v>
      </c>
      <c r="W299" s="7">
        <v>10.52</v>
      </c>
      <c r="X299" s="7">
        <f t="shared" si="73"/>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v>0</v>
      </c>
      <c r="BF299" s="18">
        <v>0</v>
      </c>
      <c r="BG299">
        <v>1</v>
      </c>
      <c r="BH299">
        <v>0</v>
      </c>
      <c r="BI299" s="18">
        <v>0</v>
      </c>
      <c r="BJ299">
        <v>16156</v>
      </c>
      <c r="BK299">
        <v>19057</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72"/>
        <v>75.999999999999986</v>
      </c>
      <c r="G300" s="7">
        <f t="shared" si="62"/>
        <v>7.5</v>
      </c>
      <c r="H300" s="16">
        <f t="shared" si="63"/>
        <v>7.6999999999999993</v>
      </c>
      <c r="I300" s="11">
        <f t="shared" si="66"/>
        <v>0.18608624280062647</v>
      </c>
      <c r="J300" s="33">
        <f t="shared" si="67"/>
        <v>2.4485031947450858E-3</v>
      </c>
      <c r="K300" s="33">
        <f t="shared" si="68"/>
        <v>408.41278138667496</v>
      </c>
      <c r="L300" s="8">
        <v>0</v>
      </c>
      <c r="M300" s="9">
        <v>1</v>
      </c>
      <c r="N300" s="8">
        <v>0</v>
      </c>
      <c r="O300" s="9">
        <v>0</v>
      </c>
      <c r="P300" s="9">
        <v>0</v>
      </c>
      <c r="Q300" s="9">
        <v>1</v>
      </c>
      <c r="R300" s="9">
        <v>0</v>
      </c>
      <c r="S300" s="8">
        <v>161029</v>
      </c>
      <c r="T300" s="9">
        <v>3</v>
      </c>
      <c r="U300" s="9">
        <f t="shared" si="64"/>
        <v>161025</v>
      </c>
      <c r="V300" s="9">
        <f t="shared" si="65"/>
        <v>16</v>
      </c>
      <c r="W300" s="7">
        <v>11.59</v>
      </c>
      <c r="X300" s="7">
        <f t="shared" si="73"/>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v>0</v>
      </c>
      <c r="BF300" s="18">
        <v>0</v>
      </c>
      <c r="BG300">
        <v>1</v>
      </c>
      <c r="BH300">
        <v>0</v>
      </c>
      <c r="BI300" s="18">
        <v>0</v>
      </c>
      <c r="BJ300">
        <v>15553</v>
      </c>
      <c r="BK300">
        <v>23227</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72"/>
        <v>75</v>
      </c>
      <c r="G301" s="7">
        <f t="shared" si="62"/>
        <v>7.4</v>
      </c>
      <c r="H301" s="16">
        <f t="shared" si="63"/>
        <v>7.6</v>
      </c>
      <c r="I301" s="11">
        <f t="shared" si="66"/>
        <v>0.1213312702998607</v>
      </c>
      <c r="J301" s="33">
        <f t="shared" si="67"/>
        <v>1.6177502706648094E-3</v>
      </c>
      <c r="K301" s="33">
        <f t="shared" si="68"/>
        <v>618.14237842102364</v>
      </c>
      <c r="L301" s="8">
        <v>0</v>
      </c>
      <c r="M301" s="9">
        <v>1</v>
      </c>
      <c r="N301" s="8">
        <v>0</v>
      </c>
      <c r="O301" s="9">
        <v>0</v>
      </c>
      <c r="P301" s="9">
        <v>0</v>
      </c>
      <c r="Q301" s="9">
        <v>1</v>
      </c>
      <c r="R301" s="9">
        <v>0</v>
      </c>
      <c r="S301" s="8">
        <v>376479</v>
      </c>
      <c r="T301" s="9">
        <v>3</v>
      </c>
      <c r="U301" s="9">
        <f t="shared" si="64"/>
        <v>376475</v>
      </c>
      <c r="V301" s="9">
        <f t="shared" si="65"/>
        <v>16</v>
      </c>
      <c r="W301" s="7">
        <v>12.62</v>
      </c>
      <c r="X301" s="7">
        <f t="shared" si="73"/>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v>0</v>
      </c>
      <c r="BF301" s="18">
        <v>0</v>
      </c>
      <c r="BG301">
        <v>1</v>
      </c>
      <c r="BH301">
        <v>0</v>
      </c>
      <c r="BI301" s="18">
        <v>0</v>
      </c>
      <c r="BJ301">
        <v>19291</v>
      </c>
      <c r="BK301">
        <v>21201</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72"/>
        <v>101.99999999999999</v>
      </c>
      <c r="G302" s="7">
        <f t="shared" si="62"/>
        <v>10.1</v>
      </c>
      <c r="H302" s="16">
        <f t="shared" si="63"/>
        <v>10.299999999999999</v>
      </c>
      <c r="I302" s="11">
        <f t="shared" si="66"/>
        <v>0.30265063701510003</v>
      </c>
      <c r="J302" s="33">
        <f t="shared" si="67"/>
        <v>2.9671631079911773E-3</v>
      </c>
      <c r="K302" s="33">
        <f t="shared" si="68"/>
        <v>337.02225445806988</v>
      </c>
      <c r="L302" s="8">
        <v>0</v>
      </c>
      <c r="M302" s="9">
        <v>1</v>
      </c>
      <c r="N302" s="8">
        <v>0</v>
      </c>
      <c r="O302" s="9">
        <v>0</v>
      </c>
      <c r="P302" s="9">
        <v>0</v>
      </c>
      <c r="Q302" s="9">
        <v>1</v>
      </c>
      <c r="R302" s="9">
        <v>0</v>
      </c>
      <c r="S302" s="8">
        <v>103184</v>
      </c>
      <c r="T302" s="9">
        <v>3</v>
      </c>
      <c r="U302" s="9">
        <f t="shared" si="64"/>
        <v>103180</v>
      </c>
      <c r="V302" s="9">
        <f t="shared" si="65"/>
        <v>16</v>
      </c>
      <c r="W302" s="7">
        <v>13.7</v>
      </c>
      <c r="X302" s="7">
        <f t="shared" si="73"/>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v>0</v>
      </c>
      <c r="BF302" s="18">
        <v>0</v>
      </c>
      <c r="BG302">
        <v>1</v>
      </c>
      <c r="BH302">
        <v>0</v>
      </c>
      <c r="BI302" s="18">
        <v>0</v>
      </c>
      <c r="BJ302">
        <v>24883</v>
      </c>
      <c r="BK302">
        <v>15906</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72"/>
        <v>6.166666666666667</v>
      </c>
      <c r="G303" s="7">
        <f t="shared" si="62"/>
        <v>6.2</v>
      </c>
      <c r="H303" s="16">
        <f t="shared" si="63"/>
        <v>8.6</v>
      </c>
      <c r="I303" s="11">
        <f t="shared" si="66"/>
        <v>7.8963906215058065E-3</v>
      </c>
      <c r="J303" s="33">
        <f t="shared" si="67"/>
        <v>1.280495776460401E-3</v>
      </c>
      <c r="K303" s="33">
        <f t="shared" si="68"/>
        <v>780.94751922121998</v>
      </c>
      <c r="L303" s="8">
        <v>0</v>
      </c>
      <c r="M303" s="9">
        <v>1</v>
      </c>
      <c r="N303" s="8">
        <v>0</v>
      </c>
      <c r="O303" s="9">
        <v>0</v>
      </c>
      <c r="P303" s="9">
        <v>0</v>
      </c>
      <c r="Q303" s="9">
        <v>1</v>
      </c>
      <c r="R303" s="9">
        <v>0</v>
      </c>
      <c r="S303" s="8">
        <v>609852</v>
      </c>
      <c r="T303" s="9">
        <v>10</v>
      </c>
      <c r="U303" s="9">
        <f t="shared" si="64"/>
        <v>609841</v>
      </c>
      <c r="V303" s="9">
        <f t="shared" si="65"/>
        <v>16</v>
      </c>
      <c r="W303" s="7">
        <v>11.59</v>
      </c>
      <c r="X303" s="7">
        <f t="shared" si="73"/>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v>0</v>
      </c>
      <c r="BF303" s="18">
        <v>0</v>
      </c>
      <c r="BG303">
        <v>1</v>
      </c>
      <c r="BH303">
        <v>0</v>
      </c>
      <c r="BI303" s="18">
        <v>0</v>
      </c>
      <c r="BJ303">
        <v>15553</v>
      </c>
      <c r="BK303">
        <v>23227</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72"/>
        <v>6.166666666666667</v>
      </c>
      <c r="G304" s="7">
        <f t="shared" si="62"/>
        <v>6.2</v>
      </c>
      <c r="H304" s="16">
        <f t="shared" si="63"/>
        <v>8.6</v>
      </c>
      <c r="I304" s="11">
        <f t="shared" si="66"/>
        <v>7.8963906215058065E-3</v>
      </c>
      <c r="J304" s="33">
        <f t="shared" si="67"/>
        <v>1.280495776460401E-3</v>
      </c>
      <c r="K304" s="33">
        <f t="shared" si="68"/>
        <v>780.94751922121998</v>
      </c>
      <c r="L304" s="8">
        <v>0</v>
      </c>
      <c r="M304" s="9">
        <v>1</v>
      </c>
      <c r="N304" s="8">
        <v>0</v>
      </c>
      <c r="O304" s="9">
        <v>0</v>
      </c>
      <c r="P304" s="9">
        <v>0</v>
      </c>
      <c r="Q304" s="9">
        <v>1</v>
      </c>
      <c r="R304" s="9">
        <v>0</v>
      </c>
      <c r="S304" s="8">
        <v>609852</v>
      </c>
      <c r="T304" s="9">
        <v>10</v>
      </c>
      <c r="U304" s="9">
        <f t="shared" si="64"/>
        <v>609841</v>
      </c>
      <c r="V304" s="9">
        <f t="shared" si="65"/>
        <v>16</v>
      </c>
      <c r="W304" s="7">
        <v>11.59</v>
      </c>
      <c r="X304" s="7">
        <f t="shared" si="73"/>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v>0</v>
      </c>
      <c r="BF304" s="18">
        <v>0</v>
      </c>
      <c r="BG304">
        <v>1</v>
      </c>
      <c r="BH304">
        <v>0</v>
      </c>
      <c r="BI304" s="18">
        <v>0</v>
      </c>
      <c r="BJ304">
        <v>15553</v>
      </c>
      <c r="BK304">
        <v>23227</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72"/>
        <v>6.25</v>
      </c>
      <c r="G305" s="7">
        <f t="shared" si="62"/>
        <v>6.3</v>
      </c>
      <c r="H305" s="16">
        <f t="shared" si="63"/>
        <v>8.6999999999999993</v>
      </c>
      <c r="I305" s="11">
        <f t="shared" si="66"/>
        <v>8.0030983750574436E-3</v>
      </c>
      <c r="J305" s="33">
        <f t="shared" si="67"/>
        <v>1.2804957400091911E-3</v>
      </c>
      <c r="K305" s="33">
        <f t="shared" si="68"/>
        <v>780.94754145204911</v>
      </c>
      <c r="L305" s="8">
        <v>0</v>
      </c>
      <c r="M305" s="9">
        <v>1</v>
      </c>
      <c r="N305" s="8">
        <v>0</v>
      </c>
      <c r="O305" s="9">
        <v>0</v>
      </c>
      <c r="P305" s="9">
        <v>0</v>
      </c>
      <c r="Q305" s="9">
        <v>1</v>
      </c>
      <c r="R305" s="9">
        <v>0</v>
      </c>
      <c r="S305" s="8">
        <v>609852</v>
      </c>
      <c r="T305" s="9">
        <v>11</v>
      </c>
      <c r="U305" s="9">
        <f t="shared" si="64"/>
        <v>609840</v>
      </c>
      <c r="V305" s="9">
        <f t="shared" si="65"/>
        <v>16</v>
      </c>
      <c r="W305" s="7">
        <v>11.59</v>
      </c>
      <c r="X305" s="7">
        <f t="shared" si="73"/>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v>0</v>
      </c>
      <c r="BF305" s="18">
        <v>0</v>
      </c>
      <c r="BG305">
        <v>1</v>
      </c>
      <c r="BH305">
        <v>0</v>
      </c>
      <c r="BI305" s="18">
        <v>0</v>
      </c>
      <c r="BJ305">
        <v>15553</v>
      </c>
      <c r="BK305">
        <v>23227</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72"/>
        <v>4.615384615384615</v>
      </c>
      <c r="G306" s="7">
        <f t="shared" si="62"/>
        <v>4.7</v>
      </c>
      <c r="H306" s="16">
        <f t="shared" si="63"/>
        <v>7.3</v>
      </c>
      <c r="I306" s="11">
        <f t="shared" si="66"/>
        <v>5.9100712401924313E-3</v>
      </c>
      <c r="J306" s="33">
        <f t="shared" si="67"/>
        <v>1.2805154353750267E-3</v>
      </c>
      <c r="K306" s="33">
        <f t="shared" si="68"/>
        <v>780.93552984554879</v>
      </c>
      <c r="L306" s="8">
        <v>0</v>
      </c>
      <c r="M306" s="9">
        <v>1</v>
      </c>
      <c r="N306" s="8">
        <v>0</v>
      </c>
      <c r="O306" s="9">
        <v>0</v>
      </c>
      <c r="P306" s="9">
        <v>0</v>
      </c>
      <c r="Q306" s="9">
        <v>1</v>
      </c>
      <c r="R306" s="9">
        <v>0</v>
      </c>
      <c r="S306" s="8">
        <v>609852</v>
      </c>
      <c r="T306" s="9">
        <v>12</v>
      </c>
      <c r="U306" s="9">
        <f t="shared" si="64"/>
        <v>609839</v>
      </c>
      <c r="V306" s="9">
        <f t="shared" si="65"/>
        <v>16</v>
      </c>
      <c r="W306" s="7">
        <v>11.59</v>
      </c>
      <c r="X306" s="7">
        <f t="shared" si="73"/>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v>0</v>
      </c>
      <c r="BF306" s="18">
        <v>0</v>
      </c>
      <c r="BG306">
        <v>1</v>
      </c>
      <c r="BH306">
        <v>0</v>
      </c>
      <c r="BI306" s="18">
        <v>0</v>
      </c>
      <c r="BJ306">
        <v>15553</v>
      </c>
      <c r="BK306">
        <v>23227</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72"/>
        <v>243.33333333333334</v>
      </c>
      <c r="G307" s="7">
        <f t="shared" si="62"/>
        <v>7.27</v>
      </c>
      <c r="H307" s="16">
        <f t="shared" si="63"/>
        <v>7.33</v>
      </c>
      <c r="I307" s="11">
        <f t="shared" si="66"/>
        <v>0.29748927147720233</v>
      </c>
      <c r="J307" s="33">
        <f t="shared" si="67"/>
        <v>1.2225586499063107E-3</v>
      </c>
      <c r="K307" s="33">
        <f t="shared" si="68"/>
        <v>817.95666823561692</v>
      </c>
      <c r="L307" s="8">
        <v>0</v>
      </c>
      <c r="M307" s="9">
        <v>1</v>
      </c>
      <c r="N307" s="8">
        <v>0</v>
      </c>
      <c r="O307" s="9">
        <v>0</v>
      </c>
      <c r="P307" s="9">
        <v>0</v>
      </c>
      <c r="Q307" s="9">
        <v>1</v>
      </c>
      <c r="R307" s="9">
        <v>0</v>
      </c>
      <c r="S307" s="8">
        <v>609852</v>
      </c>
      <c r="T307" s="9">
        <v>9</v>
      </c>
      <c r="U307" s="9">
        <f t="shared" si="64"/>
        <v>609842</v>
      </c>
      <c r="V307" s="9">
        <f t="shared" si="65"/>
        <v>16</v>
      </c>
      <c r="W307" s="7">
        <v>11.59</v>
      </c>
      <c r="X307" s="7">
        <f t="shared" si="73"/>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v>0</v>
      </c>
      <c r="BF307" s="18">
        <v>0</v>
      </c>
      <c r="BG307">
        <v>1</v>
      </c>
      <c r="BH307">
        <v>0</v>
      </c>
      <c r="BI307" s="18">
        <v>0</v>
      </c>
      <c r="BJ307">
        <v>15553</v>
      </c>
      <c r="BK307">
        <v>23227</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72"/>
        <v>243.33333333333334</v>
      </c>
      <c r="G308" s="7">
        <f t="shared" si="62"/>
        <v>7.27</v>
      </c>
      <c r="H308" s="16">
        <f t="shared" si="63"/>
        <v>7.33</v>
      </c>
      <c r="I308" s="11">
        <f t="shared" si="66"/>
        <v>0.29748927147720233</v>
      </c>
      <c r="J308" s="33">
        <f t="shared" si="67"/>
        <v>1.2225586499063107E-3</v>
      </c>
      <c r="K308" s="33">
        <f t="shared" si="68"/>
        <v>817.95666823561692</v>
      </c>
      <c r="L308" s="8">
        <v>0</v>
      </c>
      <c r="M308" s="9">
        <v>1</v>
      </c>
      <c r="N308" s="8">
        <v>0</v>
      </c>
      <c r="O308" s="9">
        <v>0</v>
      </c>
      <c r="P308" s="9">
        <v>0</v>
      </c>
      <c r="Q308" s="9">
        <v>1</v>
      </c>
      <c r="R308" s="9">
        <v>0</v>
      </c>
      <c r="S308" s="8">
        <v>609852</v>
      </c>
      <c r="T308" s="9">
        <v>9</v>
      </c>
      <c r="U308" s="9">
        <f t="shared" si="64"/>
        <v>609842</v>
      </c>
      <c r="V308" s="9">
        <f t="shared" si="65"/>
        <v>16</v>
      </c>
      <c r="W308" s="7">
        <v>11.59</v>
      </c>
      <c r="X308" s="7">
        <f t="shared" si="73"/>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v>0</v>
      </c>
      <c r="BF308" s="18">
        <v>0</v>
      </c>
      <c r="BG308">
        <v>1</v>
      </c>
      <c r="BH308">
        <v>0</v>
      </c>
      <c r="BI308" s="18">
        <v>0</v>
      </c>
      <c r="BJ308">
        <v>15553</v>
      </c>
      <c r="BK308">
        <v>23227</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72"/>
        <v>243.33333333333334</v>
      </c>
      <c r="G309" s="7">
        <f t="shared" si="62"/>
        <v>7.27</v>
      </c>
      <c r="H309" s="16">
        <f t="shared" si="63"/>
        <v>7.33</v>
      </c>
      <c r="I309" s="11">
        <f t="shared" si="66"/>
        <v>0.29748949379856965</v>
      </c>
      <c r="J309" s="33">
        <f t="shared" si="67"/>
        <v>1.2225595635557657E-3</v>
      </c>
      <c r="K309" s="33">
        <f t="shared" si="68"/>
        <v>817.95605695606355</v>
      </c>
      <c r="L309" s="8">
        <v>0</v>
      </c>
      <c r="M309" s="9">
        <v>1</v>
      </c>
      <c r="N309" s="8">
        <v>0</v>
      </c>
      <c r="O309" s="9">
        <v>0</v>
      </c>
      <c r="P309" s="9">
        <v>0</v>
      </c>
      <c r="Q309" s="9">
        <v>1</v>
      </c>
      <c r="R309" s="9">
        <v>0</v>
      </c>
      <c r="S309" s="8">
        <v>609852</v>
      </c>
      <c r="T309" s="9">
        <v>10</v>
      </c>
      <c r="U309" s="9">
        <f t="shared" si="64"/>
        <v>609841</v>
      </c>
      <c r="V309" s="9">
        <f t="shared" si="65"/>
        <v>16</v>
      </c>
      <c r="W309" s="7">
        <v>11.59</v>
      </c>
      <c r="X309" s="7">
        <f t="shared" si="73"/>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v>0</v>
      </c>
      <c r="BF309" s="18">
        <v>0</v>
      </c>
      <c r="BG309">
        <v>1</v>
      </c>
      <c r="BH309">
        <v>0</v>
      </c>
      <c r="BI309" s="18">
        <v>0</v>
      </c>
      <c r="BJ309">
        <v>15553</v>
      </c>
      <c r="BK309">
        <v>23227</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72"/>
        <v>243.33333333333334</v>
      </c>
      <c r="G310" s="55">
        <f t="shared" si="62"/>
        <v>7.27</v>
      </c>
      <c r="H310" s="56">
        <f t="shared" si="63"/>
        <v>7.33</v>
      </c>
      <c r="I310" s="11">
        <f t="shared" si="66"/>
        <v>0.29748993844279964</v>
      </c>
      <c r="J310" s="33">
        <f t="shared" si="67"/>
        <v>1.2225613908608203E-3</v>
      </c>
      <c r="K310" s="33">
        <f t="shared" si="68"/>
        <v>817.95483439558632</v>
      </c>
      <c r="L310" s="59">
        <v>0</v>
      </c>
      <c r="M310" s="60">
        <v>1</v>
      </c>
      <c r="N310" s="59">
        <v>0</v>
      </c>
      <c r="O310" s="60">
        <v>0</v>
      </c>
      <c r="P310" s="60">
        <v>0</v>
      </c>
      <c r="Q310" s="60">
        <v>1</v>
      </c>
      <c r="R310" s="60">
        <v>0</v>
      </c>
      <c r="S310" s="59">
        <v>609852</v>
      </c>
      <c r="T310" s="60">
        <v>12</v>
      </c>
      <c r="U310" s="60">
        <f t="shared" si="64"/>
        <v>609839</v>
      </c>
      <c r="V310" s="60">
        <f t="shared" si="65"/>
        <v>16</v>
      </c>
      <c r="W310" s="55">
        <v>11.59</v>
      </c>
      <c r="X310" s="55">
        <f t="shared" si="73"/>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v>0</v>
      </c>
      <c r="BF310" s="65">
        <v>0</v>
      </c>
      <c r="BG310">
        <v>1</v>
      </c>
      <c r="BH310">
        <v>0</v>
      </c>
      <c r="BI310" s="65">
        <v>0</v>
      </c>
      <c r="BJ310">
        <v>15553</v>
      </c>
      <c r="BK310">
        <v>23227</v>
      </c>
      <c r="BL310" s="52">
        <v>44.74</v>
      </c>
      <c r="BM310" s="51">
        <v>0</v>
      </c>
      <c r="BN310" s="51">
        <v>0</v>
      </c>
      <c r="BO310" s="51">
        <v>0</v>
      </c>
      <c r="BP310" s="51">
        <v>0</v>
      </c>
      <c r="BQ310" s="51">
        <v>1</v>
      </c>
      <c r="BR310" s="51">
        <v>0</v>
      </c>
      <c r="BS310" s="51">
        <v>0</v>
      </c>
      <c r="BT310" s="65">
        <v>0</v>
      </c>
      <c r="BU310" s="51">
        <v>0</v>
      </c>
      <c r="BV310" s="51">
        <v>0</v>
      </c>
      <c r="BW310" s="51">
        <v>0</v>
      </c>
      <c r="BX310" s="65">
        <v>1</v>
      </c>
      <c r="BY310" s="51">
        <v>0</v>
      </c>
      <c r="BZ310" s="51">
        <v>0</v>
      </c>
      <c r="CA310" s="51">
        <v>0</v>
      </c>
      <c r="CB310" s="51">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72"/>
        <v>50</v>
      </c>
      <c r="G311" s="7">
        <f t="shared" si="62"/>
        <v>4.9000000000000004</v>
      </c>
      <c r="H311" s="16">
        <f t="shared" si="63"/>
        <v>5.0999999999999996</v>
      </c>
      <c r="I311" s="11">
        <f t="shared" si="66"/>
        <v>0.21218275209520929</v>
      </c>
      <c r="J311" s="33">
        <f t="shared" si="67"/>
        <v>4.2436550419041857E-3</v>
      </c>
      <c r="K311" s="33">
        <f t="shared" si="68"/>
        <v>235.64592082189753</v>
      </c>
      <c r="L311" s="8">
        <v>0</v>
      </c>
      <c r="M311" s="9">
        <v>1</v>
      </c>
      <c r="N311" s="8">
        <v>0</v>
      </c>
      <c r="O311" s="9">
        <v>0</v>
      </c>
      <c r="P311" s="9">
        <v>1</v>
      </c>
      <c r="Q311" s="9">
        <v>0</v>
      </c>
      <c r="R311" s="9">
        <v>0</v>
      </c>
      <c r="S311" s="8">
        <v>53044</v>
      </c>
      <c r="T311" s="9">
        <v>14</v>
      </c>
      <c r="U311" s="9">
        <f t="shared" si="64"/>
        <v>53029</v>
      </c>
      <c r="V311" s="9">
        <f t="shared" si="65"/>
        <v>12</v>
      </c>
      <c r="W311" s="7">
        <v>7.8040000000000003</v>
      </c>
      <c r="X311" s="7">
        <f t="shared" si="73"/>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4">1-AR311</f>
        <v>0.505</v>
      </c>
      <c r="AR311" s="40">
        <v>0.495</v>
      </c>
      <c r="AS311">
        <v>1</v>
      </c>
      <c r="AT311" s="40">
        <v>0</v>
      </c>
      <c r="AU311">
        <v>0</v>
      </c>
      <c r="AV311" s="18">
        <v>1</v>
      </c>
      <c r="AW311">
        <f t="shared" ref="AW311:AW322" si="75">1-AX311</f>
        <v>0.375</v>
      </c>
      <c r="AX311" s="18">
        <v>0.625</v>
      </c>
      <c r="AY311" s="18" t="s">
        <v>28</v>
      </c>
      <c r="AZ311">
        <v>0</v>
      </c>
      <c r="BA311">
        <v>1</v>
      </c>
      <c r="BB311">
        <v>0</v>
      </c>
      <c r="BC311">
        <v>0</v>
      </c>
      <c r="BD311">
        <v>0</v>
      </c>
      <c r="BE311">
        <v>0</v>
      </c>
      <c r="BF311" s="18">
        <v>0</v>
      </c>
      <c r="BG311">
        <v>0</v>
      </c>
      <c r="BH311">
        <v>1</v>
      </c>
      <c r="BI311" s="18">
        <v>0</v>
      </c>
      <c r="BJ311">
        <v>2870</v>
      </c>
      <c r="BK311">
        <v>291</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72"/>
        <v>70.999999999999986</v>
      </c>
      <c r="G312" s="7">
        <f t="shared" si="62"/>
        <v>7</v>
      </c>
      <c r="H312" s="16">
        <f t="shared" si="63"/>
        <v>7.1999999999999993</v>
      </c>
      <c r="I312" s="11">
        <f t="shared" si="66"/>
        <v>0.51647633440499785</v>
      </c>
      <c r="J312" s="33">
        <f t="shared" si="67"/>
        <v>7.2743145690844797E-3</v>
      </c>
      <c r="K312" s="33">
        <f t="shared" si="68"/>
        <v>137.46999672655846</v>
      </c>
      <c r="L312" s="8">
        <v>0</v>
      </c>
      <c r="M312" s="9">
        <v>1</v>
      </c>
      <c r="N312" s="8">
        <v>0</v>
      </c>
      <c r="O312" s="9">
        <v>0</v>
      </c>
      <c r="P312" s="9">
        <v>1</v>
      </c>
      <c r="Q312" s="9">
        <v>0</v>
      </c>
      <c r="R312" s="9">
        <v>0</v>
      </c>
      <c r="S312" s="8">
        <v>13870</v>
      </c>
      <c r="T312" s="9">
        <v>12</v>
      </c>
      <c r="U312" s="9">
        <f t="shared" si="64"/>
        <v>13857</v>
      </c>
      <c r="V312" s="9">
        <f t="shared" si="65"/>
        <v>12</v>
      </c>
      <c r="W312" s="7">
        <v>10.032</v>
      </c>
      <c r="X312" s="7">
        <f t="shared" si="73"/>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4"/>
        <v>0.52</v>
      </c>
      <c r="AR312" s="40">
        <v>0.48</v>
      </c>
      <c r="AS312">
        <v>1</v>
      </c>
      <c r="AT312" s="40">
        <v>0</v>
      </c>
      <c r="AU312">
        <v>0</v>
      </c>
      <c r="AV312" s="18">
        <v>1</v>
      </c>
      <c r="AW312">
        <f t="shared" si="75"/>
        <v>0.378</v>
      </c>
      <c r="AX312" s="18">
        <v>0.622</v>
      </c>
      <c r="AY312" s="18" t="s">
        <v>28</v>
      </c>
      <c r="AZ312">
        <v>0</v>
      </c>
      <c r="BA312">
        <v>1</v>
      </c>
      <c r="BB312">
        <v>0</v>
      </c>
      <c r="BC312">
        <v>0</v>
      </c>
      <c r="BD312">
        <v>0</v>
      </c>
      <c r="BE312">
        <v>0</v>
      </c>
      <c r="BF312" s="18">
        <v>0</v>
      </c>
      <c r="BG312">
        <v>0</v>
      </c>
      <c r="BH312">
        <v>1</v>
      </c>
      <c r="BI312" s="18">
        <v>0</v>
      </c>
      <c r="BJ312">
        <v>2870</v>
      </c>
      <c r="BK312">
        <v>291</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72"/>
        <v>49</v>
      </c>
      <c r="G313" s="7">
        <f t="shared" si="62"/>
        <v>4.8000000000000007</v>
      </c>
      <c r="H313" s="16">
        <f t="shared" si="63"/>
        <v>5</v>
      </c>
      <c r="I313" s="11">
        <f t="shared" si="66"/>
        <v>0.33699468069112615</v>
      </c>
      <c r="J313" s="33">
        <f t="shared" si="67"/>
        <v>6.8774424630842074E-3</v>
      </c>
      <c r="K313" s="33">
        <f t="shared" si="68"/>
        <v>145.40288855452633</v>
      </c>
      <c r="L313" s="8">
        <v>0</v>
      </c>
      <c r="M313" s="9">
        <v>1</v>
      </c>
      <c r="N313" s="8">
        <v>0</v>
      </c>
      <c r="O313" s="9">
        <v>0</v>
      </c>
      <c r="P313" s="9">
        <v>1</v>
      </c>
      <c r="Q313" s="9">
        <v>0</v>
      </c>
      <c r="R313" s="9">
        <v>0</v>
      </c>
      <c r="S313" s="8">
        <v>18754</v>
      </c>
      <c r="T313" s="9">
        <v>12</v>
      </c>
      <c r="U313" s="9">
        <f t="shared" si="64"/>
        <v>18741</v>
      </c>
      <c r="V313" s="9">
        <f t="shared" si="65"/>
        <v>12</v>
      </c>
      <c r="W313" s="7">
        <v>6.3079999999999998</v>
      </c>
      <c r="X313" s="7">
        <f t="shared" si="73"/>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4"/>
        <v>0.57200000000000006</v>
      </c>
      <c r="AR313" s="40">
        <v>0.42799999999999999</v>
      </c>
      <c r="AS313">
        <v>1</v>
      </c>
      <c r="AT313" s="40">
        <v>0</v>
      </c>
      <c r="AU313">
        <v>0</v>
      </c>
      <c r="AV313" s="18">
        <v>1</v>
      </c>
      <c r="AW313">
        <f t="shared" si="75"/>
        <v>0.45799999999999996</v>
      </c>
      <c r="AX313" s="18">
        <v>0.54200000000000004</v>
      </c>
      <c r="AY313" s="18" t="s">
        <v>28</v>
      </c>
      <c r="AZ313">
        <v>0</v>
      </c>
      <c r="BA313">
        <v>1</v>
      </c>
      <c r="BB313">
        <v>0</v>
      </c>
      <c r="BC313">
        <v>0</v>
      </c>
      <c r="BD313">
        <v>0</v>
      </c>
      <c r="BE313">
        <v>0</v>
      </c>
      <c r="BF313" s="18">
        <v>0</v>
      </c>
      <c r="BG313">
        <v>0</v>
      </c>
      <c r="BH313">
        <v>1</v>
      </c>
      <c r="BI313" s="18">
        <v>0</v>
      </c>
      <c r="BJ313">
        <v>2870</v>
      </c>
      <c r="BK313">
        <v>291</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72"/>
        <v>17.5</v>
      </c>
      <c r="G314" s="7">
        <f t="shared" si="62"/>
        <v>3.3</v>
      </c>
      <c r="H314" s="16">
        <f t="shared" si="63"/>
        <v>3.7</v>
      </c>
      <c r="I314" s="11">
        <f t="shared" si="66"/>
        <v>0.12159449831189598</v>
      </c>
      <c r="J314" s="33">
        <f t="shared" si="67"/>
        <v>6.9482570463940563E-3</v>
      </c>
      <c r="K314" s="33">
        <f t="shared" si="68"/>
        <v>143.92098526622169</v>
      </c>
      <c r="L314" s="8">
        <v>0</v>
      </c>
      <c r="M314" s="9">
        <v>1</v>
      </c>
      <c r="N314" s="8">
        <v>0</v>
      </c>
      <c r="O314" s="9">
        <v>0</v>
      </c>
      <c r="P314" s="9">
        <v>1</v>
      </c>
      <c r="Q314" s="9">
        <v>0</v>
      </c>
      <c r="R314" s="9">
        <v>0</v>
      </c>
      <c r="S314" s="8">
        <v>20420</v>
      </c>
      <c r="T314" s="9">
        <v>12</v>
      </c>
      <c r="U314" s="9">
        <f t="shared" si="64"/>
        <v>20407</v>
      </c>
      <c r="V314" s="9">
        <f t="shared" si="65"/>
        <v>12</v>
      </c>
      <c r="W314" s="7">
        <v>7.6660000000000004</v>
      </c>
      <c r="X314" s="7">
        <f t="shared" si="73"/>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4"/>
        <v>0.43300000000000005</v>
      </c>
      <c r="AR314" s="40">
        <v>0.56699999999999995</v>
      </c>
      <c r="AS314">
        <v>1</v>
      </c>
      <c r="AT314" s="40">
        <v>0</v>
      </c>
      <c r="AU314">
        <v>0</v>
      </c>
      <c r="AV314" s="18">
        <v>1</v>
      </c>
      <c r="AW314">
        <f t="shared" si="75"/>
        <v>0.29600000000000004</v>
      </c>
      <c r="AX314" s="18">
        <v>0.70399999999999996</v>
      </c>
      <c r="AY314" s="18" t="s">
        <v>28</v>
      </c>
      <c r="AZ314">
        <v>0</v>
      </c>
      <c r="BA314">
        <v>1</v>
      </c>
      <c r="BB314">
        <v>0</v>
      </c>
      <c r="BC314">
        <v>0</v>
      </c>
      <c r="BD314">
        <v>0</v>
      </c>
      <c r="BE314">
        <v>0</v>
      </c>
      <c r="BF314" s="18">
        <v>0</v>
      </c>
      <c r="BG314">
        <v>0</v>
      </c>
      <c r="BH314">
        <v>1</v>
      </c>
      <c r="BI314" s="18">
        <v>0</v>
      </c>
      <c r="BJ314">
        <v>2870</v>
      </c>
      <c r="BK314">
        <v>291</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72"/>
        <v>9.0666666666666664</v>
      </c>
      <c r="G315" s="7">
        <f t="shared" si="62"/>
        <v>12.1</v>
      </c>
      <c r="H315" s="16">
        <f t="shared" si="63"/>
        <v>15.1</v>
      </c>
      <c r="I315" s="11">
        <f t="shared" si="66"/>
        <v>3.9341831513423985E-2</v>
      </c>
      <c r="J315" s="33">
        <f t="shared" si="67"/>
        <v>4.3391725933923514E-3</v>
      </c>
      <c r="K315" s="33">
        <f t="shared" si="68"/>
        <v>230.45868272739139</v>
      </c>
      <c r="L315" s="8">
        <v>0</v>
      </c>
      <c r="M315" s="9">
        <v>1</v>
      </c>
      <c r="N315" s="8">
        <v>0</v>
      </c>
      <c r="O315" s="9">
        <v>0</v>
      </c>
      <c r="P315" s="9">
        <v>1</v>
      </c>
      <c r="Q315" s="9">
        <v>0</v>
      </c>
      <c r="R315" s="9">
        <v>0</v>
      </c>
      <c r="S315" s="8">
        <v>53044</v>
      </c>
      <c r="T315" s="9">
        <v>14</v>
      </c>
      <c r="U315" s="9">
        <f t="shared" si="64"/>
        <v>53029</v>
      </c>
      <c r="V315" s="9">
        <f t="shared" si="65"/>
        <v>12</v>
      </c>
      <c r="W315" s="7">
        <v>7.8040000000000003</v>
      </c>
      <c r="X315" s="7">
        <f t="shared" si="73"/>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4"/>
        <v>0.505</v>
      </c>
      <c r="AR315" s="40">
        <v>0.495</v>
      </c>
      <c r="AS315">
        <v>1</v>
      </c>
      <c r="AT315" s="40">
        <v>0</v>
      </c>
      <c r="AU315">
        <v>0</v>
      </c>
      <c r="AV315" s="18">
        <v>1</v>
      </c>
      <c r="AW315">
        <f t="shared" si="75"/>
        <v>0.375</v>
      </c>
      <c r="AX315" s="18">
        <v>0.625</v>
      </c>
      <c r="AY315" s="18" t="s">
        <v>28</v>
      </c>
      <c r="AZ315">
        <v>0</v>
      </c>
      <c r="BA315">
        <v>1</v>
      </c>
      <c r="BB315">
        <v>0</v>
      </c>
      <c r="BC315">
        <v>0</v>
      </c>
      <c r="BD315">
        <v>0</v>
      </c>
      <c r="BE315">
        <v>0</v>
      </c>
      <c r="BF315" s="18">
        <v>0</v>
      </c>
      <c r="BG315">
        <v>0</v>
      </c>
      <c r="BH315">
        <v>1</v>
      </c>
      <c r="BI315" s="18">
        <v>0</v>
      </c>
      <c r="BJ315">
        <v>2870</v>
      </c>
      <c r="BK315">
        <v>291</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72"/>
        <v>9.7333333333333325</v>
      </c>
      <c r="G316" s="7">
        <f t="shared" si="62"/>
        <v>13.1</v>
      </c>
      <c r="H316" s="16">
        <f t="shared" si="63"/>
        <v>16.100000000000001</v>
      </c>
      <c r="I316" s="11">
        <f t="shared" si="66"/>
        <v>8.2403838857020115E-2</v>
      </c>
      <c r="J316" s="33">
        <f t="shared" si="67"/>
        <v>8.4661478277760407E-3</v>
      </c>
      <c r="K316" s="33">
        <f t="shared" si="68"/>
        <v>118.11747448103425</v>
      </c>
      <c r="L316" s="8">
        <v>0</v>
      </c>
      <c r="M316" s="9">
        <v>1</v>
      </c>
      <c r="N316" s="8">
        <v>0</v>
      </c>
      <c r="O316" s="9">
        <v>0</v>
      </c>
      <c r="P316" s="9">
        <v>1</v>
      </c>
      <c r="Q316" s="9">
        <v>0</v>
      </c>
      <c r="R316" s="9">
        <v>0</v>
      </c>
      <c r="S316" s="8">
        <v>13870</v>
      </c>
      <c r="T316" s="9">
        <v>12</v>
      </c>
      <c r="U316" s="9">
        <f t="shared" si="64"/>
        <v>13857</v>
      </c>
      <c r="V316" s="9">
        <f t="shared" si="65"/>
        <v>12</v>
      </c>
      <c r="W316" s="7">
        <v>10.032</v>
      </c>
      <c r="X316" s="7">
        <f t="shared" si="73"/>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4"/>
        <v>0.52</v>
      </c>
      <c r="AR316" s="40">
        <v>0.48</v>
      </c>
      <c r="AS316">
        <v>1</v>
      </c>
      <c r="AT316" s="40">
        <v>0</v>
      </c>
      <c r="AU316">
        <v>0</v>
      </c>
      <c r="AV316" s="18">
        <v>1</v>
      </c>
      <c r="AW316">
        <f t="shared" si="75"/>
        <v>0.378</v>
      </c>
      <c r="AX316" s="18">
        <v>0.622</v>
      </c>
      <c r="AY316" s="18" t="s">
        <v>28</v>
      </c>
      <c r="AZ316">
        <v>0</v>
      </c>
      <c r="BA316">
        <v>1</v>
      </c>
      <c r="BB316">
        <v>0</v>
      </c>
      <c r="BC316">
        <v>0</v>
      </c>
      <c r="BD316">
        <v>0</v>
      </c>
      <c r="BE316">
        <v>0</v>
      </c>
      <c r="BF316" s="18">
        <v>0</v>
      </c>
      <c r="BG316">
        <v>0</v>
      </c>
      <c r="BH316">
        <v>1</v>
      </c>
      <c r="BI316" s="18">
        <v>0</v>
      </c>
      <c r="BJ316">
        <v>2870</v>
      </c>
      <c r="BK316">
        <v>291</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72"/>
        <v>3.7333333333333329</v>
      </c>
      <c r="G317" s="7">
        <f t="shared" si="62"/>
        <v>8.1999999999999993</v>
      </c>
      <c r="H317" s="16">
        <f t="shared" si="63"/>
        <v>14.2</v>
      </c>
      <c r="I317" s="11">
        <f t="shared" si="66"/>
        <v>2.7260822444108244E-2</v>
      </c>
      <c r="J317" s="33">
        <f t="shared" si="67"/>
        <v>7.3020060118147078E-3</v>
      </c>
      <c r="K317" s="33">
        <f t="shared" si="68"/>
        <v>136.94866840454409</v>
      </c>
      <c r="L317" s="8">
        <v>0</v>
      </c>
      <c r="M317" s="9">
        <v>1</v>
      </c>
      <c r="N317" s="8">
        <v>0</v>
      </c>
      <c r="O317" s="9">
        <v>0</v>
      </c>
      <c r="P317" s="9">
        <v>1</v>
      </c>
      <c r="Q317" s="9">
        <v>0</v>
      </c>
      <c r="R317" s="9">
        <v>0</v>
      </c>
      <c r="S317" s="8">
        <v>18754</v>
      </c>
      <c r="T317" s="9">
        <v>12</v>
      </c>
      <c r="U317" s="9">
        <f t="shared" si="64"/>
        <v>18741</v>
      </c>
      <c r="V317" s="9">
        <f t="shared" si="65"/>
        <v>12</v>
      </c>
      <c r="W317" s="7">
        <v>6.3079999999999998</v>
      </c>
      <c r="X317" s="7">
        <f t="shared" si="73"/>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4"/>
        <v>0.57200000000000006</v>
      </c>
      <c r="AR317" s="40">
        <v>0.42799999999999999</v>
      </c>
      <c r="AS317">
        <v>1</v>
      </c>
      <c r="AT317" s="40">
        <v>0</v>
      </c>
      <c r="AU317">
        <v>0</v>
      </c>
      <c r="AV317" s="18">
        <v>1</v>
      </c>
      <c r="AW317">
        <f t="shared" si="75"/>
        <v>0.45799999999999996</v>
      </c>
      <c r="AX317" s="18">
        <v>0.54200000000000004</v>
      </c>
      <c r="AY317" s="18" t="s">
        <v>28</v>
      </c>
      <c r="AZ317">
        <v>0</v>
      </c>
      <c r="BA317">
        <v>1</v>
      </c>
      <c r="BB317">
        <v>0</v>
      </c>
      <c r="BC317">
        <v>0</v>
      </c>
      <c r="BD317">
        <v>0</v>
      </c>
      <c r="BE317">
        <v>0</v>
      </c>
      <c r="BF317" s="18">
        <v>0</v>
      </c>
      <c r="BG317">
        <v>0</v>
      </c>
      <c r="BH317">
        <v>1</v>
      </c>
      <c r="BI317" s="18">
        <v>0</v>
      </c>
      <c r="BJ317">
        <v>2870</v>
      </c>
      <c r="BK317">
        <v>291</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72"/>
        <v>3.3055555555555554</v>
      </c>
      <c r="G318" s="7">
        <f t="shared" si="62"/>
        <v>8.3000000000000007</v>
      </c>
      <c r="H318" s="16">
        <f t="shared" si="63"/>
        <v>15.5</v>
      </c>
      <c r="I318" s="11">
        <f t="shared" si="66"/>
        <v>2.3133355957210736E-2</v>
      </c>
      <c r="J318" s="33">
        <f t="shared" si="67"/>
        <v>6.9983261719292981E-3</v>
      </c>
      <c r="K318" s="33">
        <f t="shared" si="68"/>
        <v>142.89131078386421</v>
      </c>
      <c r="L318" s="8">
        <v>0</v>
      </c>
      <c r="M318" s="9">
        <v>1</v>
      </c>
      <c r="N318" s="8">
        <v>0</v>
      </c>
      <c r="O318" s="9">
        <v>0</v>
      </c>
      <c r="P318" s="9">
        <v>1</v>
      </c>
      <c r="Q318" s="9">
        <v>0</v>
      </c>
      <c r="R318" s="9">
        <v>0</v>
      </c>
      <c r="S318" s="8">
        <v>20420</v>
      </c>
      <c r="T318" s="9">
        <v>12</v>
      </c>
      <c r="U318" s="9">
        <f t="shared" si="64"/>
        <v>20407</v>
      </c>
      <c r="V318" s="9">
        <f t="shared" si="65"/>
        <v>12</v>
      </c>
      <c r="W318" s="7">
        <v>7.6660000000000004</v>
      </c>
      <c r="X318" s="7">
        <f t="shared" si="73"/>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4"/>
        <v>0.43300000000000005</v>
      </c>
      <c r="AR318" s="40">
        <v>0.56699999999999995</v>
      </c>
      <c r="AS318">
        <v>1</v>
      </c>
      <c r="AT318" s="40">
        <v>0</v>
      </c>
      <c r="AU318">
        <v>0</v>
      </c>
      <c r="AV318" s="18">
        <v>1</v>
      </c>
      <c r="AW318">
        <f t="shared" si="75"/>
        <v>0.29600000000000004</v>
      </c>
      <c r="AX318" s="18">
        <v>0.70399999999999996</v>
      </c>
      <c r="AY318" s="18" t="s">
        <v>28</v>
      </c>
      <c r="AZ318">
        <v>0</v>
      </c>
      <c r="BA318">
        <v>1</v>
      </c>
      <c r="BB318">
        <v>0</v>
      </c>
      <c r="BC318">
        <v>0</v>
      </c>
      <c r="BD318">
        <v>0</v>
      </c>
      <c r="BE318">
        <v>0</v>
      </c>
      <c r="BF318" s="18">
        <v>0</v>
      </c>
      <c r="BG318">
        <v>0</v>
      </c>
      <c r="BH318">
        <v>1</v>
      </c>
      <c r="BI318" s="18">
        <v>0</v>
      </c>
      <c r="BJ318">
        <v>2870</v>
      </c>
      <c r="BK318">
        <v>291</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72"/>
        <v>50.999999999999993</v>
      </c>
      <c r="G319" s="7">
        <f t="shared" si="62"/>
        <v>5</v>
      </c>
      <c r="H319" s="16">
        <f t="shared" si="63"/>
        <v>5.1999999999999993</v>
      </c>
      <c r="I319" s="11">
        <f t="shared" si="66"/>
        <v>0.2975544533148119</v>
      </c>
      <c r="J319" s="33">
        <f t="shared" si="67"/>
        <v>5.8344010453884694E-3</v>
      </c>
      <c r="K319" s="33">
        <f t="shared" si="68"/>
        <v>171.39719951037708</v>
      </c>
      <c r="L319" s="8">
        <v>0</v>
      </c>
      <c r="M319" s="9">
        <v>1</v>
      </c>
      <c r="N319" s="8">
        <v>0</v>
      </c>
      <c r="O319" s="9">
        <v>0</v>
      </c>
      <c r="P319" s="9">
        <v>1</v>
      </c>
      <c r="Q319" s="9">
        <v>0</v>
      </c>
      <c r="R319" s="9">
        <v>0</v>
      </c>
      <c r="S319" s="8">
        <v>26789</v>
      </c>
      <c r="T319" s="9">
        <v>12</v>
      </c>
      <c r="U319" s="9">
        <f t="shared" si="64"/>
        <v>26776</v>
      </c>
      <c r="V319" s="9">
        <f t="shared" si="65"/>
        <v>12</v>
      </c>
      <c r="W319" s="7">
        <v>7.8040000000000003</v>
      </c>
      <c r="X319" s="7">
        <f t="shared" si="73"/>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5"/>
        <v>0.375</v>
      </c>
      <c r="AX319" s="18">
        <v>0.625</v>
      </c>
      <c r="AY319" s="18" t="s">
        <v>28</v>
      </c>
      <c r="AZ319">
        <v>0</v>
      </c>
      <c r="BA319">
        <v>1</v>
      </c>
      <c r="BB319">
        <v>0</v>
      </c>
      <c r="BC319">
        <v>0</v>
      </c>
      <c r="BD319">
        <v>0</v>
      </c>
      <c r="BE319">
        <v>0</v>
      </c>
      <c r="BF319" s="18">
        <v>0</v>
      </c>
      <c r="BG319">
        <v>0</v>
      </c>
      <c r="BH319">
        <v>1</v>
      </c>
      <c r="BI319" s="18">
        <v>0</v>
      </c>
      <c r="BJ319">
        <v>2870</v>
      </c>
      <c r="BK319">
        <v>291</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72"/>
        <v>49</v>
      </c>
      <c r="G320" s="7">
        <f t="shared" si="62"/>
        <v>4.8000000000000007</v>
      </c>
      <c r="H320" s="16">
        <f t="shared" si="63"/>
        <v>5</v>
      </c>
      <c r="I320" s="11">
        <f t="shared" si="66"/>
        <v>0.28952550548973338</v>
      </c>
      <c r="J320" s="33">
        <f t="shared" si="67"/>
        <v>5.9086837855047633E-3</v>
      </c>
      <c r="K320" s="33">
        <f t="shared" si="68"/>
        <v>169.24242966821294</v>
      </c>
      <c r="L320" s="8">
        <v>0</v>
      </c>
      <c r="M320" s="9">
        <v>1</v>
      </c>
      <c r="N320" s="8">
        <v>0</v>
      </c>
      <c r="O320" s="9">
        <v>0</v>
      </c>
      <c r="P320" s="9">
        <v>1</v>
      </c>
      <c r="Q320" s="9">
        <v>0</v>
      </c>
      <c r="R320" s="9">
        <v>0</v>
      </c>
      <c r="S320" s="8">
        <v>26255</v>
      </c>
      <c r="T320" s="9">
        <v>12</v>
      </c>
      <c r="U320" s="9">
        <f t="shared" si="64"/>
        <v>26242</v>
      </c>
      <c r="V320" s="9">
        <f t="shared" si="65"/>
        <v>12</v>
      </c>
      <c r="W320" s="7">
        <v>7.8040000000000003</v>
      </c>
      <c r="X320" s="7">
        <f t="shared" si="73"/>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5"/>
        <v>0.375</v>
      </c>
      <c r="AX320" s="18">
        <v>0.625</v>
      </c>
      <c r="AY320" s="18" t="s">
        <v>28</v>
      </c>
      <c r="AZ320">
        <v>0</v>
      </c>
      <c r="BA320">
        <v>1</v>
      </c>
      <c r="BB320">
        <v>0</v>
      </c>
      <c r="BC320">
        <v>0</v>
      </c>
      <c r="BD320">
        <v>0</v>
      </c>
      <c r="BE320">
        <v>0</v>
      </c>
      <c r="BF320" s="18">
        <v>0</v>
      </c>
      <c r="BG320">
        <v>0</v>
      </c>
      <c r="BH320">
        <v>1</v>
      </c>
      <c r="BI320" s="18">
        <v>0</v>
      </c>
      <c r="BJ320">
        <v>2870</v>
      </c>
      <c r="BK320">
        <v>291</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72"/>
        <v>7.1764705882352935</v>
      </c>
      <c r="G321" s="7">
        <f t="shared" si="62"/>
        <v>10.5</v>
      </c>
      <c r="H321" s="16">
        <f t="shared" si="63"/>
        <v>13.899999999999999</v>
      </c>
      <c r="I321" s="11">
        <f t="shared" si="66"/>
        <v>4.3814795954272248E-2</v>
      </c>
      <c r="J321" s="33">
        <f t="shared" si="67"/>
        <v>6.1053404198576086E-3</v>
      </c>
      <c r="K321" s="33">
        <f t="shared" si="68"/>
        <v>163.7910306766027</v>
      </c>
      <c r="L321" s="8">
        <v>0</v>
      </c>
      <c r="M321" s="9">
        <v>1</v>
      </c>
      <c r="N321" s="8">
        <v>0</v>
      </c>
      <c r="O321" s="9">
        <v>0</v>
      </c>
      <c r="P321" s="9">
        <v>1</v>
      </c>
      <c r="Q321" s="9">
        <v>0</v>
      </c>
      <c r="R321" s="9">
        <v>0</v>
      </c>
      <c r="S321" s="8">
        <v>26789</v>
      </c>
      <c r="T321" s="9">
        <v>12</v>
      </c>
      <c r="U321" s="9">
        <f t="shared" si="64"/>
        <v>26776</v>
      </c>
      <c r="V321" s="9">
        <f t="shared" si="65"/>
        <v>12</v>
      </c>
      <c r="W321" s="7">
        <v>7.8040000000000003</v>
      </c>
      <c r="X321" s="7">
        <f t="shared" si="73"/>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5"/>
        <v>0.375</v>
      </c>
      <c r="AX321" s="18">
        <v>0.625</v>
      </c>
      <c r="AY321" s="18" t="s">
        <v>28</v>
      </c>
      <c r="AZ321">
        <v>0</v>
      </c>
      <c r="BA321">
        <v>1</v>
      </c>
      <c r="BB321">
        <v>0</v>
      </c>
      <c r="BC321">
        <v>0</v>
      </c>
      <c r="BD321">
        <v>0</v>
      </c>
      <c r="BE321">
        <v>0</v>
      </c>
      <c r="BF321" s="18">
        <v>0</v>
      </c>
      <c r="BG321">
        <v>0</v>
      </c>
      <c r="BH321">
        <v>1</v>
      </c>
      <c r="BI321" s="18">
        <v>0</v>
      </c>
      <c r="BJ321">
        <v>2870</v>
      </c>
      <c r="BK321">
        <v>291</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72"/>
        <v>7.1818181818181817</v>
      </c>
      <c r="G322" s="55">
        <f t="shared" ref="G322:G385" si="76">D322-E322</f>
        <v>13.600000000000001</v>
      </c>
      <c r="H322" s="56">
        <f t="shared" ref="H322:H385" si="77">D322+E322</f>
        <v>18</v>
      </c>
      <c r="I322" s="11">
        <f t="shared" si="66"/>
        <v>4.4290395425208039E-2</v>
      </c>
      <c r="J322" s="33">
        <f t="shared" si="67"/>
        <v>6.1670170845226384E-3</v>
      </c>
      <c r="K322" s="33">
        <f t="shared" si="68"/>
        <v>162.15294789918772</v>
      </c>
      <c r="L322" s="59">
        <v>0</v>
      </c>
      <c r="M322" s="60">
        <v>1</v>
      </c>
      <c r="N322" s="59">
        <v>0</v>
      </c>
      <c r="O322" s="60">
        <v>0</v>
      </c>
      <c r="P322" s="60">
        <v>1</v>
      </c>
      <c r="Q322" s="60">
        <v>0</v>
      </c>
      <c r="R322" s="60">
        <v>0</v>
      </c>
      <c r="S322" s="59">
        <v>26255</v>
      </c>
      <c r="T322" s="60">
        <v>12</v>
      </c>
      <c r="U322" s="60">
        <f t="shared" ref="U322:U385" si="78">S322-T322-1</f>
        <v>26242</v>
      </c>
      <c r="V322" s="60">
        <f t="shared" ref="V322:V385" si="79">COUNTIF(B:B,B322)</f>
        <v>12</v>
      </c>
      <c r="W322" s="55">
        <v>7.8040000000000003</v>
      </c>
      <c r="X322" s="55">
        <f t="shared" si="73"/>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5"/>
        <v>0.375</v>
      </c>
      <c r="AX322" s="65">
        <v>0.625</v>
      </c>
      <c r="AY322" s="65" t="s">
        <v>28</v>
      </c>
      <c r="AZ322">
        <v>0</v>
      </c>
      <c r="BA322">
        <v>1</v>
      </c>
      <c r="BB322">
        <v>0</v>
      </c>
      <c r="BC322">
        <v>0</v>
      </c>
      <c r="BD322">
        <v>0</v>
      </c>
      <c r="BE322">
        <v>0</v>
      </c>
      <c r="BF322" s="65">
        <v>0</v>
      </c>
      <c r="BG322">
        <v>0</v>
      </c>
      <c r="BH322">
        <v>1</v>
      </c>
      <c r="BI322" s="65">
        <v>0</v>
      </c>
      <c r="BJ322">
        <v>2870</v>
      </c>
      <c r="BK322">
        <v>291</v>
      </c>
      <c r="BL322" s="52">
        <v>44.594000000000001</v>
      </c>
      <c r="BM322" s="51">
        <v>0</v>
      </c>
      <c r="BN322" s="51">
        <v>0</v>
      </c>
      <c r="BO322" s="51">
        <v>0</v>
      </c>
      <c r="BP322" s="51">
        <v>0</v>
      </c>
      <c r="BQ322" s="51">
        <v>0</v>
      </c>
      <c r="BR322" s="51">
        <v>0</v>
      </c>
      <c r="BS322" s="51">
        <v>0</v>
      </c>
      <c r="BT322" s="65">
        <v>1</v>
      </c>
      <c r="BU322" s="51">
        <v>0</v>
      </c>
      <c r="BV322" s="51">
        <v>1</v>
      </c>
      <c r="BW322" s="51">
        <v>0</v>
      </c>
      <c r="BX322" s="65">
        <v>0</v>
      </c>
      <c r="BY322" s="51">
        <v>0</v>
      </c>
      <c r="BZ322" s="51">
        <v>1</v>
      </c>
      <c r="CA322" s="51">
        <v>0</v>
      </c>
      <c r="CB322" s="51">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0">D323/F323</f>
        <v>0.86242299794661192</v>
      </c>
      <c r="F323" s="7">
        <v>4.87</v>
      </c>
      <c r="G323" s="7">
        <f t="shared" si="76"/>
        <v>3.3375770020533881</v>
      </c>
      <c r="H323" s="16">
        <f t="shared" si="77"/>
        <v>5.0624229979466122</v>
      </c>
      <c r="I323" s="11">
        <f t="shared" si="66"/>
        <v>0.11280776361417817</v>
      </c>
      <c r="J323" s="33">
        <f t="shared" si="67"/>
        <v>2.3163811830426727E-2</v>
      </c>
      <c r="K323" s="33">
        <f t="shared" si="68"/>
        <v>43.170787576786225</v>
      </c>
      <c r="L323" s="8">
        <v>0</v>
      </c>
      <c r="M323" s="9">
        <v>1</v>
      </c>
      <c r="N323" s="8">
        <v>0</v>
      </c>
      <c r="O323" s="9">
        <v>0</v>
      </c>
      <c r="P323" s="9">
        <v>1</v>
      </c>
      <c r="Q323" s="9">
        <v>0</v>
      </c>
      <c r="R323" s="9">
        <v>0</v>
      </c>
      <c r="S323" s="8">
        <v>1852</v>
      </c>
      <c r="T323" s="9">
        <v>11</v>
      </c>
      <c r="U323" s="9">
        <f t="shared" si="78"/>
        <v>1840</v>
      </c>
      <c r="V323" s="9">
        <f t="shared" si="79"/>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1">$AQ$323*AK335+$AR$323*AK327</f>
        <v>0.21501220000000001</v>
      </c>
      <c r="AL323" s="33">
        <f t="shared" si="81"/>
        <v>0.34625300000000003</v>
      </c>
      <c r="AM323" s="33">
        <f t="shared" si="81"/>
        <v>0.30737340000000002</v>
      </c>
      <c r="AN323" s="43">
        <f t="shared" si="81"/>
        <v>0.13136140000000002</v>
      </c>
      <c r="AO323" s="42">
        <v>1</v>
      </c>
      <c r="AP323" s="18">
        <v>0</v>
      </c>
      <c r="AQ323" s="39">
        <f>1-AR323</f>
        <v>0.55020000000000002</v>
      </c>
      <c r="AR323" s="40">
        <v>0.44979999999999998</v>
      </c>
      <c r="AS323">
        <v>8.5300000000000001E-2</v>
      </c>
      <c r="AT323" s="40">
        <f t="shared" ref="AT323:AT346" si="82">1-AS323</f>
        <v>0.91469999999999996</v>
      </c>
      <c r="AU323">
        <v>0</v>
      </c>
      <c r="AV323" s="18">
        <v>1</v>
      </c>
      <c r="AW323">
        <v>0</v>
      </c>
      <c r="AX323" s="18">
        <v>1</v>
      </c>
      <c r="AY323" s="18" t="s">
        <v>5</v>
      </c>
      <c r="AZ323">
        <v>0</v>
      </c>
      <c r="BA323">
        <v>1</v>
      </c>
      <c r="BB323">
        <v>0</v>
      </c>
      <c r="BC323">
        <v>0</v>
      </c>
      <c r="BD323">
        <v>0</v>
      </c>
      <c r="BE323">
        <v>0</v>
      </c>
      <c r="BF323" s="18">
        <v>0</v>
      </c>
      <c r="BG323">
        <v>0</v>
      </c>
      <c r="BH323">
        <v>1</v>
      </c>
      <c r="BI323" s="18">
        <v>0</v>
      </c>
      <c r="BJ323">
        <v>489</v>
      </c>
      <c r="BK323">
        <v>12</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0"/>
        <v>0.77821011673151752</v>
      </c>
      <c r="F324" s="7">
        <v>2.57</v>
      </c>
      <c r="G324" s="7">
        <f t="shared" si="76"/>
        <v>1.2217898832684826</v>
      </c>
      <c r="H324" s="16">
        <f t="shared" si="77"/>
        <v>2.7782101167315174</v>
      </c>
      <c r="I324" s="11">
        <f t="shared" si="66"/>
        <v>6.6565906564949873E-2</v>
      </c>
      <c r="J324" s="33">
        <f t="shared" si="67"/>
        <v>2.5901130959124465E-2</v>
      </c>
      <c r="K324" s="33">
        <f t="shared" si="68"/>
        <v>38.608352723212633</v>
      </c>
      <c r="L324" s="8">
        <v>0</v>
      </c>
      <c r="M324" s="9">
        <v>1</v>
      </c>
      <c r="N324" s="8">
        <v>0</v>
      </c>
      <c r="O324" s="9">
        <v>0</v>
      </c>
      <c r="P324" s="9">
        <v>1</v>
      </c>
      <c r="Q324" s="9">
        <v>0</v>
      </c>
      <c r="R324" s="9">
        <v>0</v>
      </c>
      <c r="S324" s="8">
        <v>1496</v>
      </c>
      <c r="T324" s="9">
        <v>11</v>
      </c>
      <c r="U324" s="9">
        <f t="shared" si="78"/>
        <v>1484</v>
      </c>
      <c r="V324" s="9">
        <f t="shared" si="79"/>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1"/>
        <v>0.21501220000000001</v>
      </c>
      <c r="AL324" s="33">
        <f t="shared" si="81"/>
        <v>0.34625300000000003</v>
      </c>
      <c r="AM324" s="33">
        <f t="shared" si="81"/>
        <v>0.30737340000000002</v>
      </c>
      <c r="AN324" s="43">
        <f t="shared" si="81"/>
        <v>0.13136140000000002</v>
      </c>
      <c r="AO324" s="42">
        <v>1</v>
      </c>
      <c r="AP324" s="18">
        <v>0</v>
      </c>
      <c r="AQ324" s="39">
        <f>1-AR324</f>
        <v>0.54679999999999995</v>
      </c>
      <c r="AR324" s="40">
        <v>0.45319999999999999</v>
      </c>
      <c r="AS324">
        <v>8.5300000000000001E-2</v>
      </c>
      <c r="AT324" s="40">
        <f t="shared" si="82"/>
        <v>0.91469999999999996</v>
      </c>
      <c r="AU324">
        <v>0</v>
      </c>
      <c r="AV324" s="18">
        <v>1</v>
      </c>
      <c r="AW324">
        <v>0</v>
      </c>
      <c r="AX324" s="18">
        <v>1</v>
      </c>
      <c r="AY324" s="18" t="s">
        <v>5</v>
      </c>
      <c r="AZ324">
        <v>0</v>
      </c>
      <c r="BA324">
        <v>1</v>
      </c>
      <c r="BB324">
        <v>0</v>
      </c>
      <c r="BC324">
        <v>0</v>
      </c>
      <c r="BD324">
        <v>0</v>
      </c>
      <c r="BE324">
        <v>0</v>
      </c>
      <c r="BF324" s="18">
        <v>0</v>
      </c>
      <c r="BG324">
        <v>0</v>
      </c>
      <c r="BH324">
        <v>1</v>
      </c>
      <c r="BI324" s="18">
        <v>0</v>
      </c>
      <c r="BJ324">
        <v>501</v>
      </c>
      <c r="BK324">
        <v>30</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0"/>
        <v>0.65015479876160998</v>
      </c>
      <c r="F325" s="7">
        <v>6.46</v>
      </c>
      <c r="G325" s="7">
        <f t="shared" si="76"/>
        <v>3.5498452012383903</v>
      </c>
      <c r="H325" s="16">
        <f t="shared" si="77"/>
        <v>4.8501547987616105</v>
      </c>
      <c r="I325" s="11">
        <f t="shared" si="66"/>
        <v>0.1858862658176324</v>
      </c>
      <c r="J325" s="33">
        <f t="shared" si="67"/>
        <v>2.8774963748859506E-2</v>
      </c>
      <c r="K325" s="33">
        <f t="shared" si="68"/>
        <v>34.752433008352092</v>
      </c>
      <c r="L325" s="8">
        <v>0</v>
      </c>
      <c r="M325" s="9">
        <v>1</v>
      </c>
      <c r="N325" s="8">
        <v>0</v>
      </c>
      <c r="O325" s="9">
        <v>0</v>
      </c>
      <c r="P325" s="9">
        <v>1</v>
      </c>
      <c r="Q325" s="9">
        <v>0</v>
      </c>
      <c r="R325" s="9">
        <v>0</v>
      </c>
      <c r="S325" s="8">
        <v>1178</v>
      </c>
      <c r="T325" s="9">
        <v>11</v>
      </c>
      <c r="U325" s="9">
        <f t="shared" si="78"/>
        <v>1166</v>
      </c>
      <c r="V325" s="9">
        <f t="shared" si="79"/>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1"/>
        <v>8.9482000000000006E-2</v>
      </c>
      <c r="AL325" s="33">
        <f t="shared" si="81"/>
        <v>0.30738960000000004</v>
      </c>
      <c r="AM325" s="33">
        <f t="shared" si="81"/>
        <v>0.40731719999999999</v>
      </c>
      <c r="AN325" s="43">
        <f t="shared" si="81"/>
        <v>0.19581120000000007</v>
      </c>
      <c r="AO325" s="42">
        <v>1</v>
      </c>
      <c r="AP325" s="18">
        <v>0</v>
      </c>
      <c r="AQ325" s="39">
        <f>1-AR325</f>
        <v>0.56369999999999998</v>
      </c>
      <c r="AR325" s="40">
        <v>0.43630000000000002</v>
      </c>
      <c r="AS325">
        <v>8.5300000000000001E-2</v>
      </c>
      <c r="AT325" s="40">
        <f t="shared" si="82"/>
        <v>0.91469999999999996</v>
      </c>
      <c r="AU325">
        <v>0</v>
      </c>
      <c r="AV325" s="18">
        <v>1</v>
      </c>
      <c r="AW325">
        <v>0</v>
      </c>
      <c r="AX325" s="18">
        <v>1</v>
      </c>
      <c r="AY325" s="18" t="s">
        <v>5</v>
      </c>
      <c r="AZ325">
        <v>0</v>
      </c>
      <c r="BA325">
        <v>1</v>
      </c>
      <c r="BB325">
        <v>0</v>
      </c>
      <c r="BC325">
        <v>0</v>
      </c>
      <c r="BD325">
        <v>0</v>
      </c>
      <c r="BE325">
        <v>0</v>
      </c>
      <c r="BF325" s="18">
        <v>0</v>
      </c>
      <c r="BG325">
        <v>0</v>
      </c>
      <c r="BH325">
        <v>1</v>
      </c>
      <c r="BI325" s="18">
        <v>0</v>
      </c>
      <c r="BJ325">
        <v>644</v>
      </c>
      <c r="BK325">
        <v>57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0"/>
        <v>0.71991001124859388</v>
      </c>
      <c r="F326" s="7">
        <v>8.89</v>
      </c>
      <c r="G326" s="7">
        <f t="shared" si="76"/>
        <v>5.6800899887514067</v>
      </c>
      <c r="H326" s="16">
        <f t="shared" si="77"/>
        <v>7.119910011248594</v>
      </c>
      <c r="I326" s="11">
        <f t="shared" si="66"/>
        <v>0.26457488505143828</v>
      </c>
      <c r="J326" s="33">
        <f t="shared" si="67"/>
        <v>2.9760954448980682E-2</v>
      </c>
      <c r="K326" s="33">
        <f t="shared" si="68"/>
        <v>33.601072899537002</v>
      </c>
      <c r="L326" s="8">
        <v>0</v>
      </c>
      <c r="M326" s="9">
        <v>1</v>
      </c>
      <c r="N326" s="8">
        <v>0</v>
      </c>
      <c r="O326" s="9">
        <v>0</v>
      </c>
      <c r="P326" s="9">
        <v>1</v>
      </c>
      <c r="Q326" s="9">
        <v>0</v>
      </c>
      <c r="R326" s="9">
        <v>0</v>
      </c>
      <c r="S326" s="8">
        <v>1063</v>
      </c>
      <c r="T326" s="9">
        <v>12</v>
      </c>
      <c r="U326" s="9">
        <f t="shared" si="78"/>
        <v>1050</v>
      </c>
      <c r="V326" s="9">
        <f t="shared" si="79"/>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1"/>
        <v>8.9482000000000006E-2</v>
      </c>
      <c r="AL326" s="33">
        <f t="shared" si="81"/>
        <v>0.30738960000000004</v>
      </c>
      <c r="AM326" s="33">
        <f t="shared" si="81"/>
        <v>0.40731719999999999</v>
      </c>
      <c r="AN326" s="43">
        <f t="shared" si="81"/>
        <v>0.19581120000000007</v>
      </c>
      <c r="AO326" s="42">
        <v>1</v>
      </c>
      <c r="AP326" s="18">
        <v>0</v>
      </c>
      <c r="AQ326" s="39">
        <f>1-AR326</f>
        <v>0.57479999999999998</v>
      </c>
      <c r="AR326" s="40">
        <v>0.42520000000000002</v>
      </c>
      <c r="AS326">
        <v>8.5300000000000001E-2</v>
      </c>
      <c r="AT326" s="40">
        <f t="shared" si="82"/>
        <v>0.91469999999999996</v>
      </c>
      <c r="AU326">
        <v>0</v>
      </c>
      <c r="AV326" s="18">
        <v>1</v>
      </c>
      <c r="AW326">
        <v>0</v>
      </c>
      <c r="AX326" s="18">
        <v>1</v>
      </c>
      <c r="AY326" s="18" t="s">
        <v>5</v>
      </c>
      <c r="AZ326">
        <v>0</v>
      </c>
      <c r="BA326">
        <v>1</v>
      </c>
      <c r="BB326">
        <v>0</v>
      </c>
      <c r="BC326">
        <v>0</v>
      </c>
      <c r="BD326">
        <v>0</v>
      </c>
      <c r="BE326">
        <v>0</v>
      </c>
      <c r="BF326" s="18">
        <v>0</v>
      </c>
      <c r="BG326">
        <v>0</v>
      </c>
      <c r="BH326">
        <v>1</v>
      </c>
      <c r="BI326" s="18">
        <v>0</v>
      </c>
      <c r="BJ326">
        <v>818</v>
      </c>
      <c r="BK326">
        <v>95</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0"/>
        <v>1.2987012987012987</v>
      </c>
      <c r="F327" s="7">
        <v>2.31</v>
      </c>
      <c r="G327" s="7">
        <f t="shared" si="76"/>
        <v>1.7012987012987013</v>
      </c>
      <c r="H327" s="16">
        <f t="shared" si="77"/>
        <v>4.2987012987012987</v>
      </c>
      <c r="I327" s="11">
        <f t="shared" si="66"/>
        <v>8.1198409743599181E-2</v>
      </c>
      <c r="J327" s="33">
        <f t="shared" si="67"/>
        <v>3.5150826728830811E-2</v>
      </c>
      <c r="K327" s="33">
        <f t="shared" si="68"/>
        <v>28.44883301648769</v>
      </c>
      <c r="L327" s="8">
        <v>0</v>
      </c>
      <c r="M327" s="9">
        <v>1</v>
      </c>
      <c r="N327" s="8">
        <v>0</v>
      </c>
      <c r="O327" s="9">
        <v>0</v>
      </c>
      <c r="P327" s="9">
        <v>1</v>
      </c>
      <c r="Q327" s="9">
        <v>0</v>
      </c>
      <c r="R327" s="9">
        <v>0</v>
      </c>
      <c r="S327" s="8">
        <v>810</v>
      </c>
      <c r="T327" s="9">
        <v>5</v>
      </c>
      <c r="U327" s="9">
        <f t="shared" si="78"/>
        <v>804</v>
      </c>
      <c r="V327" s="9">
        <f t="shared" si="79"/>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3">1-SUM(AK327:AM327)</f>
        <v>9.9999999999999978E-2</v>
      </c>
      <c r="AO327" s="42">
        <v>1</v>
      </c>
      <c r="AP327" s="18">
        <v>0</v>
      </c>
      <c r="AQ327">
        <v>0</v>
      </c>
      <c r="AR327" s="40">
        <v>1</v>
      </c>
      <c r="AS327">
        <v>8.5300000000000001E-2</v>
      </c>
      <c r="AT327" s="40">
        <f t="shared" si="82"/>
        <v>0.91469999999999996</v>
      </c>
      <c r="AU327">
        <v>0</v>
      </c>
      <c r="AV327" s="18">
        <v>1</v>
      </c>
      <c r="AW327">
        <v>0</v>
      </c>
      <c r="AX327" s="18">
        <v>1</v>
      </c>
      <c r="AY327" s="18" t="s">
        <v>5</v>
      </c>
      <c r="AZ327">
        <v>0</v>
      </c>
      <c r="BA327">
        <v>1</v>
      </c>
      <c r="BB327">
        <v>0</v>
      </c>
      <c r="BC327">
        <v>0</v>
      </c>
      <c r="BD327">
        <v>0</v>
      </c>
      <c r="BE327">
        <v>0</v>
      </c>
      <c r="BF327" s="18">
        <v>0</v>
      </c>
      <c r="BG327">
        <v>0</v>
      </c>
      <c r="BH327">
        <v>1</v>
      </c>
      <c r="BI327" s="18">
        <v>0</v>
      </c>
      <c r="BJ327">
        <v>489</v>
      </c>
      <c r="BK327">
        <v>12</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0"/>
        <v>3.2558139534883721</v>
      </c>
      <c r="F328" s="7">
        <v>0.86</v>
      </c>
      <c r="G328" s="7">
        <f t="shared" si="76"/>
        <v>-0.45581395348837228</v>
      </c>
      <c r="H328" s="16">
        <f t="shared" si="77"/>
        <v>6.0558139534883715</v>
      </c>
      <c r="I328" s="11">
        <f t="shared" ref="I328:I391" si="84">IFERROR(F328/SQRT(F328^2+U328), "X")</f>
        <v>2.3486928885310506E-2</v>
      </c>
      <c r="J328" s="33">
        <f t="shared" ref="J328:J391" si="85">IFERROR(SQRT((1-I328^2)/U328), "X")</f>
        <v>2.7310382424779657E-2</v>
      </c>
      <c r="K328" s="33">
        <f t="shared" ref="K328:K391" si="86">IFERROR(1/J328, "X")</f>
        <v>36.616111208046114</v>
      </c>
      <c r="L328" s="8">
        <v>0</v>
      </c>
      <c r="M328" s="9">
        <v>1</v>
      </c>
      <c r="N328" s="8">
        <v>0</v>
      </c>
      <c r="O328" s="9">
        <v>0</v>
      </c>
      <c r="P328" s="9">
        <v>1</v>
      </c>
      <c r="Q328" s="9">
        <v>0</v>
      </c>
      <c r="R328" s="9">
        <v>0</v>
      </c>
      <c r="S328" s="8">
        <v>1351</v>
      </c>
      <c r="T328" s="9">
        <v>10</v>
      </c>
      <c r="U328" s="9">
        <f t="shared" si="78"/>
        <v>1340</v>
      </c>
      <c r="V328" s="9">
        <f t="shared" si="79"/>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3"/>
        <v>9.9999999999999978E-2</v>
      </c>
      <c r="AO328" s="42">
        <v>1</v>
      </c>
      <c r="AP328" s="18">
        <v>0</v>
      </c>
      <c r="AQ328">
        <v>0</v>
      </c>
      <c r="AR328" s="40">
        <v>1</v>
      </c>
      <c r="AS328">
        <v>8.5300000000000001E-2</v>
      </c>
      <c r="AT328" s="40">
        <f t="shared" si="82"/>
        <v>0.91469999999999996</v>
      </c>
      <c r="AU328">
        <v>0</v>
      </c>
      <c r="AV328" s="18">
        <v>1</v>
      </c>
      <c r="AW328">
        <v>0</v>
      </c>
      <c r="AX328" s="18">
        <v>1</v>
      </c>
      <c r="AY328" s="18" t="s">
        <v>5</v>
      </c>
      <c r="AZ328">
        <v>0</v>
      </c>
      <c r="BA328">
        <v>1</v>
      </c>
      <c r="BB328">
        <v>0</v>
      </c>
      <c r="BC328">
        <v>0</v>
      </c>
      <c r="BD328">
        <v>0</v>
      </c>
      <c r="BE328">
        <v>0</v>
      </c>
      <c r="BF328" s="18">
        <v>0</v>
      </c>
      <c r="BG328">
        <v>0</v>
      </c>
      <c r="BH328">
        <v>1</v>
      </c>
      <c r="BI328" s="18">
        <v>0</v>
      </c>
      <c r="BJ328">
        <v>501</v>
      </c>
      <c r="BK328">
        <v>30</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0"/>
        <v>0.89552238805970164</v>
      </c>
      <c r="F329" s="7">
        <v>2.0099999999999998</v>
      </c>
      <c r="G329" s="7">
        <f t="shared" si="76"/>
        <v>0.90447761194029841</v>
      </c>
      <c r="H329" s="16">
        <f t="shared" si="77"/>
        <v>2.6955223880597017</v>
      </c>
      <c r="I329" s="11">
        <f t="shared" si="84"/>
        <v>7.9079937896204405E-2</v>
      </c>
      <c r="J329" s="33">
        <f t="shared" si="85"/>
        <v>3.9343252684678816E-2</v>
      </c>
      <c r="K329" s="33">
        <f t="shared" si="86"/>
        <v>25.417318898735168</v>
      </c>
      <c r="L329" s="8">
        <v>0</v>
      </c>
      <c r="M329" s="9">
        <v>1</v>
      </c>
      <c r="N329" s="8">
        <v>0</v>
      </c>
      <c r="O329" s="9">
        <v>0</v>
      </c>
      <c r="P329" s="9">
        <v>1</v>
      </c>
      <c r="Q329" s="9">
        <v>0</v>
      </c>
      <c r="R329" s="9">
        <v>0</v>
      </c>
      <c r="S329" s="8">
        <v>648</v>
      </c>
      <c r="T329" s="9">
        <v>5</v>
      </c>
      <c r="U329" s="9">
        <f t="shared" si="78"/>
        <v>642</v>
      </c>
      <c r="V329" s="9">
        <f t="shared" si="79"/>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3"/>
        <v>0.16500000000000004</v>
      </c>
      <c r="AO329" s="42">
        <v>1</v>
      </c>
      <c r="AP329" s="18">
        <v>0</v>
      </c>
      <c r="AQ329">
        <v>0</v>
      </c>
      <c r="AR329" s="40">
        <v>1</v>
      </c>
      <c r="AS329">
        <v>8.5300000000000001E-2</v>
      </c>
      <c r="AT329" s="40">
        <f t="shared" si="82"/>
        <v>0.91469999999999996</v>
      </c>
      <c r="AU329">
        <v>0</v>
      </c>
      <c r="AV329" s="18">
        <v>1</v>
      </c>
      <c r="AW329">
        <v>0</v>
      </c>
      <c r="AX329" s="18">
        <v>1</v>
      </c>
      <c r="AY329" s="18" t="s">
        <v>5</v>
      </c>
      <c r="AZ329">
        <v>0</v>
      </c>
      <c r="BA329">
        <v>1</v>
      </c>
      <c r="BB329">
        <v>0</v>
      </c>
      <c r="BC329">
        <v>0</v>
      </c>
      <c r="BD329">
        <v>0</v>
      </c>
      <c r="BE329">
        <v>0</v>
      </c>
      <c r="BF329" s="18">
        <v>0</v>
      </c>
      <c r="BG329">
        <v>0</v>
      </c>
      <c r="BH329">
        <v>1</v>
      </c>
      <c r="BI329" s="18">
        <v>0</v>
      </c>
      <c r="BJ329">
        <v>644</v>
      </c>
      <c r="BK329">
        <v>57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0"/>
        <v>2.9999999999999996</v>
      </c>
      <c r="F330" s="7">
        <v>-0.1</v>
      </c>
      <c r="G330" s="7">
        <f t="shared" si="76"/>
        <v>-3.2999999999999994</v>
      </c>
      <c r="H330" s="16">
        <f t="shared" si="77"/>
        <v>2.6999999999999997</v>
      </c>
      <c r="I330" s="11">
        <f t="shared" si="84"/>
        <v>-3.2124462549688771E-3</v>
      </c>
      <c r="J330" s="33">
        <f t="shared" si="85"/>
        <v>3.2124462549688766E-2</v>
      </c>
      <c r="K330" s="33">
        <f t="shared" si="86"/>
        <v>31.128925455273908</v>
      </c>
      <c r="L330" s="8">
        <v>0</v>
      </c>
      <c r="M330" s="9">
        <v>1</v>
      </c>
      <c r="N330" s="8">
        <v>0</v>
      </c>
      <c r="O330" s="9">
        <v>0</v>
      </c>
      <c r="P330" s="9">
        <v>1</v>
      </c>
      <c r="Q330" s="9">
        <v>0</v>
      </c>
      <c r="R330" s="9">
        <v>0</v>
      </c>
      <c r="S330" s="8">
        <v>980</v>
      </c>
      <c r="T330" s="9">
        <v>10</v>
      </c>
      <c r="U330" s="9">
        <f t="shared" si="78"/>
        <v>969</v>
      </c>
      <c r="V330" s="9">
        <f t="shared" si="79"/>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3"/>
        <v>0.16500000000000004</v>
      </c>
      <c r="AO330" s="42">
        <v>1</v>
      </c>
      <c r="AP330" s="18">
        <v>0</v>
      </c>
      <c r="AQ330">
        <v>0</v>
      </c>
      <c r="AR330" s="40">
        <v>1</v>
      </c>
      <c r="AS330">
        <v>8.5300000000000001E-2</v>
      </c>
      <c r="AT330" s="40">
        <f t="shared" si="82"/>
        <v>0.91469999999999996</v>
      </c>
      <c r="AU330">
        <v>0</v>
      </c>
      <c r="AV330" s="18">
        <v>1</v>
      </c>
      <c r="AW330">
        <v>0</v>
      </c>
      <c r="AX330" s="18">
        <v>1</v>
      </c>
      <c r="AY330" s="18" t="s">
        <v>5</v>
      </c>
      <c r="AZ330">
        <v>0</v>
      </c>
      <c r="BA330">
        <v>1</v>
      </c>
      <c r="BB330">
        <v>0</v>
      </c>
      <c r="BC330">
        <v>0</v>
      </c>
      <c r="BD330">
        <v>0</v>
      </c>
      <c r="BE330">
        <v>0</v>
      </c>
      <c r="BF330" s="18">
        <v>0</v>
      </c>
      <c r="BG330">
        <v>0</v>
      </c>
      <c r="BH330">
        <v>1</v>
      </c>
      <c r="BI330" s="18">
        <v>0</v>
      </c>
      <c r="BJ330">
        <v>818</v>
      </c>
      <c r="BK330">
        <v>95</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0"/>
        <v>1.0772833723653397</v>
      </c>
      <c r="F331" s="7">
        <v>4.2699999999999996</v>
      </c>
      <c r="G331" s="7">
        <f t="shared" si="76"/>
        <v>3.5227166276346598</v>
      </c>
      <c r="H331" s="16">
        <f t="shared" si="77"/>
        <v>5.6772833723653395</v>
      </c>
      <c r="I331" s="11">
        <f t="shared" si="84"/>
        <v>0.18613964303252781</v>
      </c>
      <c r="J331" s="33">
        <f t="shared" si="85"/>
        <v>4.3592422255861317E-2</v>
      </c>
      <c r="K331" s="33">
        <f t="shared" si="86"/>
        <v>22.939766781726444</v>
      </c>
      <c r="L331" s="8">
        <v>0</v>
      </c>
      <c r="M331" s="9">
        <v>1</v>
      </c>
      <c r="N331" s="8">
        <v>0</v>
      </c>
      <c r="O331" s="9">
        <v>0</v>
      </c>
      <c r="P331" s="9">
        <v>1</v>
      </c>
      <c r="Q331" s="9">
        <v>0</v>
      </c>
      <c r="R331" s="9">
        <v>0</v>
      </c>
      <c r="S331" s="8">
        <v>514</v>
      </c>
      <c r="T331" s="9">
        <v>5</v>
      </c>
      <c r="U331" s="9">
        <f t="shared" si="78"/>
        <v>508</v>
      </c>
      <c r="V331" s="9">
        <f t="shared" si="79"/>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3"/>
        <v>9.9999999999999978E-2</v>
      </c>
      <c r="AO331" s="42">
        <v>1</v>
      </c>
      <c r="AP331" s="18">
        <v>0</v>
      </c>
      <c r="AQ331">
        <v>0</v>
      </c>
      <c r="AR331" s="40">
        <v>1</v>
      </c>
      <c r="AS331">
        <v>8.5300000000000001E-2</v>
      </c>
      <c r="AT331" s="40">
        <f t="shared" si="82"/>
        <v>0.91469999999999996</v>
      </c>
      <c r="AU331">
        <v>0</v>
      </c>
      <c r="AV331" s="18">
        <v>1</v>
      </c>
      <c r="AW331">
        <v>0</v>
      </c>
      <c r="AX331" s="18">
        <v>1</v>
      </c>
      <c r="AY331" s="18" t="s">
        <v>5</v>
      </c>
      <c r="AZ331">
        <v>0</v>
      </c>
      <c r="BA331">
        <v>1</v>
      </c>
      <c r="BB331">
        <v>0</v>
      </c>
      <c r="BC331">
        <v>0</v>
      </c>
      <c r="BD331">
        <v>0</v>
      </c>
      <c r="BE331">
        <v>0</v>
      </c>
      <c r="BF331" s="18">
        <v>0</v>
      </c>
      <c r="BG331">
        <v>0</v>
      </c>
      <c r="BH331">
        <v>1</v>
      </c>
      <c r="BI331" s="18">
        <v>0</v>
      </c>
      <c r="BJ331">
        <v>489</v>
      </c>
      <c r="BK331">
        <v>12</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0"/>
        <v>1.7647058823529411</v>
      </c>
      <c r="F332" s="7">
        <v>2.21</v>
      </c>
      <c r="G332" s="7">
        <f t="shared" si="76"/>
        <v>2.1352941176470588</v>
      </c>
      <c r="H332" s="16">
        <f t="shared" si="77"/>
        <v>5.6647058823529406</v>
      </c>
      <c r="I332" s="11">
        <f t="shared" si="84"/>
        <v>7.2434333358581224E-2</v>
      </c>
      <c r="J332" s="33">
        <f t="shared" si="85"/>
        <v>3.2775716451846716E-2</v>
      </c>
      <c r="K332" s="33">
        <f t="shared" si="86"/>
        <v>30.510393311132514</v>
      </c>
      <c r="L332" s="8">
        <v>0</v>
      </c>
      <c r="M332" s="9">
        <v>1</v>
      </c>
      <c r="N332" s="8">
        <v>0</v>
      </c>
      <c r="O332" s="9">
        <v>0</v>
      </c>
      <c r="P332" s="9">
        <v>1</v>
      </c>
      <c r="Q332" s="9">
        <v>0</v>
      </c>
      <c r="R332" s="9">
        <v>0</v>
      </c>
      <c r="S332" s="8">
        <v>937</v>
      </c>
      <c r="T332" s="9">
        <v>10</v>
      </c>
      <c r="U332" s="9">
        <f t="shared" si="78"/>
        <v>926</v>
      </c>
      <c r="V332" s="9">
        <f t="shared" si="79"/>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3"/>
        <v>9.9999999999999978E-2</v>
      </c>
      <c r="AO332" s="42">
        <v>1</v>
      </c>
      <c r="AP332" s="18">
        <v>0</v>
      </c>
      <c r="AQ332">
        <v>0</v>
      </c>
      <c r="AR332" s="40">
        <v>1</v>
      </c>
      <c r="AS332">
        <v>8.5300000000000001E-2</v>
      </c>
      <c r="AT332" s="40">
        <f t="shared" si="82"/>
        <v>0.91469999999999996</v>
      </c>
      <c r="AU332">
        <v>0</v>
      </c>
      <c r="AV332" s="18">
        <v>1</v>
      </c>
      <c r="AW332">
        <v>0</v>
      </c>
      <c r="AX332" s="18">
        <v>1</v>
      </c>
      <c r="AY332" s="18" t="s">
        <v>5</v>
      </c>
      <c r="AZ332">
        <v>0</v>
      </c>
      <c r="BA332">
        <v>1</v>
      </c>
      <c r="BB332">
        <v>0</v>
      </c>
      <c r="BC332">
        <v>0</v>
      </c>
      <c r="BD332">
        <v>0</v>
      </c>
      <c r="BE332">
        <v>0</v>
      </c>
      <c r="BF332" s="18">
        <v>0</v>
      </c>
      <c r="BG332">
        <v>0</v>
      </c>
      <c r="BH332">
        <v>1</v>
      </c>
      <c r="BI332" s="18">
        <v>0</v>
      </c>
      <c r="BJ332">
        <v>501</v>
      </c>
      <c r="BK332">
        <v>30</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0"/>
        <v>1.2718204488778055</v>
      </c>
      <c r="F333" s="7">
        <v>4.01</v>
      </c>
      <c r="G333" s="7">
        <f t="shared" si="76"/>
        <v>3.8281795511221941</v>
      </c>
      <c r="H333" s="16">
        <f t="shared" si="77"/>
        <v>6.3718204488778056</v>
      </c>
      <c r="I333" s="11">
        <f t="shared" si="84"/>
        <v>0.1865459135354694</v>
      </c>
      <c r="J333" s="33">
        <f t="shared" si="85"/>
        <v>4.6520177939019809E-2</v>
      </c>
      <c r="K333" s="33">
        <f t="shared" si="86"/>
        <v>21.496048474080069</v>
      </c>
      <c r="L333" s="8">
        <v>0</v>
      </c>
      <c r="M333" s="9">
        <v>1</v>
      </c>
      <c r="N333" s="8">
        <v>0</v>
      </c>
      <c r="O333" s="9">
        <v>0</v>
      </c>
      <c r="P333" s="9">
        <v>1</v>
      </c>
      <c r="Q333" s="9">
        <v>0</v>
      </c>
      <c r="R333" s="9">
        <v>0</v>
      </c>
      <c r="S333" s="8">
        <v>452</v>
      </c>
      <c r="T333" s="9">
        <v>5</v>
      </c>
      <c r="U333" s="9">
        <f t="shared" si="78"/>
        <v>446</v>
      </c>
      <c r="V333" s="9">
        <f t="shared" si="79"/>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3"/>
        <v>0.16500000000000004</v>
      </c>
      <c r="AO333" s="42">
        <v>1</v>
      </c>
      <c r="AP333" s="18">
        <v>0</v>
      </c>
      <c r="AQ333">
        <v>0</v>
      </c>
      <c r="AR333" s="40">
        <v>1</v>
      </c>
      <c r="AS333">
        <v>8.5300000000000001E-2</v>
      </c>
      <c r="AT333" s="40">
        <f t="shared" si="82"/>
        <v>0.91469999999999996</v>
      </c>
      <c r="AU333">
        <v>0</v>
      </c>
      <c r="AV333" s="18">
        <v>1</v>
      </c>
      <c r="AW333">
        <v>0</v>
      </c>
      <c r="AX333" s="18">
        <v>1</v>
      </c>
      <c r="AY333" s="18" t="s">
        <v>5</v>
      </c>
      <c r="AZ333">
        <v>0</v>
      </c>
      <c r="BA333">
        <v>1</v>
      </c>
      <c r="BB333">
        <v>0</v>
      </c>
      <c r="BC333">
        <v>0</v>
      </c>
      <c r="BD333">
        <v>0</v>
      </c>
      <c r="BE333">
        <v>0</v>
      </c>
      <c r="BF333" s="18">
        <v>0</v>
      </c>
      <c r="BG333">
        <v>0</v>
      </c>
      <c r="BH333">
        <v>1</v>
      </c>
      <c r="BI333" s="18">
        <v>0</v>
      </c>
      <c r="BJ333">
        <v>644</v>
      </c>
      <c r="BK333">
        <v>57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0"/>
        <v>2.4336283185840708</v>
      </c>
      <c r="F334" s="7">
        <v>2.2599999999999998</v>
      </c>
      <c r="G334" s="7">
        <f t="shared" si="76"/>
        <v>3.0663716814159292</v>
      </c>
      <c r="H334" s="16">
        <f t="shared" si="77"/>
        <v>7.9336283185840708</v>
      </c>
      <c r="I334" s="11">
        <f t="shared" si="84"/>
        <v>8.1704726615308823E-2</v>
      </c>
      <c r="J334" s="33">
        <f t="shared" si="85"/>
        <v>3.6152533900579126E-2</v>
      </c>
      <c r="K334" s="33">
        <f t="shared" si="86"/>
        <v>27.66057844659074</v>
      </c>
      <c r="L334" s="8">
        <v>0</v>
      </c>
      <c r="M334" s="9">
        <v>1</v>
      </c>
      <c r="N334" s="8">
        <v>0</v>
      </c>
      <c r="O334" s="9">
        <v>0</v>
      </c>
      <c r="P334" s="9">
        <v>1</v>
      </c>
      <c r="Q334" s="9">
        <v>0</v>
      </c>
      <c r="R334" s="9">
        <v>0</v>
      </c>
      <c r="S334" s="8">
        <v>771</v>
      </c>
      <c r="T334" s="9">
        <v>10</v>
      </c>
      <c r="U334" s="9">
        <f t="shared" si="78"/>
        <v>760</v>
      </c>
      <c r="V334" s="9">
        <f t="shared" si="79"/>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3"/>
        <v>0.16500000000000004</v>
      </c>
      <c r="AO334" s="42">
        <v>1</v>
      </c>
      <c r="AP334" s="18">
        <v>0</v>
      </c>
      <c r="AQ334">
        <v>0</v>
      </c>
      <c r="AR334" s="40">
        <v>1</v>
      </c>
      <c r="AS334">
        <v>8.5300000000000001E-2</v>
      </c>
      <c r="AT334" s="40">
        <f t="shared" si="82"/>
        <v>0.91469999999999996</v>
      </c>
      <c r="AU334">
        <v>0</v>
      </c>
      <c r="AV334" s="18">
        <v>1</v>
      </c>
      <c r="AW334">
        <v>0</v>
      </c>
      <c r="AX334" s="18">
        <v>1</v>
      </c>
      <c r="AY334" s="18" t="s">
        <v>5</v>
      </c>
      <c r="AZ334">
        <v>0</v>
      </c>
      <c r="BA334">
        <v>1</v>
      </c>
      <c r="BB334">
        <v>0</v>
      </c>
      <c r="BC334">
        <v>0</v>
      </c>
      <c r="BD334">
        <v>0</v>
      </c>
      <c r="BE334">
        <v>0</v>
      </c>
      <c r="BF334" s="18">
        <v>0</v>
      </c>
      <c r="BG334">
        <v>0</v>
      </c>
      <c r="BH334">
        <v>1</v>
      </c>
      <c r="BI334" s="18">
        <v>0</v>
      </c>
      <c r="BJ334">
        <v>818</v>
      </c>
      <c r="BK334">
        <v>95</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0"/>
        <v>1.1162790697674418</v>
      </c>
      <c r="F335" s="7">
        <v>2.15</v>
      </c>
      <c r="G335" s="7">
        <f t="shared" si="76"/>
        <v>1.2837209302325581</v>
      </c>
      <c r="H335" s="16">
        <f t="shared" si="77"/>
        <v>3.5162790697674415</v>
      </c>
      <c r="I335" s="11">
        <f t="shared" si="84"/>
        <v>6.7397705177461117E-2</v>
      </c>
      <c r="J335" s="33">
        <f t="shared" si="85"/>
        <v>3.1347769849981923E-2</v>
      </c>
      <c r="K335" s="33">
        <f t="shared" si="86"/>
        <v>31.900195924163221</v>
      </c>
      <c r="L335" s="8">
        <v>0</v>
      </c>
      <c r="M335" s="9">
        <v>1</v>
      </c>
      <c r="N335" s="8">
        <v>0</v>
      </c>
      <c r="O335" s="9">
        <v>0</v>
      </c>
      <c r="P335" s="9">
        <v>1</v>
      </c>
      <c r="Q335" s="9">
        <v>0</v>
      </c>
      <c r="R335" s="9">
        <v>0</v>
      </c>
      <c r="S335" s="8">
        <v>1019</v>
      </c>
      <c r="T335" s="9">
        <v>5</v>
      </c>
      <c r="U335" s="9">
        <f t="shared" si="78"/>
        <v>1013</v>
      </c>
      <c r="V335" s="9">
        <f t="shared" si="79"/>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3"/>
        <v>0.15700000000000003</v>
      </c>
      <c r="AO335" s="42">
        <v>1</v>
      </c>
      <c r="AP335" s="18">
        <v>0</v>
      </c>
      <c r="AQ335">
        <v>1</v>
      </c>
      <c r="AR335" s="40">
        <v>0</v>
      </c>
      <c r="AS335">
        <v>8.5300000000000001E-2</v>
      </c>
      <c r="AT335" s="40">
        <f t="shared" si="82"/>
        <v>0.91469999999999996</v>
      </c>
      <c r="AU335">
        <v>0</v>
      </c>
      <c r="AV335" s="18">
        <v>1</v>
      </c>
      <c r="AW335">
        <v>0</v>
      </c>
      <c r="AX335" s="18">
        <v>1</v>
      </c>
      <c r="AY335" s="18" t="s">
        <v>5</v>
      </c>
      <c r="AZ335">
        <v>0</v>
      </c>
      <c r="BA335">
        <v>1</v>
      </c>
      <c r="BB335">
        <v>0</v>
      </c>
      <c r="BC335">
        <v>0</v>
      </c>
      <c r="BD335">
        <v>0</v>
      </c>
      <c r="BE335">
        <v>0</v>
      </c>
      <c r="BF335" s="18">
        <v>0</v>
      </c>
      <c r="BG335">
        <v>0</v>
      </c>
      <c r="BH335">
        <v>1</v>
      </c>
      <c r="BI335" s="18">
        <v>0</v>
      </c>
      <c r="BJ335">
        <v>489</v>
      </c>
      <c r="BK335">
        <v>12</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0"/>
        <v>1.8181818181818183</v>
      </c>
      <c r="F336" s="7">
        <v>-0.88</v>
      </c>
      <c r="G336" s="7">
        <f t="shared" si="76"/>
        <v>-3.4181818181818184</v>
      </c>
      <c r="H336" s="16">
        <f t="shared" si="77"/>
        <v>0.21818181818181825</v>
      </c>
      <c r="I336" s="11">
        <f t="shared" si="84"/>
        <v>-2.3846798901517526E-2</v>
      </c>
      <c r="J336" s="33">
        <f t="shared" si="85"/>
        <v>2.7098635115360828E-2</v>
      </c>
      <c r="K336" s="33">
        <f t="shared" si="86"/>
        <v>36.902227575039426</v>
      </c>
      <c r="L336" s="8">
        <v>0</v>
      </c>
      <c r="M336" s="9">
        <v>1</v>
      </c>
      <c r="N336" s="8">
        <v>0</v>
      </c>
      <c r="O336" s="9">
        <v>0</v>
      </c>
      <c r="P336" s="9">
        <v>1</v>
      </c>
      <c r="Q336" s="9">
        <v>0</v>
      </c>
      <c r="R336" s="9">
        <v>0</v>
      </c>
      <c r="S336" s="8">
        <v>1372</v>
      </c>
      <c r="T336" s="9">
        <v>10</v>
      </c>
      <c r="U336" s="9">
        <f t="shared" si="78"/>
        <v>1361</v>
      </c>
      <c r="V336" s="9">
        <f t="shared" si="79"/>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3"/>
        <v>0.15700000000000003</v>
      </c>
      <c r="AO336" s="42">
        <v>1</v>
      </c>
      <c r="AP336" s="18">
        <v>0</v>
      </c>
      <c r="AQ336">
        <v>1</v>
      </c>
      <c r="AR336" s="40">
        <v>0</v>
      </c>
      <c r="AS336">
        <v>8.5300000000000001E-2</v>
      </c>
      <c r="AT336" s="40">
        <f t="shared" si="82"/>
        <v>0.91469999999999996</v>
      </c>
      <c r="AU336">
        <v>0</v>
      </c>
      <c r="AV336" s="18">
        <v>1</v>
      </c>
      <c r="AW336">
        <v>0</v>
      </c>
      <c r="AX336" s="18">
        <v>1</v>
      </c>
      <c r="AY336" s="18" t="s">
        <v>5</v>
      </c>
      <c r="AZ336">
        <v>0</v>
      </c>
      <c r="BA336">
        <v>1</v>
      </c>
      <c r="BB336">
        <v>0</v>
      </c>
      <c r="BC336">
        <v>0</v>
      </c>
      <c r="BD336">
        <v>0</v>
      </c>
      <c r="BE336">
        <v>0</v>
      </c>
      <c r="BF336" s="18">
        <v>0</v>
      </c>
      <c r="BG336">
        <v>0</v>
      </c>
      <c r="BH336">
        <v>1</v>
      </c>
      <c r="BI336" s="18">
        <v>0</v>
      </c>
      <c r="BJ336">
        <v>501</v>
      </c>
      <c r="BK336">
        <v>30</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0"/>
        <v>1.044776119402985</v>
      </c>
      <c r="F337" s="7">
        <v>0.67</v>
      </c>
      <c r="G337" s="7">
        <f t="shared" si="76"/>
        <v>-0.34477611940298503</v>
      </c>
      <c r="H337" s="16">
        <f t="shared" si="77"/>
        <v>1.7447761194029849</v>
      </c>
      <c r="I337" s="11">
        <f t="shared" si="84"/>
        <v>2.3505894099012905E-2</v>
      </c>
      <c r="J337" s="33">
        <f t="shared" si="85"/>
        <v>3.5083424028377469E-2</v>
      </c>
      <c r="K337" s="33">
        <f t="shared" si="86"/>
        <v>28.503489260088841</v>
      </c>
      <c r="L337" s="8">
        <v>0</v>
      </c>
      <c r="M337" s="9">
        <v>1</v>
      </c>
      <c r="N337" s="8">
        <v>0</v>
      </c>
      <c r="O337" s="9">
        <v>0</v>
      </c>
      <c r="P337" s="9">
        <v>1</v>
      </c>
      <c r="Q337" s="9">
        <v>0</v>
      </c>
      <c r="R337" s="9">
        <v>0</v>
      </c>
      <c r="S337" s="8">
        <v>818</v>
      </c>
      <c r="T337" s="9">
        <v>5</v>
      </c>
      <c r="U337" s="9">
        <f t="shared" si="78"/>
        <v>812</v>
      </c>
      <c r="V337" s="9">
        <f t="shared" si="79"/>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3"/>
        <v>0.22100000000000009</v>
      </c>
      <c r="AO337" s="42">
        <v>1</v>
      </c>
      <c r="AP337" s="18">
        <v>0</v>
      </c>
      <c r="AQ337">
        <v>1</v>
      </c>
      <c r="AR337" s="40">
        <v>0</v>
      </c>
      <c r="AS337">
        <v>8.5300000000000001E-2</v>
      </c>
      <c r="AT337" s="40">
        <f t="shared" si="82"/>
        <v>0.91469999999999996</v>
      </c>
      <c r="AU337">
        <v>0</v>
      </c>
      <c r="AV337" s="18">
        <v>1</v>
      </c>
      <c r="AW337">
        <v>0</v>
      </c>
      <c r="AX337" s="18">
        <v>1</v>
      </c>
      <c r="AY337" s="18" t="s">
        <v>5</v>
      </c>
      <c r="AZ337">
        <v>0</v>
      </c>
      <c r="BA337">
        <v>1</v>
      </c>
      <c r="BB337">
        <v>0</v>
      </c>
      <c r="BC337">
        <v>0</v>
      </c>
      <c r="BD337">
        <v>0</v>
      </c>
      <c r="BE337">
        <v>0</v>
      </c>
      <c r="BF337" s="18">
        <v>0</v>
      </c>
      <c r="BG337">
        <v>0</v>
      </c>
      <c r="BH337">
        <v>1</v>
      </c>
      <c r="BI337" s="18">
        <v>0</v>
      </c>
      <c r="BJ337">
        <v>644</v>
      </c>
      <c r="BK337">
        <v>57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0"/>
        <v>2.1428571428571428</v>
      </c>
      <c r="F338" s="7">
        <v>0.28000000000000003</v>
      </c>
      <c r="G338" s="7">
        <f t="shared" si="76"/>
        <v>-1.5428571428571427</v>
      </c>
      <c r="H338" s="16">
        <f t="shared" si="77"/>
        <v>2.7428571428571429</v>
      </c>
      <c r="I338" s="11">
        <f t="shared" si="84"/>
        <v>9.0984008236424802E-3</v>
      </c>
      <c r="J338" s="33">
        <f t="shared" si="85"/>
        <v>3.2494288655865997E-2</v>
      </c>
      <c r="K338" s="33">
        <f t="shared" si="86"/>
        <v>30.774638909335721</v>
      </c>
      <c r="L338" s="8">
        <v>0</v>
      </c>
      <c r="M338" s="9">
        <v>1</v>
      </c>
      <c r="N338" s="8">
        <v>0</v>
      </c>
      <c r="O338" s="9">
        <v>0</v>
      </c>
      <c r="P338" s="9">
        <v>1</v>
      </c>
      <c r="Q338" s="9">
        <v>0</v>
      </c>
      <c r="R338" s="9">
        <v>0</v>
      </c>
      <c r="S338" s="8">
        <v>958</v>
      </c>
      <c r="T338" s="9">
        <v>10</v>
      </c>
      <c r="U338" s="9">
        <f t="shared" si="78"/>
        <v>947</v>
      </c>
      <c r="V338" s="9">
        <f t="shared" si="79"/>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3"/>
        <v>0.22100000000000009</v>
      </c>
      <c r="AO338" s="42">
        <v>1</v>
      </c>
      <c r="AP338" s="18">
        <v>0</v>
      </c>
      <c r="AQ338">
        <v>1</v>
      </c>
      <c r="AR338" s="40">
        <v>0</v>
      </c>
      <c r="AS338">
        <v>8.5300000000000001E-2</v>
      </c>
      <c r="AT338" s="40">
        <f t="shared" si="82"/>
        <v>0.91469999999999996</v>
      </c>
      <c r="AU338">
        <v>0</v>
      </c>
      <c r="AV338" s="18">
        <v>1</v>
      </c>
      <c r="AW338">
        <v>0</v>
      </c>
      <c r="AX338" s="18">
        <v>1</v>
      </c>
      <c r="AY338" s="18" t="s">
        <v>5</v>
      </c>
      <c r="AZ338">
        <v>0</v>
      </c>
      <c r="BA338">
        <v>1</v>
      </c>
      <c r="BB338">
        <v>0</v>
      </c>
      <c r="BC338">
        <v>0</v>
      </c>
      <c r="BD338">
        <v>0</v>
      </c>
      <c r="BE338">
        <v>0</v>
      </c>
      <c r="BF338" s="18">
        <v>0</v>
      </c>
      <c r="BG338">
        <v>0</v>
      </c>
      <c r="BH338">
        <v>1</v>
      </c>
      <c r="BI338" s="18">
        <v>0</v>
      </c>
      <c r="BJ338">
        <v>818</v>
      </c>
      <c r="BK338">
        <v>95</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0"/>
        <v>0.85545722713864303</v>
      </c>
      <c r="F339" s="7">
        <v>3.39</v>
      </c>
      <c r="G339" s="7">
        <f t="shared" si="76"/>
        <v>2.044542772861357</v>
      </c>
      <c r="H339" s="16">
        <f t="shared" si="77"/>
        <v>3.7554572271386428</v>
      </c>
      <c r="I339" s="11">
        <f t="shared" si="84"/>
        <v>0.13101679456485232</v>
      </c>
      <c r="J339" s="33">
        <f t="shared" si="85"/>
        <v>3.8648021995531662E-2</v>
      </c>
      <c r="K339" s="33">
        <f t="shared" si="86"/>
        <v>25.874545406634684</v>
      </c>
      <c r="L339" s="8">
        <v>0</v>
      </c>
      <c r="M339" s="9">
        <v>1</v>
      </c>
      <c r="N339" s="8">
        <v>0</v>
      </c>
      <c r="O339" s="9">
        <v>0</v>
      </c>
      <c r="P339" s="9">
        <v>1</v>
      </c>
      <c r="Q339" s="9">
        <v>0</v>
      </c>
      <c r="R339" s="9">
        <v>0</v>
      </c>
      <c r="S339" s="8">
        <v>664</v>
      </c>
      <c r="T339" s="9">
        <v>5</v>
      </c>
      <c r="U339" s="9">
        <f t="shared" si="78"/>
        <v>658</v>
      </c>
      <c r="V339" s="9">
        <f t="shared" si="79"/>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3"/>
        <v>0.15700000000000003</v>
      </c>
      <c r="AO339" s="42">
        <v>1</v>
      </c>
      <c r="AP339" s="18">
        <v>0</v>
      </c>
      <c r="AQ339">
        <v>1</v>
      </c>
      <c r="AR339" s="40">
        <v>0</v>
      </c>
      <c r="AS339">
        <v>8.5300000000000001E-2</v>
      </c>
      <c r="AT339" s="40">
        <f t="shared" si="82"/>
        <v>0.91469999999999996</v>
      </c>
      <c r="AU339">
        <v>0</v>
      </c>
      <c r="AV339" s="18">
        <v>1</v>
      </c>
      <c r="AW339">
        <v>0</v>
      </c>
      <c r="AX339" s="18">
        <v>1</v>
      </c>
      <c r="AY339" s="18" t="s">
        <v>5</v>
      </c>
      <c r="AZ339">
        <v>0</v>
      </c>
      <c r="BA339">
        <v>1</v>
      </c>
      <c r="BB339">
        <v>0</v>
      </c>
      <c r="BC339">
        <v>0</v>
      </c>
      <c r="BD339">
        <v>0</v>
      </c>
      <c r="BE339">
        <v>0</v>
      </c>
      <c r="BF339" s="18">
        <v>0</v>
      </c>
      <c r="BG339">
        <v>0</v>
      </c>
      <c r="BH339">
        <v>1</v>
      </c>
      <c r="BI339" s="18">
        <v>0</v>
      </c>
      <c r="BJ339">
        <v>489</v>
      </c>
      <c r="BK339">
        <v>12</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0"/>
        <v>1.4285714285714286</v>
      </c>
      <c r="F340" s="7">
        <v>2.73</v>
      </c>
      <c r="G340" s="7">
        <f t="shared" si="76"/>
        <v>2.4714285714285715</v>
      </c>
      <c r="H340" s="16">
        <f t="shared" si="77"/>
        <v>5.3285714285714283</v>
      </c>
      <c r="I340" s="11">
        <f t="shared" si="84"/>
        <v>8.5169027029795424E-2</v>
      </c>
      <c r="J340" s="33">
        <f t="shared" si="85"/>
        <v>3.1197445798459868E-2</v>
      </c>
      <c r="K340" s="33">
        <f t="shared" si="86"/>
        <v>32.0539061582204</v>
      </c>
      <c r="L340" s="8">
        <v>0</v>
      </c>
      <c r="M340" s="9">
        <v>1</v>
      </c>
      <c r="N340" s="8">
        <v>0</v>
      </c>
      <c r="O340" s="9">
        <v>0</v>
      </c>
      <c r="P340" s="9">
        <v>1</v>
      </c>
      <c r="Q340" s="9">
        <v>0</v>
      </c>
      <c r="R340" s="9">
        <v>0</v>
      </c>
      <c r="S340" s="8">
        <v>1031</v>
      </c>
      <c r="T340" s="9">
        <v>10</v>
      </c>
      <c r="U340" s="9">
        <f t="shared" si="78"/>
        <v>1020</v>
      </c>
      <c r="V340" s="9">
        <f t="shared" si="79"/>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3"/>
        <v>0.15700000000000003</v>
      </c>
      <c r="AO340" s="42">
        <v>1</v>
      </c>
      <c r="AP340" s="18">
        <v>0</v>
      </c>
      <c r="AQ340">
        <v>1</v>
      </c>
      <c r="AR340" s="40">
        <v>0</v>
      </c>
      <c r="AS340">
        <v>8.5300000000000001E-2</v>
      </c>
      <c r="AT340" s="40">
        <f t="shared" si="82"/>
        <v>0.91469999999999996</v>
      </c>
      <c r="AU340">
        <v>0</v>
      </c>
      <c r="AV340" s="18">
        <v>1</v>
      </c>
      <c r="AW340">
        <v>0</v>
      </c>
      <c r="AX340" s="18">
        <v>1</v>
      </c>
      <c r="AY340" s="18" t="s">
        <v>5</v>
      </c>
      <c r="AZ340">
        <v>0</v>
      </c>
      <c r="BA340">
        <v>1</v>
      </c>
      <c r="BB340">
        <v>0</v>
      </c>
      <c r="BC340">
        <v>0</v>
      </c>
      <c r="BD340">
        <v>0</v>
      </c>
      <c r="BE340">
        <v>0</v>
      </c>
      <c r="BF340" s="18">
        <v>0</v>
      </c>
      <c r="BG340">
        <v>0</v>
      </c>
      <c r="BH340">
        <v>1</v>
      </c>
      <c r="BI340" s="18">
        <v>0</v>
      </c>
      <c r="BJ340">
        <v>501</v>
      </c>
      <c r="BK340">
        <v>30</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0"/>
        <v>1.0526315789473684</v>
      </c>
      <c r="F341" s="7">
        <v>4.9400000000000004</v>
      </c>
      <c r="G341" s="7">
        <f t="shared" si="76"/>
        <v>4.147368421052632</v>
      </c>
      <c r="H341" s="16">
        <f t="shared" si="77"/>
        <v>6.2526315789473683</v>
      </c>
      <c r="I341" s="11">
        <f t="shared" si="84"/>
        <v>0.19690753597255725</v>
      </c>
      <c r="J341" s="33">
        <f t="shared" si="85"/>
        <v>3.9859825095659357E-2</v>
      </c>
      <c r="K341" s="33">
        <f t="shared" si="86"/>
        <v>25.087917410578346</v>
      </c>
      <c r="L341" s="8">
        <v>0</v>
      </c>
      <c r="M341" s="9">
        <v>1</v>
      </c>
      <c r="N341" s="8">
        <v>0</v>
      </c>
      <c r="O341" s="9">
        <v>0</v>
      </c>
      <c r="P341" s="9">
        <v>1</v>
      </c>
      <c r="Q341" s="9">
        <v>0</v>
      </c>
      <c r="R341" s="9">
        <v>0</v>
      </c>
      <c r="S341" s="8">
        <v>611</v>
      </c>
      <c r="T341" s="9">
        <v>5</v>
      </c>
      <c r="U341" s="9">
        <f t="shared" si="78"/>
        <v>605</v>
      </c>
      <c r="V341" s="9">
        <f t="shared" si="79"/>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3"/>
        <v>0.22100000000000009</v>
      </c>
      <c r="AO341" s="42">
        <v>1</v>
      </c>
      <c r="AP341" s="18">
        <v>0</v>
      </c>
      <c r="AQ341">
        <v>1</v>
      </c>
      <c r="AR341" s="40">
        <v>0</v>
      </c>
      <c r="AS341">
        <v>8.5300000000000001E-2</v>
      </c>
      <c r="AT341" s="40">
        <f t="shared" si="82"/>
        <v>0.91469999999999996</v>
      </c>
      <c r="AU341">
        <v>0</v>
      </c>
      <c r="AV341" s="18">
        <v>1</v>
      </c>
      <c r="AW341">
        <v>0</v>
      </c>
      <c r="AX341" s="18">
        <v>1</v>
      </c>
      <c r="AY341" s="18" t="s">
        <v>5</v>
      </c>
      <c r="AZ341">
        <v>0</v>
      </c>
      <c r="BA341">
        <v>1</v>
      </c>
      <c r="BB341">
        <v>0</v>
      </c>
      <c r="BC341">
        <v>0</v>
      </c>
      <c r="BD341">
        <v>0</v>
      </c>
      <c r="BE341">
        <v>0</v>
      </c>
      <c r="BF341" s="18">
        <v>0</v>
      </c>
      <c r="BG341">
        <v>0</v>
      </c>
      <c r="BH341">
        <v>1</v>
      </c>
      <c r="BI341" s="18">
        <v>0</v>
      </c>
      <c r="BJ341">
        <v>644</v>
      </c>
      <c r="BK341">
        <v>57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0"/>
        <v>2.477477477477477</v>
      </c>
      <c r="F342" s="7">
        <v>2.2200000000000002</v>
      </c>
      <c r="G342" s="7">
        <f t="shared" si="76"/>
        <v>3.022522522522523</v>
      </c>
      <c r="H342" s="16">
        <f t="shared" si="77"/>
        <v>7.9774774774774766</v>
      </c>
      <c r="I342" s="11">
        <f t="shared" si="84"/>
        <v>7.7481912916654835E-2</v>
      </c>
      <c r="J342" s="33">
        <f t="shared" si="85"/>
        <v>3.4901762575069745E-2</v>
      </c>
      <c r="K342" s="33">
        <f t="shared" si="86"/>
        <v>28.651848107931887</v>
      </c>
      <c r="L342" s="8">
        <v>0</v>
      </c>
      <c r="M342" s="9">
        <v>1</v>
      </c>
      <c r="N342" s="8">
        <v>0</v>
      </c>
      <c r="O342" s="9">
        <v>0</v>
      </c>
      <c r="P342" s="9">
        <v>1</v>
      </c>
      <c r="Q342" s="9">
        <v>0</v>
      </c>
      <c r="R342" s="9">
        <v>0</v>
      </c>
      <c r="S342" s="8">
        <v>827</v>
      </c>
      <c r="T342" s="9">
        <v>10</v>
      </c>
      <c r="U342" s="9">
        <f t="shared" si="78"/>
        <v>816</v>
      </c>
      <c r="V342" s="9">
        <f t="shared" si="79"/>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3"/>
        <v>0.22100000000000009</v>
      </c>
      <c r="AO342" s="42">
        <v>1</v>
      </c>
      <c r="AP342" s="18">
        <v>0</v>
      </c>
      <c r="AQ342">
        <v>1</v>
      </c>
      <c r="AR342" s="40">
        <v>0</v>
      </c>
      <c r="AS342">
        <v>8.5300000000000001E-2</v>
      </c>
      <c r="AT342" s="40">
        <f t="shared" si="82"/>
        <v>0.91469999999999996</v>
      </c>
      <c r="AU342">
        <v>0</v>
      </c>
      <c r="AV342" s="18">
        <v>1</v>
      </c>
      <c r="AW342">
        <v>0</v>
      </c>
      <c r="AX342" s="18">
        <v>1</v>
      </c>
      <c r="AY342" s="18" t="s">
        <v>5</v>
      </c>
      <c r="AZ342">
        <v>0</v>
      </c>
      <c r="BA342">
        <v>1</v>
      </c>
      <c r="BB342">
        <v>0</v>
      </c>
      <c r="BC342">
        <v>0</v>
      </c>
      <c r="BD342">
        <v>0</v>
      </c>
      <c r="BE342">
        <v>0</v>
      </c>
      <c r="BF342" s="18">
        <v>0</v>
      </c>
      <c r="BG342">
        <v>0</v>
      </c>
      <c r="BH342">
        <v>1</v>
      </c>
      <c r="BI342" s="18">
        <v>0</v>
      </c>
      <c r="BJ342">
        <v>818</v>
      </c>
      <c r="BK342">
        <v>95</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0"/>
        <v>0.54590570719602982</v>
      </c>
      <c r="F343" s="7">
        <v>4.03</v>
      </c>
      <c r="G343" s="7">
        <f t="shared" si="76"/>
        <v>1.6540942928039704</v>
      </c>
      <c r="H343" s="16">
        <f t="shared" si="77"/>
        <v>2.7459057071960302</v>
      </c>
      <c r="I343" s="11">
        <f t="shared" si="84"/>
        <v>5.3914595065672373E-2</v>
      </c>
      <c r="J343" s="33">
        <f t="shared" si="85"/>
        <v>1.3378311430687934E-2</v>
      </c>
      <c r="K343" s="33">
        <f t="shared" si="86"/>
        <v>74.747848798477136</v>
      </c>
      <c r="L343" s="8">
        <v>0</v>
      </c>
      <c r="M343" s="9">
        <v>1</v>
      </c>
      <c r="N343" s="8">
        <v>0</v>
      </c>
      <c r="O343" s="9">
        <v>0</v>
      </c>
      <c r="P343" s="9">
        <v>1</v>
      </c>
      <c r="Q343" s="9">
        <v>0</v>
      </c>
      <c r="R343" s="9">
        <v>0</v>
      </c>
      <c r="S343" s="8">
        <v>5589</v>
      </c>
      <c r="T343" s="9">
        <v>17</v>
      </c>
      <c r="U343" s="9">
        <f t="shared" si="78"/>
        <v>5571</v>
      </c>
      <c r="V343" s="9">
        <f t="shared" si="79"/>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2"/>
        <v>0.91469999999999996</v>
      </c>
      <c r="AU343">
        <v>0</v>
      </c>
      <c r="AV343" s="18">
        <v>1</v>
      </c>
      <c r="AW343">
        <v>0</v>
      </c>
      <c r="AX343" s="18">
        <v>1</v>
      </c>
      <c r="AY343" s="18" t="s">
        <v>5</v>
      </c>
      <c r="AZ343">
        <v>0</v>
      </c>
      <c r="BA343">
        <v>1</v>
      </c>
      <c r="BB343">
        <v>0</v>
      </c>
      <c r="BC343">
        <v>0</v>
      </c>
      <c r="BD343">
        <v>0</v>
      </c>
      <c r="BE343">
        <v>0</v>
      </c>
      <c r="BF343" s="18">
        <v>0</v>
      </c>
      <c r="BG343">
        <v>0</v>
      </c>
      <c r="BH343">
        <v>1</v>
      </c>
      <c r="BI343" s="18">
        <v>0</v>
      </c>
      <c r="BJ343">
        <v>557</v>
      </c>
      <c r="BK343">
        <v>41</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0"/>
        <v>0.54655870445344124</v>
      </c>
      <c r="F344" s="7">
        <v>4.9400000000000004</v>
      </c>
      <c r="G344" s="7">
        <f t="shared" si="76"/>
        <v>2.1534412955465587</v>
      </c>
      <c r="H344" s="16">
        <f t="shared" si="77"/>
        <v>3.2465587044534416</v>
      </c>
      <c r="I344" s="11">
        <f t="shared" si="84"/>
        <v>6.6005255397725685E-2</v>
      </c>
      <c r="J344" s="33">
        <f t="shared" si="85"/>
        <v>1.3361387732333132E-2</v>
      </c>
      <c r="K344" s="33">
        <f t="shared" si="86"/>
        <v>74.842525344886653</v>
      </c>
      <c r="L344" s="8">
        <v>0</v>
      </c>
      <c r="M344" s="9">
        <v>1</v>
      </c>
      <c r="N344" s="8">
        <v>0</v>
      </c>
      <c r="O344" s="9">
        <v>0</v>
      </c>
      <c r="P344" s="9">
        <v>1</v>
      </c>
      <c r="Q344" s="9">
        <v>0</v>
      </c>
      <c r="R344" s="9">
        <v>0</v>
      </c>
      <c r="S344" s="8">
        <v>5589</v>
      </c>
      <c r="T344" s="9">
        <v>11</v>
      </c>
      <c r="U344" s="9">
        <f t="shared" si="78"/>
        <v>5577</v>
      </c>
      <c r="V344" s="9">
        <f t="shared" si="79"/>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2"/>
        <v>0.91469999999999996</v>
      </c>
      <c r="AU344">
        <v>0</v>
      </c>
      <c r="AV344" s="18">
        <v>1</v>
      </c>
      <c r="AW344">
        <v>0</v>
      </c>
      <c r="AX344" s="18">
        <v>1</v>
      </c>
      <c r="AY344" s="18" t="s">
        <v>5</v>
      </c>
      <c r="AZ344">
        <v>0</v>
      </c>
      <c r="BA344">
        <v>1</v>
      </c>
      <c r="BB344">
        <v>0</v>
      </c>
      <c r="BC344">
        <v>0</v>
      </c>
      <c r="BD344">
        <v>0</v>
      </c>
      <c r="BE344">
        <v>0</v>
      </c>
      <c r="BF344" s="18">
        <v>0</v>
      </c>
      <c r="BG344">
        <v>0</v>
      </c>
      <c r="BH344">
        <v>1</v>
      </c>
      <c r="BI344" s="18">
        <v>0</v>
      </c>
      <c r="BJ344">
        <v>557</v>
      </c>
      <c r="BK344">
        <v>41</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0"/>
        <v>1.1084337349397588</v>
      </c>
      <c r="F345" s="7">
        <v>4.1500000000000004</v>
      </c>
      <c r="G345" s="7">
        <f t="shared" si="76"/>
        <v>3.491566265060241</v>
      </c>
      <c r="H345" s="16">
        <f t="shared" si="77"/>
        <v>5.7084337349397583</v>
      </c>
      <c r="I345" s="11">
        <f t="shared" si="84"/>
        <v>5.549029692427087E-2</v>
      </c>
      <c r="J345" s="33">
        <f t="shared" si="85"/>
        <v>1.3371155885366474E-2</v>
      </c>
      <c r="K345" s="33">
        <f t="shared" si="86"/>
        <v>74.787849949039185</v>
      </c>
      <c r="L345" s="8">
        <v>0</v>
      </c>
      <c r="M345" s="9">
        <v>1</v>
      </c>
      <c r="N345" s="8">
        <v>0</v>
      </c>
      <c r="O345" s="9">
        <v>0</v>
      </c>
      <c r="P345" s="9">
        <v>1</v>
      </c>
      <c r="Q345" s="9">
        <v>0</v>
      </c>
      <c r="R345" s="9">
        <v>0</v>
      </c>
      <c r="S345" s="8">
        <v>5589</v>
      </c>
      <c r="T345" s="9">
        <v>12</v>
      </c>
      <c r="U345" s="9">
        <f t="shared" si="78"/>
        <v>5576</v>
      </c>
      <c r="V345" s="9">
        <f t="shared" si="79"/>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2"/>
        <v>0.91469999999999996</v>
      </c>
      <c r="AU345">
        <v>0</v>
      </c>
      <c r="AV345" s="18">
        <v>1</v>
      </c>
      <c r="AW345">
        <v>0</v>
      </c>
      <c r="AX345" s="18">
        <v>1</v>
      </c>
      <c r="AY345" s="18" t="s">
        <v>5</v>
      </c>
      <c r="AZ345">
        <v>0</v>
      </c>
      <c r="BA345">
        <v>1</v>
      </c>
      <c r="BB345">
        <v>0</v>
      </c>
      <c r="BC345">
        <v>0</v>
      </c>
      <c r="BD345">
        <v>0</v>
      </c>
      <c r="BE345">
        <v>0</v>
      </c>
      <c r="BF345" s="18">
        <v>0</v>
      </c>
      <c r="BG345">
        <v>0</v>
      </c>
      <c r="BH345">
        <v>1</v>
      </c>
      <c r="BI345" s="18">
        <v>0</v>
      </c>
      <c r="BJ345">
        <v>557</v>
      </c>
      <c r="BK345">
        <v>41</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0"/>
        <v>1.5789473684210527</v>
      </c>
      <c r="F346" s="55">
        <v>0.76</v>
      </c>
      <c r="G346" s="55">
        <f t="shared" si="76"/>
        <v>-0.3789473684210527</v>
      </c>
      <c r="H346" s="56">
        <f t="shared" si="77"/>
        <v>2.7789473684210524</v>
      </c>
      <c r="I346" s="11">
        <f t="shared" si="84"/>
        <v>1.0181798557149379E-2</v>
      </c>
      <c r="J346" s="33">
        <f t="shared" si="85"/>
        <v>1.3397103364670235E-2</v>
      </c>
      <c r="K346" s="33">
        <f t="shared" si="86"/>
        <v>74.643001011481303</v>
      </c>
      <c r="L346" s="59">
        <v>0</v>
      </c>
      <c r="M346" s="60">
        <v>1</v>
      </c>
      <c r="N346" s="59">
        <v>0</v>
      </c>
      <c r="O346" s="60">
        <v>0</v>
      </c>
      <c r="P346" s="60">
        <v>1</v>
      </c>
      <c r="Q346" s="60">
        <v>0</v>
      </c>
      <c r="R346" s="60">
        <v>0</v>
      </c>
      <c r="S346" s="59">
        <v>5589</v>
      </c>
      <c r="T346" s="60">
        <v>17</v>
      </c>
      <c r="U346" s="60">
        <f t="shared" si="78"/>
        <v>5571</v>
      </c>
      <c r="V346" s="60">
        <f t="shared" si="79"/>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2"/>
        <v>0.91469999999999996</v>
      </c>
      <c r="AU346">
        <v>0</v>
      </c>
      <c r="AV346" s="65">
        <v>1</v>
      </c>
      <c r="AW346" s="51">
        <v>0</v>
      </c>
      <c r="AX346" s="65">
        <v>1</v>
      </c>
      <c r="AY346" s="65" t="s">
        <v>5</v>
      </c>
      <c r="AZ346">
        <v>0</v>
      </c>
      <c r="BA346">
        <v>1</v>
      </c>
      <c r="BB346">
        <v>0</v>
      </c>
      <c r="BC346">
        <v>0</v>
      </c>
      <c r="BD346">
        <v>0</v>
      </c>
      <c r="BE346">
        <v>0</v>
      </c>
      <c r="BF346" s="65">
        <v>0</v>
      </c>
      <c r="BG346">
        <v>0</v>
      </c>
      <c r="BH346">
        <v>1</v>
      </c>
      <c r="BI346" s="65">
        <v>0</v>
      </c>
      <c r="BJ346">
        <v>557</v>
      </c>
      <c r="BK346">
        <v>41</v>
      </c>
      <c r="BL346" s="52">
        <v>38.32</v>
      </c>
      <c r="BM346" s="51">
        <v>0</v>
      </c>
      <c r="BN346" s="51">
        <v>0</v>
      </c>
      <c r="BO346" s="51">
        <v>0</v>
      </c>
      <c r="BP346" s="51">
        <v>1</v>
      </c>
      <c r="BQ346" s="51">
        <v>0</v>
      </c>
      <c r="BR346" s="51">
        <v>0</v>
      </c>
      <c r="BS346" s="51">
        <v>0</v>
      </c>
      <c r="BT346" s="65">
        <v>0</v>
      </c>
      <c r="BU346" s="51">
        <v>0</v>
      </c>
      <c r="BV346" s="51">
        <v>1</v>
      </c>
      <c r="BW346" s="51">
        <v>0</v>
      </c>
      <c r="BX346" s="65">
        <v>0</v>
      </c>
      <c r="BY346" s="51">
        <v>0</v>
      </c>
      <c r="BZ346" s="51">
        <v>0</v>
      </c>
      <c r="CA346" s="51">
        <v>0</v>
      </c>
      <c r="CB346" s="51">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7">D347/E347</f>
        <v>25.28409090909091</v>
      </c>
      <c r="G347" s="7">
        <f t="shared" si="76"/>
        <v>17.096</v>
      </c>
      <c r="H347" s="16">
        <f t="shared" si="77"/>
        <v>18.504000000000001</v>
      </c>
      <c r="I347" s="11">
        <f t="shared" si="84"/>
        <v>0.33366062720699335</v>
      </c>
      <c r="J347" s="33">
        <f t="shared" si="85"/>
        <v>1.319646525582715E-2</v>
      </c>
      <c r="K347" s="33">
        <f t="shared" si="86"/>
        <v>75.777867831571868</v>
      </c>
      <c r="L347" s="8">
        <v>0</v>
      </c>
      <c r="M347" s="9">
        <v>1</v>
      </c>
      <c r="N347" s="8">
        <v>0</v>
      </c>
      <c r="O347" s="9">
        <v>0</v>
      </c>
      <c r="P347" s="9">
        <v>0</v>
      </c>
      <c r="Q347" s="9">
        <v>1</v>
      </c>
      <c r="R347" s="9">
        <v>0</v>
      </c>
      <c r="S347" s="8">
        <v>5109</v>
      </c>
      <c r="T347" s="9">
        <v>5</v>
      </c>
      <c r="U347" s="9">
        <f t="shared" si="78"/>
        <v>5103</v>
      </c>
      <c r="V347" s="9">
        <f t="shared" si="79"/>
        <v>15</v>
      </c>
      <c r="W347" s="7">
        <v>7.0203000000000007</v>
      </c>
      <c r="X347" s="7">
        <f t="shared" ref="X347:X361" si="88">BL347-W347-6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v>0</v>
      </c>
      <c r="BF347" s="18">
        <v>1</v>
      </c>
      <c r="BG347">
        <v>0</v>
      </c>
      <c r="BH347">
        <v>1</v>
      </c>
      <c r="BI347" s="18">
        <v>0</v>
      </c>
      <c r="BJ347" t="s">
        <v>98</v>
      </c>
      <c r="BK347">
        <v>67</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7"/>
        <v>3.1210191082802545</v>
      </c>
      <c r="G348" s="7">
        <f t="shared" si="76"/>
        <v>9.9899999999999984</v>
      </c>
      <c r="H348" s="16">
        <f t="shared" si="77"/>
        <v>19.41</v>
      </c>
      <c r="I348" s="11">
        <f t="shared" si="84"/>
        <v>4.3648521887384835E-2</v>
      </c>
      <c r="J348" s="33">
        <f t="shared" si="85"/>
        <v>1.3985342727182487E-2</v>
      </c>
      <c r="K348" s="33">
        <f t="shared" si="86"/>
        <v>71.503431807670964</v>
      </c>
      <c r="L348" s="8">
        <v>0</v>
      </c>
      <c r="M348" s="9">
        <v>1</v>
      </c>
      <c r="N348" s="8">
        <v>0</v>
      </c>
      <c r="O348" s="9">
        <v>0</v>
      </c>
      <c r="P348" s="9">
        <v>0</v>
      </c>
      <c r="Q348" s="9">
        <v>1</v>
      </c>
      <c r="R348" s="9">
        <v>0</v>
      </c>
      <c r="S348" s="8">
        <v>5109</v>
      </c>
      <c r="T348" s="9">
        <v>5</v>
      </c>
      <c r="U348" s="9">
        <f t="shared" si="78"/>
        <v>5103</v>
      </c>
      <c r="V348" s="9">
        <f t="shared" si="79"/>
        <v>15</v>
      </c>
      <c r="W348" s="7">
        <v>7.0203000000000007</v>
      </c>
      <c r="X348" s="7">
        <f t="shared" si="88"/>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v>0</v>
      </c>
      <c r="BF348" s="18">
        <v>1</v>
      </c>
      <c r="BG348">
        <v>0</v>
      </c>
      <c r="BH348">
        <v>1</v>
      </c>
      <c r="BI348" s="18">
        <v>0</v>
      </c>
      <c r="BJ348" t="s">
        <v>98</v>
      </c>
      <c r="BK348">
        <v>67</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7"/>
        <v>3.6650485436893203</v>
      </c>
      <c r="G349" s="7">
        <f t="shared" si="76"/>
        <v>10.98</v>
      </c>
      <c r="H349" s="16">
        <f t="shared" si="77"/>
        <v>19.22</v>
      </c>
      <c r="I349" s="11">
        <f t="shared" si="84"/>
        <v>5.1238464134782849E-2</v>
      </c>
      <c r="J349" s="33">
        <f t="shared" si="85"/>
        <v>1.3980296174523532E-2</v>
      </c>
      <c r="K349" s="33">
        <f t="shared" si="86"/>
        <v>71.529242836951653</v>
      </c>
      <c r="L349" s="8">
        <v>0</v>
      </c>
      <c r="M349" s="9">
        <v>1</v>
      </c>
      <c r="N349" s="8">
        <v>0</v>
      </c>
      <c r="O349" s="9">
        <v>0</v>
      </c>
      <c r="P349" s="9">
        <v>0</v>
      </c>
      <c r="Q349" s="9">
        <v>1</v>
      </c>
      <c r="R349" s="9">
        <v>0</v>
      </c>
      <c r="S349" s="8">
        <v>5109</v>
      </c>
      <c r="T349" s="9">
        <v>5</v>
      </c>
      <c r="U349" s="9">
        <f t="shared" si="78"/>
        <v>5103</v>
      </c>
      <c r="V349" s="9">
        <f t="shared" si="79"/>
        <v>15</v>
      </c>
      <c r="W349" s="7">
        <v>7.0203000000000007</v>
      </c>
      <c r="X349" s="7">
        <f t="shared" si="88"/>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v>0</v>
      </c>
      <c r="BF349" s="18">
        <v>1</v>
      </c>
      <c r="BG349">
        <v>0</v>
      </c>
      <c r="BH349">
        <v>1</v>
      </c>
      <c r="BI349" s="18">
        <v>0</v>
      </c>
      <c r="BJ349" t="s">
        <v>98</v>
      </c>
      <c r="BK349">
        <v>67</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7"/>
        <v>21.411483253588514</v>
      </c>
      <c r="G350" s="7">
        <f t="shared" si="76"/>
        <v>17.064</v>
      </c>
      <c r="H350" s="16">
        <f t="shared" si="77"/>
        <v>18.735999999999997</v>
      </c>
      <c r="I350" s="11">
        <f t="shared" si="84"/>
        <v>0.34010261654193102</v>
      </c>
      <c r="J350" s="33">
        <f t="shared" si="85"/>
        <v>1.5884122202740467E-2</v>
      </c>
      <c r="K350" s="33">
        <f t="shared" si="86"/>
        <v>62.955949799194521</v>
      </c>
      <c r="L350" s="8">
        <v>0</v>
      </c>
      <c r="M350" s="9">
        <v>1</v>
      </c>
      <c r="N350" s="8">
        <v>0</v>
      </c>
      <c r="O350" s="9">
        <v>0</v>
      </c>
      <c r="P350" s="9">
        <v>0</v>
      </c>
      <c r="Q350" s="9">
        <v>1</v>
      </c>
      <c r="R350" s="9">
        <v>0</v>
      </c>
      <c r="S350" s="8">
        <v>3510</v>
      </c>
      <c r="T350" s="9">
        <v>4</v>
      </c>
      <c r="U350" s="9">
        <f t="shared" si="78"/>
        <v>3505</v>
      </c>
      <c r="V350" s="9">
        <f t="shared" si="79"/>
        <v>15</v>
      </c>
      <c r="W350" s="7">
        <v>7.0203000000000007</v>
      </c>
      <c r="X350" s="7">
        <f t="shared" si="88"/>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v>0</v>
      </c>
      <c r="BF350" s="18">
        <v>1</v>
      </c>
      <c r="BG350">
        <v>0</v>
      </c>
      <c r="BH350">
        <v>1</v>
      </c>
      <c r="BI350" s="18">
        <v>0</v>
      </c>
      <c r="BJ350" t="s">
        <v>98</v>
      </c>
      <c r="BK350">
        <v>67</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7"/>
        <v>3.2338308457711444</v>
      </c>
      <c r="G351" s="7">
        <f t="shared" si="76"/>
        <v>8.98</v>
      </c>
      <c r="H351" s="16">
        <f t="shared" si="77"/>
        <v>17.02</v>
      </c>
      <c r="I351" s="11">
        <f t="shared" si="84"/>
        <v>5.4541410272056987E-2</v>
      </c>
      <c r="J351" s="33">
        <f t="shared" si="85"/>
        <v>1.6865882253359162E-2</v>
      </c>
      <c r="K351" s="33">
        <f t="shared" si="86"/>
        <v>59.291294992933494</v>
      </c>
      <c r="L351" s="8">
        <v>0</v>
      </c>
      <c r="M351" s="9">
        <v>1</v>
      </c>
      <c r="N351" s="8">
        <v>0</v>
      </c>
      <c r="O351" s="9">
        <v>0</v>
      </c>
      <c r="P351" s="9">
        <v>0</v>
      </c>
      <c r="Q351" s="9">
        <v>1</v>
      </c>
      <c r="R351" s="9">
        <v>0</v>
      </c>
      <c r="S351" s="8">
        <v>3510</v>
      </c>
      <c r="T351" s="9">
        <v>4</v>
      </c>
      <c r="U351" s="9">
        <f t="shared" si="78"/>
        <v>3505</v>
      </c>
      <c r="V351" s="9">
        <f t="shared" si="79"/>
        <v>15</v>
      </c>
      <c r="W351" s="7">
        <v>7.0203000000000007</v>
      </c>
      <c r="X351" s="7">
        <f t="shared" si="88"/>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v>0</v>
      </c>
      <c r="BF351" s="18">
        <v>1</v>
      </c>
      <c r="BG351">
        <v>0</v>
      </c>
      <c r="BH351">
        <v>1</v>
      </c>
      <c r="BI351" s="18">
        <v>0</v>
      </c>
      <c r="BJ351" t="s">
        <v>98</v>
      </c>
      <c r="BK351">
        <v>67</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7"/>
        <v>21.411483253588514</v>
      </c>
      <c r="G352" s="7">
        <f t="shared" si="76"/>
        <v>17.064</v>
      </c>
      <c r="H352" s="16">
        <f t="shared" si="77"/>
        <v>18.735999999999997</v>
      </c>
      <c r="I352" s="11">
        <f t="shared" si="84"/>
        <v>0.34010261654193102</v>
      </c>
      <c r="J352" s="33">
        <f t="shared" si="85"/>
        <v>1.5884122202740467E-2</v>
      </c>
      <c r="K352" s="33">
        <f t="shared" si="86"/>
        <v>62.955949799194521</v>
      </c>
      <c r="L352" s="8">
        <v>0</v>
      </c>
      <c r="M352" s="9">
        <v>1</v>
      </c>
      <c r="N352" s="8">
        <v>0</v>
      </c>
      <c r="O352" s="9">
        <v>0</v>
      </c>
      <c r="P352" s="9">
        <v>0</v>
      </c>
      <c r="Q352" s="9">
        <v>1</v>
      </c>
      <c r="R352" s="9">
        <v>0</v>
      </c>
      <c r="S352" s="8">
        <v>3510</v>
      </c>
      <c r="T352" s="9">
        <v>4</v>
      </c>
      <c r="U352" s="9">
        <f t="shared" si="78"/>
        <v>3505</v>
      </c>
      <c r="V352" s="9">
        <f t="shared" si="79"/>
        <v>15</v>
      </c>
      <c r="W352" s="7">
        <v>7.0203000000000007</v>
      </c>
      <c r="X352" s="7">
        <f t="shared" si="88"/>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v>0</v>
      </c>
      <c r="BF352" s="18">
        <v>1</v>
      </c>
      <c r="BG352">
        <v>0</v>
      </c>
      <c r="BH352">
        <v>1</v>
      </c>
      <c r="BI352" s="18">
        <v>0</v>
      </c>
      <c r="BJ352" t="s">
        <v>98</v>
      </c>
      <c r="BK352">
        <v>67</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7"/>
        <v>2.6053042121684866</v>
      </c>
      <c r="G353" s="7">
        <f t="shared" si="76"/>
        <v>10.29</v>
      </c>
      <c r="H353" s="16">
        <f t="shared" si="77"/>
        <v>23.11</v>
      </c>
      <c r="I353" s="11">
        <f t="shared" si="84"/>
        <v>6.5116580253501172E-2</v>
      </c>
      <c r="J353" s="33">
        <f t="shared" si="85"/>
        <v>2.4993849067361823E-2</v>
      </c>
      <c r="K353" s="33">
        <f t="shared" si="86"/>
        <v>40.009843914191208</v>
      </c>
      <c r="L353" s="8">
        <v>0</v>
      </c>
      <c r="M353" s="9">
        <v>1</v>
      </c>
      <c r="N353" s="8">
        <v>0</v>
      </c>
      <c r="O353" s="9">
        <v>0</v>
      </c>
      <c r="P353" s="9">
        <v>0</v>
      </c>
      <c r="Q353" s="9">
        <v>1</v>
      </c>
      <c r="R353" s="9">
        <v>0</v>
      </c>
      <c r="S353" s="8">
        <v>1599</v>
      </c>
      <c r="T353" s="9">
        <v>4</v>
      </c>
      <c r="U353" s="9">
        <f t="shared" si="78"/>
        <v>1594</v>
      </c>
      <c r="V353" s="9">
        <f t="shared" si="79"/>
        <v>15</v>
      </c>
      <c r="W353" s="7">
        <v>7.0203000000000007</v>
      </c>
      <c r="X353" s="7">
        <f t="shared" si="88"/>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v>0</v>
      </c>
      <c r="BF353" s="18">
        <v>1</v>
      </c>
      <c r="BG353">
        <v>0</v>
      </c>
      <c r="BH353">
        <v>1</v>
      </c>
      <c r="BI353" s="18">
        <v>0</v>
      </c>
      <c r="BJ353" t="s">
        <v>98</v>
      </c>
      <c r="BK353">
        <v>67</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7"/>
        <v>10.285714285714286</v>
      </c>
      <c r="G354" s="7">
        <f t="shared" si="76"/>
        <v>13</v>
      </c>
      <c r="H354" s="16">
        <f t="shared" si="77"/>
        <v>15.8</v>
      </c>
      <c r="I354" s="11">
        <f t="shared" si="84"/>
        <v>0.32677013083849349</v>
      </c>
      <c r="J354" s="33">
        <f t="shared" si="85"/>
        <v>3.1769318275964645E-2</v>
      </c>
      <c r="K354" s="33">
        <f t="shared" si="86"/>
        <v>31.476910877138927</v>
      </c>
      <c r="L354" s="8">
        <v>0</v>
      </c>
      <c r="M354" s="9">
        <v>1</v>
      </c>
      <c r="N354" s="8">
        <v>0</v>
      </c>
      <c r="O354" s="9">
        <v>0</v>
      </c>
      <c r="P354" s="9">
        <v>0</v>
      </c>
      <c r="Q354" s="9">
        <v>1</v>
      </c>
      <c r="R354" s="9">
        <v>0</v>
      </c>
      <c r="S354" s="8">
        <v>890</v>
      </c>
      <c r="T354" s="9">
        <v>4</v>
      </c>
      <c r="U354" s="9">
        <f t="shared" si="78"/>
        <v>885</v>
      </c>
      <c r="V354" s="9">
        <f t="shared" si="79"/>
        <v>15</v>
      </c>
      <c r="W354" s="7">
        <v>7.0203000000000007</v>
      </c>
      <c r="X354" s="7">
        <f t="shared" si="88"/>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v>0</v>
      </c>
      <c r="BF354" s="18">
        <v>1</v>
      </c>
      <c r="BG354">
        <v>0</v>
      </c>
      <c r="BH354">
        <v>1</v>
      </c>
      <c r="BI354" s="18">
        <v>0</v>
      </c>
      <c r="BJ354" t="s">
        <v>98</v>
      </c>
      <c r="BK354">
        <v>67</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7"/>
        <v>4.8526077097505667</v>
      </c>
      <c r="G355" s="7">
        <f t="shared" si="76"/>
        <v>16.989999999999998</v>
      </c>
      <c r="H355" s="16">
        <f t="shared" si="77"/>
        <v>25.81</v>
      </c>
      <c r="I355" s="11">
        <f t="shared" si="84"/>
        <v>0.16090236206446146</v>
      </c>
      <c r="J355" s="33">
        <f t="shared" si="85"/>
        <v>3.3157916668424069E-2</v>
      </c>
      <c r="K355" s="33">
        <f t="shared" si="86"/>
        <v>30.158710210894803</v>
      </c>
      <c r="L355" s="8">
        <v>0</v>
      </c>
      <c r="M355" s="9">
        <v>1</v>
      </c>
      <c r="N355" s="8">
        <v>0</v>
      </c>
      <c r="O355" s="9">
        <v>0</v>
      </c>
      <c r="P355" s="9">
        <v>0</v>
      </c>
      <c r="Q355" s="9">
        <v>1</v>
      </c>
      <c r="R355" s="9">
        <v>0</v>
      </c>
      <c r="S355" s="8">
        <v>890</v>
      </c>
      <c r="T355" s="9">
        <v>3</v>
      </c>
      <c r="U355" s="9">
        <f t="shared" si="78"/>
        <v>886</v>
      </c>
      <c r="V355" s="9">
        <f t="shared" si="79"/>
        <v>15</v>
      </c>
      <c r="W355" s="7">
        <v>7.0203000000000007</v>
      </c>
      <c r="X355" s="7">
        <f t="shared" si="88"/>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v>0</v>
      </c>
      <c r="BF355" s="18">
        <v>1</v>
      </c>
      <c r="BG355">
        <v>0</v>
      </c>
      <c r="BH355">
        <v>1</v>
      </c>
      <c r="BI355" s="18">
        <v>0</v>
      </c>
      <c r="BJ355" t="s">
        <v>98</v>
      </c>
      <c r="BK355">
        <v>67</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7"/>
        <v>10.285714285714286</v>
      </c>
      <c r="G356" s="7">
        <f t="shared" si="76"/>
        <v>13</v>
      </c>
      <c r="H356" s="16">
        <f t="shared" si="77"/>
        <v>15.8</v>
      </c>
      <c r="I356" s="11">
        <f t="shared" si="84"/>
        <v>0.32677013083849349</v>
      </c>
      <c r="J356" s="33">
        <f t="shared" si="85"/>
        <v>3.1769318275964645E-2</v>
      </c>
      <c r="K356" s="33">
        <f t="shared" si="86"/>
        <v>31.476910877138927</v>
      </c>
      <c r="L356" s="8">
        <v>0</v>
      </c>
      <c r="M356" s="9">
        <v>1</v>
      </c>
      <c r="N356" s="8">
        <v>0</v>
      </c>
      <c r="O356" s="9">
        <v>0</v>
      </c>
      <c r="P356" s="9">
        <v>0</v>
      </c>
      <c r="Q356" s="9">
        <v>1</v>
      </c>
      <c r="R356" s="9">
        <v>0</v>
      </c>
      <c r="S356" s="8">
        <v>890</v>
      </c>
      <c r="T356" s="9">
        <v>4</v>
      </c>
      <c r="U356" s="9">
        <f t="shared" si="78"/>
        <v>885</v>
      </c>
      <c r="V356" s="9">
        <f t="shared" si="79"/>
        <v>15</v>
      </c>
      <c r="W356" s="7">
        <v>7.0203000000000007</v>
      </c>
      <c r="X356" s="7">
        <f t="shared" si="88"/>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v>0</v>
      </c>
      <c r="BF356" s="18">
        <v>1</v>
      </c>
      <c r="BG356">
        <v>0</v>
      </c>
      <c r="BH356">
        <v>1</v>
      </c>
      <c r="BI356" s="18">
        <v>0</v>
      </c>
      <c r="BJ356" t="s">
        <v>98</v>
      </c>
      <c r="BK356">
        <v>67</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7"/>
        <v>6.5589353612167303</v>
      </c>
      <c r="G357" s="7">
        <f t="shared" si="76"/>
        <v>29.240000000000002</v>
      </c>
      <c r="H357" s="16">
        <f t="shared" si="77"/>
        <v>39.76</v>
      </c>
      <c r="I357" s="11">
        <f t="shared" si="84"/>
        <v>0.10051468619482916</v>
      </c>
      <c r="J357" s="33">
        <f t="shared" si="85"/>
        <v>1.5324847808255111E-2</v>
      </c>
      <c r="K357" s="33">
        <f t="shared" si="86"/>
        <v>65.253502841400163</v>
      </c>
      <c r="L357" s="8">
        <v>0</v>
      </c>
      <c r="M357" s="9">
        <v>1</v>
      </c>
      <c r="N357" s="8">
        <v>0</v>
      </c>
      <c r="O357" s="9">
        <v>0</v>
      </c>
      <c r="P357" s="9">
        <v>0</v>
      </c>
      <c r="Q357" s="9">
        <v>1</v>
      </c>
      <c r="R357" s="9">
        <v>0</v>
      </c>
      <c r="S357" s="8">
        <v>4219</v>
      </c>
      <c r="T357" s="9">
        <v>3</v>
      </c>
      <c r="U357" s="9">
        <f t="shared" si="78"/>
        <v>4215</v>
      </c>
      <c r="V357" s="9">
        <f t="shared" si="79"/>
        <v>15</v>
      </c>
      <c r="W357" s="7">
        <v>7.0203000000000007</v>
      </c>
      <c r="X357" s="7">
        <f t="shared" si="88"/>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v>0</v>
      </c>
      <c r="BF357" s="18">
        <v>1</v>
      </c>
      <c r="BG357">
        <v>0</v>
      </c>
      <c r="BH357">
        <v>1</v>
      </c>
      <c r="BI357" s="18">
        <v>0</v>
      </c>
      <c r="BJ357" t="s">
        <v>98</v>
      </c>
      <c r="BK357">
        <v>67</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7"/>
        <v>2.4434782608695653</v>
      </c>
      <c r="G358" s="7">
        <f t="shared" si="76"/>
        <v>3.3200000000000003</v>
      </c>
      <c r="H358" s="16">
        <f t="shared" si="77"/>
        <v>7.92</v>
      </c>
      <c r="I358" s="11">
        <f t="shared" si="84"/>
        <v>0.10025960981878747</v>
      </c>
      <c r="J358" s="33">
        <f t="shared" si="85"/>
        <v>4.1031512915162126E-2</v>
      </c>
      <c r="K358" s="33">
        <f t="shared" si="86"/>
        <v>24.371511771150804</v>
      </c>
      <c r="L358" s="8">
        <v>0</v>
      </c>
      <c r="M358" s="9">
        <v>1</v>
      </c>
      <c r="N358" s="8">
        <v>0</v>
      </c>
      <c r="O358" s="9">
        <v>0</v>
      </c>
      <c r="P358" s="9">
        <v>0</v>
      </c>
      <c r="Q358" s="9">
        <v>1</v>
      </c>
      <c r="R358" s="9">
        <v>0</v>
      </c>
      <c r="S358" s="8">
        <v>592</v>
      </c>
      <c r="T358" s="9">
        <v>3</v>
      </c>
      <c r="U358" s="9">
        <f t="shared" si="78"/>
        <v>588</v>
      </c>
      <c r="V358" s="9">
        <f t="shared" si="79"/>
        <v>15</v>
      </c>
      <c r="W358" s="7">
        <v>7.0203000000000007</v>
      </c>
      <c r="X358" s="7">
        <f t="shared" si="88"/>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v>0</v>
      </c>
      <c r="BF358" s="18">
        <v>1</v>
      </c>
      <c r="BG358">
        <v>0</v>
      </c>
      <c r="BH358">
        <v>1</v>
      </c>
      <c r="BI358" s="18">
        <v>0</v>
      </c>
      <c r="BJ358" t="s">
        <v>98</v>
      </c>
      <c r="BK358">
        <v>67</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7"/>
        <v>0.54958183990442055</v>
      </c>
      <c r="G359" s="7">
        <f t="shared" si="76"/>
        <v>-3.7699999999999996</v>
      </c>
      <c r="H359" s="16">
        <f t="shared" si="77"/>
        <v>12.969999999999999</v>
      </c>
      <c r="I359" s="11">
        <f t="shared" si="84"/>
        <v>1.9500221059366833E-2</v>
      </c>
      <c r="J359" s="33">
        <f t="shared" si="85"/>
        <v>3.5481923971065296E-2</v>
      </c>
      <c r="K359" s="33">
        <f t="shared" si="86"/>
        <v>28.183364600394199</v>
      </c>
      <c r="L359" s="8">
        <v>0</v>
      </c>
      <c r="M359" s="9">
        <v>1</v>
      </c>
      <c r="N359" s="8">
        <v>0</v>
      </c>
      <c r="O359" s="9">
        <v>0</v>
      </c>
      <c r="P359" s="9">
        <v>0</v>
      </c>
      <c r="Q359" s="9">
        <v>1</v>
      </c>
      <c r="R359" s="9">
        <v>0</v>
      </c>
      <c r="S359" s="8">
        <v>798</v>
      </c>
      <c r="T359" s="9">
        <v>3</v>
      </c>
      <c r="U359" s="9">
        <f t="shared" si="78"/>
        <v>794</v>
      </c>
      <c r="V359" s="9">
        <f t="shared" si="79"/>
        <v>15</v>
      </c>
      <c r="W359" s="7">
        <v>7.0203000000000007</v>
      </c>
      <c r="X359" s="7">
        <f t="shared" si="88"/>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v>0</v>
      </c>
      <c r="BF359" s="18">
        <v>1</v>
      </c>
      <c r="BG359">
        <v>0</v>
      </c>
      <c r="BH359">
        <v>1</v>
      </c>
      <c r="BI359" s="18">
        <v>0</v>
      </c>
      <c r="BJ359" t="s">
        <v>98</v>
      </c>
      <c r="BK359">
        <v>67</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7"/>
        <v>3.1827515400410675</v>
      </c>
      <c r="G360" s="7">
        <f t="shared" si="76"/>
        <v>10.629999999999999</v>
      </c>
      <c r="H360" s="16">
        <f t="shared" si="77"/>
        <v>20.37</v>
      </c>
      <c r="I360" s="11">
        <f t="shared" si="84"/>
        <v>7.9865593759938999E-2</v>
      </c>
      <c r="J360" s="33">
        <f t="shared" si="85"/>
        <v>2.5093254297477611E-2</v>
      </c>
      <c r="K360" s="33">
        <f t="shared" si="86"/>
        <v>39.851347622955409</v>
      </c>
      <c r="L360" s="8">
        <v>0</v>
      </c>
      <c r="M360" s="9">
        <v>1</v>
      </c>
      <c r="N360" s="8">
        <v>0</v>
      </c>
      <c r="O360" s="9">
        <v>0</v>
      </c>
      <c r="P360" s="9">
        <v>0</v>
      </c>
      <c r="Q360" s="9">
        <v>1</v>
      </c>
      <c r="R360" s="9">
        <v>0</v>
      </c>
      <c r="S360" s="8">
        <v>1582</v>
      </c>
      <c r="T360" s="9">
        <v>3</v>
      </c>
      <c r="U360" s="9">
        <f t="shared" si="78"/>
        <v>1578</v>
      </c>
      <c r="V360" s="9">
        <f t="shared" si="79"/>
        <v>15</v>
      </c>
      <c r="W360" s="7">
        <v>7.0203000000000007</v>
      </c>
      <c r="X360" s="7">
        <f t="shared" si="88"/>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v>0</v>
      </c>
      <c r="BF360" s="18">
        <v>1</v>
      </c>
      <c r="BG360">
        <v>0</v>
      </c>
      <c r="BH360">
        <v>1</v>
      </c>
      <c r="BI360" s="18">
        <v>0</v>
      </c>
      <c r="BJ360" t="s">
        <v>98</v>
      </c>
      <c r="BK360">
        <v>67</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7"/>
        <v>7.3489278752436658</v>
      </c>
      <c r="G361" s="55">
        <f t="shared" si="76"/>
        <v>32.57</v>
      </c>
      <c r="H361" s="56">
        <f t="shared" si="77"/>
        <v>42.830000000000005</v>
      </c>
      <c r="I361" s="11">
        <f t="shared" si="84"/>
        <v>0.15714440548743447</v>
      </c>
      <c r="J361" s="33">
        <f t="shared" si="85"/>
        <v>2.1383310348820659E-2</v>
      </c>
      <c r="K361" s="33">
        <f t="shared" si="86"/>
        <v>46.765443875959662</v>
      </c>
      <c r="L361" s="59">
        <v>0</v>
      </c>
      <c r="M361" s="60">
        <v>1</v>
      </c>
      <c r="N361" s="59">
        <v>0</v>
      </c>
      <c r="O361" s="60">
        <v>0</v>
      </c>
      <c r="P361" s="60">
        <v>0</v>
      </c>
      <c r="Q361" s="60">
        <v>1</v>
      </c>
      <c r="R361" s="60">
        <v>0</v>
      </c>
      <c r="S361" s="59">
        <v>2137</v>
      </c>
      <c r="T361" s="60">
        <v>3</v>
      </c>
      <c r="U361" s="60">
        <f t="shared" si="78"/>
        <v>2133</v>
      </c>
      <c r="V361" s="60">
        <f t="shared" si="79"/>
        <v>15</v>
      </c>
      <c r="W361" s="55">
        <v>7.0203000000000007</v>
      </c>
      <c r="X361" s="55">
        <f t="shared" si="88"/>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v>0</v>
      </c>
      <c r="BF361" s="65">
        <v>1</v>
      </c>
      <c r="BG361">
        <v>0</v>
      </c>
      <c r="BH361">
        <v>1</v>
      </c>
      <c r="BI361" s="65">
        <v>0</v>
      </c>
      <c r="BJ361" t="s">
        <v>98</v>
      </c>
      <c r="BK361">
        <v>67</v>
      </c>
      <c r="BL361" s="52">
        <v>32.5</v>
      </c>
      <c r="BM361" s="51">
        <v>1</v>
      </c>
      <c r="BN361" s="51">
        <v>0</v>
      </c>
      <c r="BO361" s="51">
        <v>0</v>
      </c>
      <c r="BP361" s="51">
        <v>0</v>
      </c>
      <c r="BQ361" s="51">
        <v>0</v>
      </c>
      <c r="BR361" s="51">
        <v>0</v>
      </c>
      <c r="BS361" s="51">
        <v>0</v>
      </c>
      <c r="BT361" s="65">
        <v>0</v>
      </c>
      <c r="BU361" s="51">
        <v>0</v>
      </c>
      <c r="BV361" s="51">
        <v>0</v>
      </c>
      <c r="BW361" s="51">
        <v>1</v>
      </c>
      <c r="BX361" s="65">
        <v>0</v>
      </c>
      <c r="BY361" s="51">
        <v>0</v>
      </c>
      <c r="BZ361" s="51">
        <v>0</v>
      </c>
      <c r="CA361" s="51">
        <v>0</v>
      </c>
      <c r="CB361" s="5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7"/>
        <v>14.4</v>
      </c>
      <c r="G362" s="7">
        <f t="shared" si="76"/>
        <v>6.7</v>
      </c>
      <c r="H362" s="16">
        <f t="shared" si="77"/>
        <v>7.7</v>
      </c>
      <c r="I362" s="11">
        <f t="shared" si="84"/>
        <v>0.13314306921085112</v>
      </c>
      <c r="J362" s="33">
        <f t="shared" si="85"/>
        <v>9.2460464729757722E-3</v>
      </c>
      <c r="K362" s="33">
        <f t="shared" si="86"/>
        <v>108.15433417112789</v>
      </c>
      <c r="L362" s="8">
        <v>1</v>
      </c>
      <c r="M362" s="9">
        <v>0</v>
      </c>
      <c r="N362" s="8">
        <v>0</v>
      </c>
      <c r="O362" s="9">
        <v>0</v>
      </c>
      <c r="P362" s="9">
        <v>1</v>
      </c>
      <c r="Q362" s="9">
        <v>0</v>
      </c>
      <c r="R362" s="9">
        <v>0</v>
      </c>
      <c r="S362" s="8">
        <v>11501</v>
      </c>
      <c r="T362" s="9">
        <v>10</v>
      </c>
      <c r="U362" s="9">
        <f t="shared" si="78"/>
        <v>11490</v>
      </c>
      <c r="V362" s="9">
        <f t="shared" si="79"/>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9">1-(SUM(AK362:AM362))</f>
        <v>0.10799999999999998</v>
      </c>
      <c r="AO362" s="42">
        <v>0.57999999999999996</v>
      </c>
      <c r="AP362" s="18">
        <v>0.42</v>
      </c>
      <c r="AQ362">
        <v>1</v>
      </c>
      <c r="AR362" s="40">
        <v>0</v>
      </c>
      <c r="AS362" t="s">
        <v>98</v>
      </c>
      <c r="AT362" s="40" t="s">
        <v>98</v>
      </c>
      <c r="AU362">
        <v>0</v>
      </c>
      <c r="AV362" s="18">
        <v>1</v>
      </c>
      <c r="AW362">
        <f t="shared" ref="AW362:AW397" si="90">1-AX362</f>
        <v>0.52700000000000002</v>
      </c>
      <c r="AX362" s="18">
        <v>0.47299999999999998</v>
      </c>
      <c r="AY362" s="18" t="s">
        <v>20</v>
      </c>
      <c r="AZ362">
        <v>0</v>
      </c>
      <c r="BA362">
        <v>0</v>
      </c>
      <c r="BB362">
        <v>0</v>
      </c>
      <c r="BC362">
        <v>0</v>
      </c>
      <c r="BD362">
        <v>0</v>
      </c>
      <c r="BE362">
        <v>1</v>
      </c>
      <c r="BF362" s="18">
        <v>0</v>
      </c>
      <c r="BG362">
        <v>0</v>
      </c>
      <c r="BH362">
        <v>1</v>
      </c>
      <c r="BI362" s="18">
        <v>0</v>
      </c>
      <c r="BJ362">
        <v>787</v>
      </c>
      <c r="BK362">
        <v>29</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6"/>
        <v>2.368617388375458</v>
      </c>
      <c r="H363" s="16">
        <f t="shared" si="77"/>
        <v>3.1853820050566504</v>
      </c>
      <c r="I363" s="11">
        <f t="shared" si="84"/>
        <v>6.3329866538037571E-2</v>
      </c>
      <c r="J363" s="33">
        <f t="shared" si="85"/>
        <v>9.3132156673584668E-3</v>
      </c>
      <c r="K363" s="33">
        <f t="shared" si="86"/>
        <v>107.37429860073591</v>
      </c>
      <c r="L363" s="8">
        <v>1</v>
      </c>
      <c r="M363" s="9">
        <v>0</v>
      </c>
      <c r="N363" s="8">
        <v>0</v>
      </c>
      <c r="O363" s="9">
        <v>0</v>
      </c>
      <c r="P363" s="9">
        <v>1</v>
      </c>
      <c r="Q363" s="9">
        <v>0</v>
      </c>
      <c r="R363" s="9">
        <v>0</v>
      </c>
      <c r="S363" s="8">
        <v>11501</v>
      </c>
      <c r="T363" s="9">
        <v>17</v>
      </c>
      <c r="U363" s="9">
        <f t="shared" si="78"/>
        <v>11483</v>
      </c>
      <c r="V363" s="9">
        <f t="shared" si="79"/>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9"/>
        <v>0.10799999999999998</v>
      </c>
      <c r="AO363" s="42">
        <v>0.57999999999999996</v>
      </c>
      <c r="AP363" s="18">
        <v>0.42</v>
      </c>
      <c r="AQ363">
        <v>1</v>
      </c>
      <c r="AR363" s="40">
        <v>0</v>
      </c>
      <c r="AS363" t="s">
        <v>98</v>
      </c>
      <c r="AT363" s="40" t="s">
        <v>98</v>
      </c>
      <c r="AU363">
        <v>0</v>
      </c>
      <c r="AV363" s="18">
        <v>1</v>
      </c>
      <c r="AW363">
        <f t="shared" si="90"/>
        <v>0.52700000000000002</v>
      </c>
      <c r="AX363" s="18">
        <v>0.47299999999999998</v>
      </c>
      <c r="AY363" s="18" t="s">
        <v>20</v>
      </c>
      <c r="AZ363">
        <v>0</v>
      </c>
      <c r="BA363">
        <v>0</v>
      </c>
      <c r="BB363">
        <v>0</v>
      </c>
      <c r="BC363">
        <v>0</v>
      </c>
      <c r="BD363">
        <v>0</v>
      </c>
      <c r="BE363">
        <v>1</v>
      </c>
      <c r="BF363" s="18">
        <v>0</v>
      </c>
      <c r="BG363">
        <v>0</v>
      </c>
      <c r="BH363">
        <v>1</v>
      </c>
      <c r="BI363" s="18">
        <v>0</v>
      </c>
      <c r="BJ363">
        <v>787</v>
      </c>
      <c r="BK363">
        <v>29</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6"/>
        <v>4.1339829363893417</v>
      </c>
      <c r="H364" s="16">
        <f t="shared" si="77"/>
        <v>4.7927849979653319</v>
      </c>
      <c r="I364" s="11">
        <f t="shared" si="84"/>
        <v>0.12544896850431847</v>
      </c>
      <c r="J364" s="33">
        <f t="shared" si="85"/>
        <v>9.2582264578832812E-3</v>
      </c>
      <c r="K364" s="33">
        <f t="shared" si="86"/>
        <v>108.01204793910725</v>
      </c>
      <c r="L364" s="8">
        <v>1</v>
      </c>
      <c r="M364" s="9">
        <v>0</v>
      </c>
      <c r="N364" s="8">
        <v>0</v>
      </c>
      <c r="O364" s="9">
        <v>0</v>
      </c>
      <c r="P364" s="9">
        <v>1</v>
      </c>
      <c r="Q364" s="9">
        <v>0</v>
      </c>
      <c r="R364" s="9">
        <v>0</v>
      </c>
      <c r="S364" s="8">
        <v>11501</v>
      </c>
      <c r="T364" s="9">
        <v>17</v>
      </c>
      <c r="U364" s="9">
        <f t="shared" si="78"/>
        <v>11483</v>
      </c>
      <c r="V364" s="9">
        <f t="shared" si="79"/>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9"/>
        <v>0.10799999999999998</v>
      </c>
      <c r="AO364" s="42">
        <v>0.57999999999999996</v>
      </c>
      <c r="AP364" s="18">
        <v>0.42</v>
      </c>
      <c r="AQ364">
        <v>1</v>
      </c>
      <c r="AR364" s="40">
        <v>0</v>
      </c>
      <c r="AS364" t="s">
        <v>98</v>
      </c>
      <c r="AT364" s="40" t="s">
        <v>98</v>
      </c>
      <c r="AU364">
        <v>0</v>
      </c>
      <c r="AV364" s="18">
        <v>1</v>
      </c>
      <c r="AW364">
        <f t="shared" si="90"/>
        <v>0.52700000000000002</v>
      </c>
      <c r="AX364" s="18">
        <v>0.47299999999999998</v>
      </c>
      <c r="AY364" s="18" t="s">
        <v>20</v>
      </c>
      <c r="AZ364">
        <v>0</v>
      </c>
      <c r="BA364">
        <v>0</v>
      </c>
      <c r="BB364">
        <v>0</v>
      </c>
      <c r="BC364">
        <v>0</v>
      </c>
      <c r="BD364">
        <v>0</v>
      </c>
      <c r="BE364">
        <v>1</v>
      </c>
      <c r="BF364" s="18">
        <v>0</v>
      </c>
      <c r="BG364">
        <v>0</v>
      </c>
      <c r="BH364">
        <v>1</v>
      </c>
      <c r="BI364" s="18">
        <v>0</v>
      </c>
      <c r="BJ364">
        <v>787</v>
      </c>
      <c r="BK364">
        <v>29</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6"/>
        <v>12.586198851033611</v>
      </c>
      <c r="H365" s="16">
        <f t="shared" si="77"/>
        <v>13.565669578740508</v>
      </c>
      <c r="I365" s="11">
        <f t="shared" si="84"/>
        <v>0.24177116993399661</v>
      </c>
      <c r="J365" s="33">
        <f t="shared" si="85"/>
        <v>9.0550999975279618E-3</v>
      </c>
      <c r="K365" s="33">
        <f t="shared" si="86"/>
        <v>110.43500350885131</v>
      </c>
      <c r="L365" s="8">
        <v>1</v>
      </c>
      <c r="M365" s="9">
        <v>0</v>
      </c>
      <c r="N365" s="8">
        <v>0</v>
      </c>
      <c r="O365" s="9">
        <v>0</v>
      </c>
      <c r="P365" s="9">
        <v>1</v>
      </c>
      <c r="Q365" s="9">
        <v>0</v>
      </c>
      <c r="R365" s="9">
        <v>0</v>
      </c>
      <c r="S365" s="8">
        <v>11501</v>
      </c>
      <c r="T365" s="9">
        <v>17</v>
      </c>
      <c r="U365" s="9">
        <f t="shared" si="78"/>
        <v>11483</v>
      </c>
      <c r="V365" s="9">
        <f t="shared" si="79"/>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9"/>
        <v>0.10799999999999998</v>
      </c>
      <c r="AO365" s="42">
        <v>0.57999999999999996</v>
      </c>
      <c r="AP365" s="18">
        <v>0.42</v>
      </c>
      <c r="AQ365">
        <v>1</v>
      </c>
      <c r="AR365" s="40">
        <v>0</v>
      </c>
      <c r="AS365" t="s">
        <v>98</v>
      </c>
      <c r="AT365" s="40" t="s">
        <v>98</v>
      </c>
      <c r="AU365">
        <v>0</v>
      </c>
      <c r="AV365" s="18">
        <v>1</v>
      </c>
      <c r="AW365">
        <f t="shared" si="90"/>
        <v>0.52700000000000002</v>
      </c>
      <c r="AX365" s="18">
        <v>0.47299999999999998</v>
      </c>
      <c r="AY365" s="18" t="s">
        <v>20</v>
      </c>
      <c r="AZ365">
        <v>0</v>
      </c>
      <c r="BA365">
        <v>0</v>
      </c>
      <c r="BB365">
        <v>0</v>
      </c>
      <c r="BC365">
        <v>0</v>
      </c>
      <c r="BD365">
        <v>0</v>
      </c>
      <c r="BE365">
        <v>1</v>
      </c>
      <c r="BF365" s="18">
        <v>0</v>
      </c>
      <c r="BG365">
        <v>0</v>
      </c>
      <c r="BH365">
        <v>1</v>
      </c>
      <c r="BI365" s="18">
        <v>0</v>
      </c>
      <c r="BJ365">
        <v>787</v>
      </c>
      <c r="BK365">
        <v>29</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6"/>
        <v>10.966291492584544</v>
      </c>
      <c r="H366" s="16">
        <f t="shared" si="77"/>
        <v>11.865167844435737</v>
      </c>
      <c r="I366" s="11">
        <f t="shared" si="84"/>
        <v>0.23064086478003865</v>
      </c>
      <c r="J366" s="33">
        <f t="shared" si="85"/>
        <v>9.0803490070881371E-3</v>
      </c>
      <c r="K366" s="33">
        <f t="shared" si="86"/>
        <v>110.12792561380606</v>
      </c>
      <c r="L366" s="8">
        <v>1</v>
      </c>
      <c r="M366" s="9">
        <v>0</v>
      </c>
      <c r="N366" s="8">
        <v>0</v>
      </c>
      <c r="O366" s="9">
        <v>0</v>
      </c>
      <c r="P366" s="9">
        <v>1</v>
      </c>
      <c r="Q366" s="9">
        <v>0</v>
      </c>
      <c r="R366" s="9">
        <v>0</v>
      </c>
      <c r="S366" s="8">
        <v>11501</v>
      </c>
      <c r="T366" s="9">
        <v>17</v>
      </c>
      <c r="U366" s="9">
        <f t="shared" si="78"/>
        <v>11483</v>
      </c>
      <c r="V366" s="9">
        <f t="shared" si="79"/>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9"/>
        <v>0.10799999999999998</v>
      </c>
      <c r="AO366" s="42">
        <v>0.57999999999999996</v>
      </c>
      <c r="AP366" s="18">
        <v>0.42</v>
      </c>
      <c r="AQ366">
        <v>1</v>
      </c>
      <c r="AR366" s="40">
        <v>0</v>
      </c>
      <c r="AS366" t="s">
        <v>98</v>
      </c>
      <c r="AT366" s="40" t="s">
        <v>98</v>
      </c>
      <c r="AU366">
        <v>0</v>
      </c>
      <c r="AV366" s="18">
        <v>1</v>
      </c>
      <c r="AW366">
        <f t="shared" si="90"/>
        <v>0.52700000000000002</v>
      </c>
      <c r="AX366" s="18">
        <v>0.47299999999999998</v>
      </c>
      <c r="AY366" s="18" t="s">
        <v>20</v>
      </c>
      <c r="AZ366">
        <v>0</v>
      </c>
      <c r="BA366">
        <v>0</v>
      </c>
      <c r="BB366">
        <v>0</v>
      </c>
      <c r="BC366">
        <v>0</v>
      </c>
      <c r="BD366">
        <v>0</v>
      </c>
      <c r="BE366">
        <v>1</v>
      </c>
      <c r="BF366" s="18">
        <v>0</v>
      </c>
      <c r="BG366">
        <v>0</v>
      </c>
      <c r="BH366">
        <v>1</v>
      </c>
      <c r="BI366" s="18">
        <v>0</v>
      </c>
      <c r="BJ366">
        <v>787</v>
      </c>
      <c r="BK366">
        <v>29</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6"/>
        <v>15.181602708287016</v>
      </c>
      <c r="H367" s="16">
        <f t="shared" si="77"/>
        <v>16.057464402995883</v>
      </c>
      <c r="I367" s="11">
        <f t="shared" si="84"/>
        <v>0.31580601670891845</v>
      </c>
      <c r="J367" s="33">
        <f t="shared" si="85"/>
        <v>8.8543743002500487E-3</v>
      </c>
      <c r="K367" s="33">
        <f t="shared" si="86"/>
        <v>112.93852801905605</v>
      </c>
      <c r="L367" s="8">
        <v>1</v>
      </c>
      <c r="M367" s="9">
        <v>0</v>
      </c>
      <c r="N367" s="8">
        <v>0</v>
      </c>
      <c r="O367" s="9">
        <v>0</v>
      </c>
      <c r="P367" s="9">
        <v>1</v>
      </c>
      <c r="Q367" s="9">
        <v>0</v>
      </c>
      <c r="R367" s="9">
        <v>0</v>
      </c>
      <c r="S367" s="8">
        <v>11501</v>
      </c>
      <c r="T367" s="9">
        <v>17</v>
      </c>
      <c r="U367" s="9">
        <f t="shared" si="78"/>
        <v>11483</v>
      </c>
      <c r="V367" s="9">
        <f t="shared" si="79"/>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9"/>
        <v>0.10799999999999998</v>
      </c>
      <c r="AO367" s="42">
        <v>0.57999999999999996</v>
      </c>
      <c r="AP367" s="18">
        <v>0.42</v>
      </c>
      <c r="AQ367">
        <v>1</v>
      </c>
      <c r="AR367" s="40">
        <v>0</v>
      </c>
      <c r="AS367" t="s">
        <v>98</v>
      </c>
      <c r="AT367" s="40" t="s">
        <v>98</v>
      </c>
      <c r="AU367">
        <v>0</v>
      </c>
      <c r="AV367" s="18">
        <v>1</v>
      </c>
      <c r="AW367">
        <f t="shared" si="90"/>
        <v>0.52700000000000002</v>
      </c>
      <c r="AX367" s="18">
        <v>0.47299999999999998</v>
      </c>
      <c r="AY367" s="18" t="s">
        <v>20</v>
      </c>
      <c r="AZ367">
        <v>0</v>
      </c>
      <c r="BA367">
        <v>0</v>
      </c>
      <c r="BB367">
        <v>0</v>
      </c>
      <c r="BC367">
        <v>0</v>
      </c>
      <c r="BD367">
        <v>0</v>
      </c>
      <c r="BE367">
        <v>1</v>
      </c>
      <c r="BF367" s="18">
        <v>0</v>
      </c>
      <c r="BG367">
        <v>0</v>
      </c>
      <c r="BH367">
        <v>1</v>
      </c>
      <c r="BI367" s="18">
        <v>0</v>
      </c>
      <c r="BJ367">
        <v>787</v>
      </c>
      <c r="BK367">
        <v>29</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6"/>
        <v>14.778795039689083</v>
      </c>
      <c r="H368" s="16">
        <f t="shared" si="77"/>
        <v>15.440038665625956</v>
      </c>
      <c r="I368" s="11">
        <f t="shared" si="84"/>
        <v>0.39228566159909373</v>
      </c>
      <c r="J368" s="33">
        <f t="shared" si="85"/>
        <v>8.5839313260195563E-3</v>
      </c>
      <c r="K368" s="33">
        <f t="shared" si="86"/>
        <v>116.49673815176114</v>
      </c>
      <c r="L368" s="8">
        <v>1</v>
      </c>
      <c r="M368" s="9">
        <v>0</v>
      </c>
      <c r="N368" s="8">
        <v>0</v>
      </c>
      <c r="O368" s="9">
        <v>0</v>
      </c>
      <c r="P368" s="9">
        <v>1</v>
      </c>
      <c r="Q368" s="9">
        <v>0</v>
      </c>
      <c r="R368" s="9">
        <v>0</v>
      </c>
      <c r="S368" s="8">
        <v>11501</v>
      </c>
      <c r="T368" s="9">
        <v>17</v>
      </c>
      <c r="U368" s="9">
        <f t="shared" si="78"/>
        <v>11483</v>
      </c>
      <c r="V368" s="9">
        <f t="shared" si="79"/>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9"/>
        <v>0.10799999999999998</v>
      </c>
      <c r="AO368" s="42">
        <v>0.57999999999999996</v>
      </c>
      <c r="AP368" s="18">
        <v>0.42</v>
      </c>
      <c r="AQ368">
        <v>1</v>
      </c>
      <c r="AR368" s="40">
        <v>0</v>
      </c>
      <c r="AS368" t="s">
        <v>98</v>
      </c>
      <c r="AT368" s="40" t="s">
        <v>98</v>
      </c>
      <c r="AU368">
        <v>0</v>
      </c>
      <c r="AV368" s="18">
        <v>1</v>
      </c>
      <c r="AW368">
        <f t="shared" si="90"/>
        <v>0.52700000000000002</v>
      </c>
      <c r="AX368" s="18">
        <v>0.47299999999999998</v>
      </c>
      <c r="AY368" s="18" t="s">
        <v>20</v>
      </c>
      <c r="AZ368">
        <v>0</v>
      </c>
      <c r="BA368">
        <v>0</v>
      </c>
      <c r="BB368">
        <v>0</v>
      </c>
      <c r="BC368">
        <v>0</v>
      </c>
      <c r="BD368">
        <v>0</v>
      </c>
      <c r="BE368">
        <v>1</v>
      </c>
      <c r="BF368" s="18">
        <v>0</v>
      </c>
      <c r="BG368">
        <v>0</v>
      </c>
      <c r="BH368">
        <v>1</v>
      </c>
      <c r="BI368" s="18">
        <v>0</v>
      </c>
      <c r="BJ368">
        <v>787</v>
      </c>
      <c r="BK368">
        <v>29</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6"/>
        <v>15.600000000000001</v>
      </c>
      <c r="H369" s="16">
        <f t="shared" si="77"/>
        <v>17.600000000000001</v>
      </c>
      <c r="I369" s="11">
        <f t="shared" si="84"/>
        <v>0.34745373685855596</v>
      </c>
      <c r="J369" s="33">
        <f t="shared" si="85"/>
        <v>2.0930948003527464E-2</v>
      </c>
      <c r="K369" s="33">
        <f t="shared" si="86"/>
        <v>47.776144674931651</v>
      </c>
      <c r="L369" s="8">
        <v>1</v>
      </c>
      <c r="M369" s="9">
        <v>0</v>
      </c>
      <c r="N369" s="8">
        <v>0</v>
      </c>
      <c r="O369" s="9">
        <v>0</v>
      </c>
      <c r="P369" s="9">
        <v>1</v>
      </c>
      <c r="Q369" s="9">
        <v>0</v>
      </c>
      <c r="R369" s="9">
        <v>0</v>
      </c>
      <c r="S369" s="8">
        <v>2018</v>
      </c>
      <c r="T369" s="9">
        <v>10</v>
      </c>
      <c r="U369" s="9">
        <f t="shared" si="78"/>
        <v>2007</v>
      </c>
      <c r="V369" s="9">
        <f t="shared" si="79"/>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9"/>
        <v>0.127</v>
      </c>
      <c r="AO369" s="42">
        <v>0.16</v>
      </c>
      <c r="AP369" s="18">
        <v>0.84</v>
      </c>
      <c r="AQ369">
        <v>0</v>
      </c>
      <c r="AR369" s="40">
        <v>1</v>
      </c>
      <c r="AS369" t="s">
        <v>98</v>
      </c>
      <c r="AT369" s="40" t="s">
        <v>98</v>
      </c>
      <c r="AU369">
        <v>0</v>
      </c>
      <c r="AV369" s="18">
        <v>1</v>
      </c>
      <c r="AW369">
        <f t="shared" si="90"/>
        <v>0.499</v>
      </c>
      <c r="AX369" s="18">
        <v>0.501</v>
      </c>
      <c r="AY369" s="18" t="s">
        <v>20</v>
      </c>
      <c r="AZ369">
        <v>0</v>
      </c>
      <c r="BA369">
        <v>0</v>
      </c>
      <c r="BB369">
        <v>0</v>
      </c>
      <c r="BC369">
        <v>0</v>
      </c>
      <c r="BD369">
        <v>0</v>
      </c>
      <c r="BE369">
        <v>1</v>
      </c>
      <c r="BF369" s="18">
        <v>0</v>
      </c>
      <c r="BG369">
        <v>0</v>
      </c>
      <c r="BH369">
        <v>1</v>
      </c>
      <c r="BI369" s="18">
        <v>0</v>
      </c>
      <c r="BJ369">
        <v>787</v>
      </c>
      <c r="BK369">
        <v>29</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6"/>
        <v>0.11497470948973053</v>
      </c>
      <c r="H370" s="16">
        <f t="shared" si="77"/>
        <v>0.25598142867524903</v>
      </c>
      <c r="I370" s="11">
        <f t="shared" si="84"/>
        <v>5.8724269196420084E-2</v>
      </c>
      <c r="J370" s="33">
        <f t="shared" si="85"/>
        <v>2.2322090630218158E-2</v>
      </c>
      <c r="K370" s="33">
        <f t="shared" si="86"/>
        <v>44.79867126093766</v>
      </c>
      <c r="L370" s="8">
        <v>1</v>
      </c>
      <c r="M370" s="9">
        <v>0</v>
      </c>
      <c r="N370" s="8">
        <v>0</v>
      </c>
      <c r="O370" s="9">
        <v>0</v>
      </c>
      <c r="P370" s="9">
        <v>1</v>
      </c>
      <c r="Q370" s="9">
        <v>0</v>
      </c>
      <c r="R370" s="9">
        <v>0</v>
      </c>
      <c r="S370" s="8">
        <v>2018</v>
      </c>
      <c r="T370" s="9">
        <v>17</v>
      </c>
      <c r="U370" s="9">
        <f t="shared" si="78"/>
        <v>2000</v>
      </c>
      <c r="V370" s="9">
        <f t="shared" si="79"/>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9"/>
        <v>0.127</v>
      </c>
      <c r="AO370" s="42">
        <v>0.16</v>
      </c>
      <c r="AP370" s="18">
        <v>0.84</v>
      </c>
      <c r="AQ370">
        <v>0</v>
      </c>
      <c r="AR370" s="40">
        <v>1</v>
      </c>
      <c r="AS370" t="s">
        <v>98</v>
      </c>
      <c r="AT370" s="40" t="s">
        <v>98</v>
      </c>
      <c r="AU370">
        <v>0</v>
      </c>
      <c r="AV370" s="18">
        <v>1</v>
      </c>
      <c r="AW370">
        <f t="shared" si="90"/>
        <v>0.499</v>
      </c>
      <c r="AX370" s="18">
        <v>0.501</v>
      </c>
      <c r="AY370" s="18" t="s">
        <v>20</v>
      </c>
      <c r="AZ370">
        <v>0</v>
      </c>
      <c r="BA370">
        <v>0</v>
      </c>
      <c r="BB370">
        <v>0</v>
      </c>
      <c r="BC370">
        <v>0</v>
      </c>
      <c r="BD370">
        <v>0</v>
      </c>
      <c r="BE370">
        <v>1</v>
      </c>
      <c r="BF370" s="18">
        <v>0</v>
      </c>
      <c r="BG370">
        <v>0</v>
      </c>
      <c r="BH370">
        <v>1</v>
      </c>
      <c r="BI370" s="18">
        <v>0</v>
      </c>
      <c r="BJ370">
        <v>787</v>
      </c>
      <c r="BK370">
        <v>29</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6"/>
        <v>15.368202669224264</v>
      </c>
      <c r="H371" s="16">
        <f t="shared" si="77"/>
        <v>20.628712140352373</v>
      </c>
      <c r="I371" s="11">
        <f t="shared" si="84"/>
        <v>0.15125061508817442</v>
      </c>
      <c r="J371" s="33">
        <f t="shared" si="85"/>
        <v>2.2103430179900234E-2</v>
      </c>
      <c r="K371" s="33">
        <f t="shared" si="86"/>
        <v>45.241846711618116</v>
      </c>
      <c r="L371" s="8">
        <v>1</v>
      </c>
      <c r="M371" s="9">
        <v>0</v>
      </c>
      <c r="N371" s="8">
        <v>0</v>
      </c>
      <c r="O371" s="9">
        <v>0</v>
      </c>
      <c r="P371" s="9">
        <v>1</v>
      </c>
      <c r="Q371" s="9">
        <v>0</v>
      </c>
      <c r="R371" s="9">
        <v>0</v>
      </c>
      <c r="S371" s="8">
        <v>2018</v>
      </c>
      <c r="T371" s="9">
        <v>17</v>
      </c>
      <c r="U371" s="9">
        <f t="shared" si="78"/>
        <v>2000</v>
      </c>
      <c r="V371" s="9">
        <f t="shared" si="79"/>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9"/>
        <v>0.127</v>
      </c>
      <c r="AO371" s="42">
        <v>0.16</v>
      </c>
      <c r="AP371" s="18">
        <v>0.84</v>
      </c>
      <c r="AQ371">
        <v>0</v>
      </c>
      <c r="AR371" s="40">
        <v>1</v>
      </c>
      <c r="AS371" t="s">
        <v>98</v>
      </c>
      <c r="AT371" s="40" t="s">
        <v>98</v>
      </c>
      <c r="AU371">
        <v>0</v>
      </c>
      <c r="AV371" s="18">
        <v>1</v>
      </c>
      <c r="AW371">
        <f t="shared" si="90"/>
        <v>0.499</v>
      </c>
      <c r="AX371" s="18">
        <v>0.501</v>
      </c>
      <c r="AY371" s="18" t="s">
        <v>20</v>
      </c>
      <c r="AZ371">
        <v>0</v>
      </c>
      <c r="BA371">
        <v>0</v>
      </c>
      <c r="BB371">
        <v>0</v>
      </c>
      <c r="BC371">
        <v>0</v>
      </c>
      <c r="BD371">
        <v>0</v>
      </c>
      <c r="BE371">
        <v>1</v>
      </c>
      <c r="BF371" s="18">
        <v>0</v>
      </c>
      <c r="BG371">
        <v>0</v>
      </c>
      <c r="BH371">
        <v>1</v>
      </c>
      <c r="BI371" s="18">
        <v>0</v>
      </c>
      <c r="BJ371">
        <v>787</v>
      </c>
      <c r="BK371">
        <v>29</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6"/>
        <v>23.756480403544693</v>
      </c>
      <c r="H372" s="16">
        <f t="shared" si="77"/>
        <v>27.873126827263626</v>
      </c>
      <c r="I372" s="11">
        <f t="shared" si="84"/>
        <v>0.27002293046576503</v>
      </c>
      <c r="J372" s="33">
        <f t="shared" si="85"/>
        <v>2.1530067545443055E-2</v>
      </c>
      <c r="K372" s="33">
        <f t="shared" si="86"/>
        <v>46.446672677144242</v>
      </c>
      <c r="L372" s="8">
        <v>1</v>
      </c>
      <c r="M372" s="9">
        <v>0</v>
      </c>
      <c r="N372" s="8">
        <v>0</v>
      </c>
      <c r="O372" s="9">
        <v>0</v>
      </c>
      <c r="P372" s="9">
        <v>1</v>
      </c>
      <c r="Q372" s="9">
        <v>0</v>
      </c>
      <c r="R372" s="9">
        <v>0</v>
      </c>
      <c r="S372" s="8">
        <v>2018</v>
      </c>
      <c r="T372" s="9">
        <v>17</v>
      </c>
      <c r="U372" s="9">
        <f t="shared" si="78"/>
        <v>2000</v>
      </c>
      <c r="V372" s="9">
        <f t="shared" si="79"/>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9"/>
        <v>0.127</v>
      </c>
      <c r="AO372" s="42">
        <v>0.16</v>
      </c>
      <c r="AP372" s="18">
        <v>0.84</v>
      </c>
      <c r="AQ372">
        <v>0</v>
      </c>
      <c r="AR372" s="40">
        <v>1</v>
      </c>
      <c r="AS372" t="s">
        <v>98</v>
      </c>
      <c r="AT372" s="40" t="s">
        <v>98</v>
      </c>
      <c r="AU372">
        <v>0</v>
      </c>
      <c r="AV372" s="18">
        <v>1</v>
      </c>
      <c r="AW372">
        <f t="shared" si="90"/>
        <v>0.499</v>
      </c>
      <c r="AX372" s="18">
        <v>0.501</v>
      </c>
      <c r="AY372" s="18" t="s">
        <v>20</v>
      </c>
      <c r="AZ372">
        <v>0</v>
      </c>
      <c r="BA372">
        <v>0</v>
      </c>
      <c r="BB372">
        <v>0</v>
      </c>
      <c r="BC372">
        <v>0</v>
      </c>
      <c r="BD372">
        <v>0</v>
      </c>
      <c r="BE372">
        <v>1</v>
      </c>
      <c r="BF372" s="18">
        <v>0</v>
      </c>
      <c r="BG372">
        <v>0</v>
      </c>
      <c r="BH372">
        <v>1</v>
      </c>
      <c r="BI372" s="18">
        <v>0</v>
      </c>
      <c r="BJ372">
        <v>787</v>
      </c>
      <c r="BK372">
        <v>29</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6"/>
        <v>15.483341386656811</v>
      </c>
      <c r="H373" s="16">
        <f t="shared" si="77"/>
        <v>17.640045932679811</v>
      </c>
      <c r="I373" s="11">
        <f t="shared" si="84"/>
        <v>0.32480297517394513</v>
      </c>
      <c r="J373" s="33">
        <f t="shared" si="85"/>
        <v>2.1148321769329046E-2</v>
      </c>
      <c r="K373" s="33">
        <f t="shared" si="86"/>
        <v>47.285075899037928</v>
      </c>
      <c r="L373" s="8">
        <v>1</v>
      </c>
      <c r="M373" s="9">
        <v>0</v>
      </c>
      <c r="N373" s="8">
        <v>0</v>
      </c>
      <c r="O373" s="9">
        <v>0</v>
      </c>
      <c r="P373" s="9">
        <v>1</v>
      </c>
      <c r="Q373" s="9">
        <v>0</v>
      </c>
      <c r="R373" s="9">
        <v>0</v>
      </c>
      <c r="S373" s="8">
        <v>2018</v>
      </c>
      <c r="T373" s="9">
        <v>17</v>
      </c>
      <c r="U373" s="9">
        <f t="shared" si="78"/>
        <v>2000</v>
      </c>
      <c r="V373" s="9">
        <f t="shared" si="79"/>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9"/>
        <v>0.127</v>
      </c>
      <c r="AO373" s="42">
        <v>0.16</v>
      </c>
      <c r="AP373" s="18">
        <v>0.84</v>
      </c>
      <c r="AQ373">
        <v>0</v>
      </c>
      <c r="AR373" s="40">
        <v>1</v>
      </c>
      <c r="AS373" t="s">
        <v>98</v>
      </c>
      <c r="AT373" s="40" t="s">
        <v>98</v>
      </c>
      <c r="AU373">
        <v>0</v>
      </c>
      <c r="AV373" s="18">
        <v>1</v>
      </c>
      <c r="AW373">
        <f t="shared" si="90"/>
        <v>0.499</v>
      </c>
      <c r="AX373" s="18">
        <v>0.501</v>
      </c>
      <c r="AY373" s="18" t="s">
        <v>20</v>
      </c>
      <c r="AZ373">
        <v>0</v>
      </c>
      <c r="BA373">
        <v>0</v>
      </c>
      <c r="BB373">
        <v>0</v>
      </c>
      <c r="BC373">
        <v>0</v>
      </c>
      <c r="BD373">
        <v>0</v>
      </c>
      <c r="BE373">
        <v>1</v>
      </c>
      <c r="BF373" s="18">
        <v>0</v>
      </c>
      <c r="BG373">
        <v>0</v>
      </c>
      <c r="BH373">
        <v>1</v>
      </c>
      <c r="BI373" s="18">
        <v>0</v>
      </c>
      <c r="BJ373">
        <v>787</v>
      </c>
      <c r="BK373">
        <v>29</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6"/>
        <v>21.220322609547193</v>
      </c>
      <c r="H374" s="16">
        <f t="shared" si="77"/>
        <v>23.357900894391687</v>
      </c>
      <c r="I374" s="11">
        <f t="shared" si="84"/>
        <v>0.42262879884855609</v>
      </c>
      <c r="J374" s="33">
        <f t="shared" si="85"/>
        <v>2.0265548331883678E-2</v>
      </c>
      <c r="K374" s="33">
        <f t="shared" si="86"/>
        <v>49.34482815975452</v>
      </c>
      <c r="L374" s="8">
        <v>1</v>
      </c>
      <c r="M374" s="9">
        <v>0</v>
      </c>
      <c r="N374" s="8">
        <v>0</v>
      </c>
      <c r="O374" s="9">
        <v>0</v>
      </c>
      <c r="P374" s="9">
        <v>1</v>
      </c>
      <c r="Q374" s="9">
        <v>0</v>
      </c>
      <c r="R374" s="9">
        <v>0</v>
      </c>
      <c r="S374" s="8">
        <v>2018</v>
      </c>
      <c r="T374" s="9">
        <v>17</v>
      </c>
      <c r="U374" s="9">
        <f t="shared" si="78"/>
        <v>2000</v>
      </c>
      <c r="V374" s="9">
        <f t="shared" si="79"/>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9"/>
        <v>0.127</v>
      </c>
      <c r="AO374" s="42">
        <v>0.16</v>
      </c>
      <c r="AP374" s="18">
        <v>0.84</v>
      </c>
      <c r="AQ374">
        <v>0</v>
      </c>
      <c r="AR374" s="40">
        <v>1</v>
      </c>
      <c r="AS374" t="s">
        <v>98</v>
      </c>
      <c r="AT374" s="40" t="s">
        <v>98</v>
      </c>
      <c r="AU374">
        <v>0</v>
      </c>
      <c r="AV374" s="18">
        <v>1</v>
      </c>
      <c r="AW374">
        <f t="shared" si="90"/>
        <v>0.499</v>
      </c>
      <c r="AX374" s="18">
        <v>0.501</v>
      </c>
      <c r="AY374" s="18" t="s">
        <v>20</v>
      </c>
      <c r="AZ374">
        <v>0</v>
      </c>
      <c r="BA374">
        <v>0</v>
      </c>
      <c r="BB374">
        <v>0</v>
      </c>
      <c r="BC374">
        <v>0</v>
      </c>
      <c r="BD374">
        <v>0</v>
      </c>
      <c r="BE374">
        <v>1</v>
      </c>
      <c r="BF374" s="18">
        <v>0</v>
      </c>
      <c r="BG374">
        <v>0</v>
      </c>
      <c r="BH374">
        <v>1</v>
      </c>
      <c r="BI374" s="18">
        <v>0</v>
      </c>
      <c r="BJ374">
        <v>787</v>
      </c>
      <c r="BK374">
        <v>29</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6"/>
        <v>28.112928504150549</v>
      </c>
      <c r="H375" s="16">
        <f t="shared" si="77"/>
        <v>30.322590623090573</v>
      </c>
      <c r="I375" s="11">
        <f t="shared" si="84"/>
        <v>0.50900314512121547</v>
      </c>
      <c r="J375" s="33">
        <f t="shared" si="85"/>
        <v>1.9247282902486663E-2</v>
      </c>
      <c r="K375" s="33">
        <f t="shared" si="86"/>
        <v>51.955385342769837</v>
      </c>
      <c r="L375" s="8">
        <v>1</v>
      </c>
      <c r="M375" s="9">
        <v>0</v>
      </c>
      <c r="N375" s="8">
        <v>0</v>
      </c>
      <c r="O375" s="9">
        <v>0</v>
      </c>
      <c r="P375" s="9">
        <v>1</v>
      </c>
      <c r="Q375" s="9">
        <v>0</v>
      </c>
      <c r="R375" s="9">
        <v>0</v>
      </c>
      <c r="S375" s="8">
        <v>2018</v>
      </c>
      <c r="T375" s="9">
        <v>17</v>
      </c>
      <c r="U375" s="9">
        <f t="shared" si="78"/>
        <v>2000</v>
      </c>
      <c r="V375" s="9">
        <f t="shared" si="79"/>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9"/>
        <v>0.127</v>
      </c>
      <c r="AO375" s="42">
        <v>0.16</v>
      </c>
      <c r="AP375" s="18">
        <v>0.84</v>
      </c>
      <c r="AQ375">
        <v>0</v>
      </c>
      <c r="AR375" s="40">
        <v>1</v>
      </c>
      <c r="AS375" t="s">
        <v>98</v>
      </c>
      <c r="AT375" s="40" t="s">
        <v>98</v>
      </c>
      <c r="AU375">
        <v>0</v>
      </c>
      <c r="AV375" s="18">
        <v>1</v>
      </c>
      <c r="AW375">
        <f t="shared" si="90"/>
        <v>0.499</v>
      </c>
      <c r="AX375" s="18">
        <v>0.501</v>
      </c>
      <c r="AY375" s="18" t="s">
        <v>20</v>
      </c>
      <c r="AZ375">
        <v>0</v>
      </c>
      <c r="BA375">
        <v>0</v>
      </c>
      <c r="BB375">
        <v>0</v>
      </c>
      <c r="BC375">
        <v>0</v>
      </c>
      <c r="BD375">
        <v>0</v>
      </c>
      <c r="BE375">
        <v>1</v>
      </c>
      <c r="BF375" s="18">
        <v>0</v>
      </c>
      <c r="BG375">
        <v>0</v>
      </c>
      <c r="BH375">
        <v>1</v>
      </c>
      <c r="BI375" s="18">
        <v>0</v>
      </c>
      <c r="BJ375">
        <v>787</v>
      </c>
      <c r="BK375">
        <v>29</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6"/>
        <v>5.9</v>
      </c>
      <c r="H376" s="16">
        <f t="shared" si="77"/>
        <v>6.9</v>
      </c>
      <c r="I376" s="11">
        <f t="shared" si="84"/>
        <v>0.1185752579115172</v>
      </c>
      <c r="J376" s="33">
        <f t="shared" si="85"/>
        <v>9.2636920243372809E-3</v>
      </c>
      <c r="K376" s="33">
        <f t="shared" si="86"/>
        <v>107.94832096887843</v>
      </c>
      <c r="L376" s="8">
        <v>1</v>
      </c>
      <c r="M376" s="9">
        <v>0</v>
      </c>
      <c r="N376" s="8">
        <v>0</v>
      </c>
      <c r="O376" s="9">
        <v>0</v>
      </c>
      <c r="P376" s="9">
        <v>1</v>
      </c>
      <c r="Q376" s="9">
        <v>0</v>
      </c>
      <c r="R376" s="9">
        <v>0</v>
      </c>
      <c r="S376" s="8">
        <v>11501</v>
      </c>
      <c r="T376" s="9">
        <v>11</v>
      </c>
      <c r="U376" s="9">
        <f t="shared" si="78"/>
        <v>11489</v>
      </c>
      <c r="V376" s="9">
        <f t="shared" si="79"/>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9"/>
        <v>0.10799999999999998</v>
      </c>
      <c r="AO376" s="42">
        <v>0.57999999999999996</v>
      </c>
      <c r="AP376" s="18">
        <v>0.42</v>
      </c>
      <c r="AQ376">
        <v>1</v>
      </c>
      <c r="AR376" s="40">
        <v>0</v>
      </c>
      <c r="AS376" t="s">
        <v>98</v>
      </c>
      <c r="AT376" s="40" t="s">
        <v>98</v>
      </c>
      <c r="AU376">
        <v>0</v>
      </c>
      <c r="AV376" s="18">
        <v>1</v>
      </c>
      <c r="AW376">
        <f t="shared" si="90"/>
        <v>0.52700000000000002</v>
      </c>
      <c r="AX376" s="18">
        <v>0.47299999999999998</v>
      </c>
      <c r="AY376" s="18" t="s">
        <v>20</v>
      </c>
      <c r="AZ376">
        <v>0</v>
      </c>
      <c r="BA376">
        <v>0</v>
      </c>
      <c r="BB376">
        <v>0</v>
      </c>
      <c r="BC376">
        <v>0</v>
      </c>
      <c r="BD376">
        <v>0</v>
      </c>
      <c r="BE376">
        <v>1</v>
      </c>
      <c r="BF376" s="18">
        <v>0</v>
      </c>
      <c r="BG376">
        <v>0</v>
      </c>
      <c r="BH376">
        <v>1</v>
      </c>
      <c r="BI376" s="18">
        <v>0</v>
      </c>
      <c r="BJ376">
        <v>787</v>
      </c>
      <c r="BK376">
        <v>29</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6"/>
        <v>2.4777242616841573</v>
      </c>
      <c r="H377" s="16">
        <f t="shared" si="77"/>
        <v>3.2460108544544388</v>
      </c>
      <c r="I377" s="11">
        <f t="shared" si="84"/>
        <v>6.9358608038768421E-2</v>
      </c>
      <c r="J377" s="33">
        <f t="shared" si="85"/>
        <v>9.3098802736601913E-3</v>
      </c>
      <c r="K377" s="33">
        <f t="shared" si="86"/>
        <v>107.41276693205515</v>
      </c>
      <c r="L377" s="8">
        <v>1</v>
      </c>
      <c r="M377" s="9">
        <v>0</v>
      </c>
      <c r="N377" s="8">
        <v>0</v>
      </c>
      <c r="O377" s="9">
        <v>0</v>
      </c>
      <c r="P377" s="9">
        <v>1</v>
      </c>
      <c r="Q377" s="9">
        <v>0</v>
      </c>
      <c r="R377" s="9">
        <v>0</v>
      </c>
      <c r="S377" s="8">
        <v>11501</v>
      </c>
      <c r="T377" s="9">
        <v>18</v>
      </c>
      <c r="U377" s="9">
        <f t="shared" si="78"/>
        <v>11482</v>
      </c>
      <c r="V377" s="9">
        <f t="shared" si="79"/>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9"/>
        <v>0.10799999999999998</v>
      </c>
      <c r="AO377" s="42">
        <v>0.57999999999999996</v>
      </c>
      <c r="AP377" s="18">
        <v>0.42</v>
      </c>
      <c r="AQ377">
        <v>1</v>
      </c>
      <c r="AR377" s="40">
        <v>0</v>
      </c>
      <c r="AS377" t="s">
        <v>98</v>
      </c>
      <c r="AT377" s="40" t="s">
        <v>98</v>
      </c>
      <c r="AU377">
        <v>0</v>
      </c>
      <c r="AV377" s="18">
        <v>1</v>
      </c>
      <c r="AW377">
        <f t="shared" si="90"/>
        <v>0.52700000000000002</v>
      </c>
      <c r="AX377" s="18">
        <v>0.47299999999999998</v>
      </c>
      <c r="AY377" s="18" t="s">
        <v>20</v>
      </c>
      <c r="AZ377">
        <v>0</v>
      </c>
      <c r="BA377">
        <v>0</v>
      </c>
      <c r="BB377">
        <v>0</v>
      </c>
      <c r="BC377">
        <v>0</v>
      </c>
      <c r="BD377">
        <v>0</v>
      </c>
      <c r="BE377">
        <v>1</v>
      </c>
      <c r="BF377" s="18">
        <v>0</v>
      </c>
      <c r="BG377">
        <v>0</v>
      </c>
      <c r="BH377">
        <v>1</v>
      </c>
      <c r="BI377" s="18">
        <v>0</v>
      </c>
      <c r="BJ377">
        <v>787</v>
      </c>
      <c r="BK377">
        <v>29</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6"/>
        <v>4.1184475558850488</v>
      </c>
      <c r="H378" s="16">
        <f t="shared" si="77"/>
        <v>4.7448274122934206</v>
      </c>
      <c r="I378" s="11">
        <f t="shared" si="84"/>
        <v>0.13091629410405495</v>
      </c>
      <c r="J378" s="33">
        <f t="shared" si="85"/>
        <v>9.2520349190144836E-3</v>
      </c>
      <c r="K378" s="33">
        <f t="shared" si="86"/>
        <v>108.08433050169668</v>
      </c>
      <c r="L378" s="8">
        <v>1</v>
      </c>
      <c r="M378" s="9">
        <v>0</v>
      </c>
      <c r="N378" s="8">
        <v>0</v>
      </c>
      <c r="O378" s="9">
        <v>0</v>
      </c>
      <c r="P378" s="9">
        <v>1</v>
      </c>
      <c r="Q378" s="9">
        <v>0</v>
      </c>
      <c r="R378" s="9">
        <v>0</v>
      </c>
      <c r="S378" s="8">
        <v>11501</v>
      </c>
      <c r="T378" s="9">
        <v>18</v>
      </c>
      <c r="U378" s="9">
        <f t="shared" si="78"/>
        <v>11482</v>
      </c>
      <c r="V378" s="9">
        <f t="shared" si="79"/>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9"/>
        <v>0.10799999999999998</v>
      </c>
      <c r="AO378" s="42">
        <v>0.57999999999999996</v>
      </c>
      <c r="AP378" s="18">
        <v>0.42</v>
      </c>
      <c r="AQ378">
        <v>1</v>
      </c>
      <c r="AR378" s="40">
        <v>0</v>
      </c>
      <c r="AS378" t="s">
        <v>98</v>
      </c>
      <c r="AT378" s="40" t="s">
        <v>98</v>
      </c>
      <c r="AU378">
        <v>0</v>
      </c>
      <c r="AV378" s="18">
        <v>1</v>
      </c>
      <c r="AW378">
        <f t="shared" si="90"/>
        <v>0.52700000000000002</v>
      </c>
      <c r="AX378" s="18">
        <v>0.47299999999999998</v>
      </c>
      <c r="AY378" s="18" t="s">
        <v>20</v>
      </c>
      <c r="AZ378">
        <v>0</v>
      </c>
      <c r="BA378">
        <v>0</v>
      </c>
      <c r="BB378">
        <v>0</v>
      </c>
      <c r="BC378">
        <v>0</v>
      </c>
      <c r="BD378">
        <v>0</v>
      </c>
      <c r="BE378">
        <v>1</v>
      </c>
      <c r="BF378" s="18">
        <v>0</v>
      </c>
      <c r="BG378">
        <v>0</v>
      </c>
      <c r="BH378">
        <v>1</v>
      </c>
      <c r="BI378" s="18">
        <v>0</v>
      </c>
      <c r="BJ378">
        <v>787</v>
      </c>
      <c r="BK378">
        <v>29</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6"/>
        <v>11.994249986610363</v>
      </c>
      <c r="H379" s="16">
        <f t="shared" si="77"/>
        <v>12.929474157106299</v>
      </c>
      <c r="I379" s="11">
        <f t="shared" si="84"/>
        <v>0.2413547072811752</v>
      </c>
      <c r="J379" s="33">
        <f t="shared" si="85"/>
        <v>9.0564618116763685E-3</v>
      </c>
      <c r="K379" s="33">
        <f t="shared" si="86"/>
        <v>110.41839747071137</v>
      </c>
      <c r="L379" s="8">
        <v>1</v>
      </c>
      <c r="M379" s="9">
        <v>0</v>
      </c>
      <c r="N379" s="8">
        <v>0</v>
      </c>
      <c r="O379" s="9">
        <v>0</v>
      </c>
      <c r="P379" s="9">
        <v>1</v>
      </c>
      <c r="Q379" s="9">
        <v>0</v>
      </c>
      <c r="R379" s="9">
        <v>0</v>
      </c>
      <c r="S379" s="8">
        <v>11501</v>
      </c>
      <c r="T379" s="9">
        <v>18</v>
      </c>
      <c r="U379" s="9">
        <f t="shared" si="78"/>
        <v>11482</v>
      </c>
      <c r="V379" s="9">
        <f t="shared" si="79"/>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9"/>
        <v>0.10799999999999998</v>
      </c>
      <c r="AO379" s="42">
        <v>0.57999999999999996</v>
      </c>
      <c r="AP379" s="18">
        <v>0.42</v>
      </c>
      <c r="AQ379">
        <v>1</v>
      </c>
      <c r="AR379" s="40">
        <v>0</v>
      </c>
      <c r="AS379" t="s">
        <v>98</v>
      </c>
      <c r="AT379" s="40" t="s">
        <v>98</v>
      </c>
      <c r="AU379">
        <v>0</v>
      </c>
      <c r="AV379" s="18">
        <v>1</v>
      </c>
      <c r="AW379">
        <f t="shared" si="90"/>
        <v>0.52700000000000002</v>
      </c>
      <c r="AX379" s="18">
        <v>0.47299999999999998</v>
      </c>
      <c r="AY379" s="18" t="s">
        <v>20</v>
      </c>
      <c r="AZ379">
        <v>0</v>
      </c>
      <c r="BA379">
        <v>0</v>
      </c>
      <c r="BB379">
        <v>0</v>
      </c>
      <c r="BC379">
        <v>0</v>
      </c>
      <c r="BD379">
        <v>0</v>
      </c>
      <c r="BE379">
        <v>1</v>
      </c>
      <c r="BF379" s="18">
        <v>0</v>
      </c>
      <c r="BG379">
        <v>0</v>
      </c>
      <c r="BH379">
        <v>1</v>
      </c>
      <c r="BI379" s="18">
        <v>0</v>
      </c>
      <c r="BJ379">
        <v>787</v>
      </c>
      <c r="BK379">
        <v>29</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6"/>
        <v>9.6122936838546789</v>
      </c>
      <c r="H380" s="16">
        <f t="shared" si="77"/>
        <v>10.433857246577302</v>
      </c>
      <c r="I380" s="11">
        <f t="shared" si="84"/>
        <v>0.22202599264435696</v>
      </c>
      <c r="J380" s="33">
        <f t="shared" si="85"/>
        <v>9.099425928047418E-3</v>
      </c>
      <c r="K380" s="33">
        <f t="shared" si="86"/>
        <v>109.89704272636274</v>
      </c>
      <c r="L380" s="8">
        <v>1</v>
      </c>
      <c r="M380" s="9">
        <v>0</v>
      </c>
      <c r="N380" s="8">
        <v>0</v>
      </c>
      <c r="O380" s="9">
        <v>0</v>
      </c>
      <c r="P380" s="9">
        <v>1</v>
      </c>
      <c r="Q380" s="9">
        <v>0</v>
      </c>
      <c r="R380" s="9">
        <v>0</v>
      </c>
      <c r="S380" s="8">
        <v>11501</v>
      </c>
      <c r="T380" s="9">
        <v>18</v>
      </c>
      <c r="U380" s="9">
        <f t="shared" si="78"/>
        <v>11482</v>
      </c>
      <c r="V380" s="9">
        <f t="shared" si="79"/>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9"/>
        <v>0.10799999999999998</v>
      </c>
      <c r="AO380" s="42">
        <v>0.57999999999999996</v>
      </c>
      <c r="AP380" s="18">
        <v>0.42</v>
      </c>
      <c r="AQ380">
        <v>1</v>
      </c>
      <c r="AR380" s="40">
        <v>0</v>
      </c>
      <c r="AS380" t="s">
        <v>98</v>
      </c>
      <c r="AT380" s="40" t="s">
        <v>98</v>
      </c>
      <c r="AU380">
        <v>0</v>
      </c>
      <c r="AV380" s="18">
        <v>1</v>
      </c>
      <c r="AW380">
        <f t="shared" si="90"/>
        <v>0.52700000000000002</v>
      </c>
      <c r="AX380" s="18">
        <v>0.47299999999999998</v>
      </c>
      <c r="AY380" s="18" t="s">
        <v>20</v>
      </c>
      <c r="AZ380">
        <v>0</v>
      </c>
      <c r="BA380">
        <v>0</v>
      </c>
      <c r="BB380">
        <v>0</v>
      </c>
      <c r="BC380">
        <v>0</v>
      </c>
      <c r="BD380">
        <v>0</v>
      </c>
      <c r="BE380">
        <v>1</v>
      </c>
      <c r="BF380" s="18">
        <v>0</v>
      </c>
      <c r="BG380">
        <v>0</v>
      </c>
      <c r="BH380">
        <v>1</v>
      </c>
      <c r="BI380" s="18">
        <v>0</v>
      </c>
      <c r="BJ380">
        <v>787</v>
      </c>
      <c r="BK380">
        <v>29</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6"/>
        <v>12.856413648150758</v>
      </c>
      <c r="H381" s="16">
        <f t="shared" si="77"/>
        <v>13.659103366037384</v>
      </c>
      <c r="I381" s="11">
        <f t="shared" si="84"/>
        <v>0.29459777921080099</v>
      </c>
      <c r="J381" s="33">
        <f t="shared" si="85"/>
        <v>8.9181971506801534E-3</v>
      </c>
      <c r="K381" s="33">
        <f t="shared" si="86"/>
        <v>112.13028632403963</v>
      </c>
      <c r="L381" s="8">
        <v>1</v>
      </c>
      <c r="M381" s="9">
        <v>0</v>
      </c>
      <c r="N381" s="8">
        <v>0</v>
      </c>
      <c r="O381" s="9">
        <v>0</v>
      </c>
      <c r="P381" s="9">
        <v>1</v>
      </c>
      <c r="Q381" s="9">
        <v>0</v>
      </c>
      <c r="R381" s="9">
        <v>0</v>
      </c>
      <c r="S381" s="8">
        <v>11501</v>
      </c>
      <c r="T381" s="9">
        <v>18</v>
      </c>
      <c r="U381" s="9">
        <f t="shared" si="78"/>
        <v>11482</v>
      </c>
      <c r="V381" s="9">
        <f t="shared" si="79"/>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9"/>
        <v>0.10799999999999998</v>
      </c>
      <c r="AO381" s="42">
        <v>0.57999999999999996</v>
      </c>
      <c r="AP381" s="18">
        <v>0.42</v>
      </c>
      <c r="AQ381">
        <v>1</v>
      </c>
      <c r="AR381" s="40">
        <v>0</v>
      </c>
      <c r="AS381" t="s">
        <v>98</v>
      </c>
      <c r="AT381" s="40" t="s">
        <v>98</v>
      </c>
      <c r="AU381">
        <v>0</v>
      </c>
      <c r="AV381" s="18">
        <v>1</v>
      </c>
      <c r="AW381">
        <f t="shared" si="90"/>
        <v>0.52700000000000002</v>
      </c>
      <c r="AX381" s="18">
        <v>0.47299999999999998</v>
      </c>
      <c r="AY381" s="18" t="s">
        <v>20</v>
      </c>
      <c r="AZ381">
        <v>0</v>
      </c>
      <c r="BA381">
        <v>0</v>
      </c>
      <c r="BB381">
        <v>0</v>
      </c>
      <c r="BC381">
        <v>0</v>
      </c>
      <c r="BD381">
        <v>0</v>
      </c>
      <c r="BE381">
        <v>1</v>
      </c>
      <c r="BF381" s="18">
        <v>0</v>
      </c>
      <c r="BG381">
        <v>0</v>
      </c>
      <c r="BH381">
        <v>1</v>
      </c>
      <c r="BI381" s="18">
        <v>0</v>
      </c>
      <c r="BJ381">
        <v>787</v>
      </c>
      <c r="BK381">
        <v>29</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6"/>
        <v>12.603795432949518</v>
      </c>
      <c r="H382" s="16">
        <f t="shared" si="77"/>
        <v>13.225693233917422</v>
      </c>
      <c r="I382" s="11">
        <f t="shared" si="84"/>
        <v>0.36140520779130031</v>
      </c>
      <c r="J382" s="33">
        <f t="shared" si="85"/>
        <v>8.7015700110264927E-3</v>
      </c>
      <c r="K382" s="33">
        <f t="shared" si="86"/>
        <v>114.92178983020486</v>
      </c>
      <c r="L382" s="8">
        <v>1</v>
      </c>
      <c r="M382" s="9">
        <v>0</v>
      </c>
      <c r="N382" s="8">
        <v>0</v>
      </c>
      <c r="O382" s="9">
        <v>0</v>
      </c>
      <c r="P382" s="9">
        <v>1</v>
      </c>
      <c r="Q382" s="9">
        <v>0</v>
      </c>
      <c r="R382" s="9">
        <v>0</v>
      </c>
      <c r="S382" s="8">
        <v>11501</v>
      </c>
      <c r="T382" s="9">
        <v>18</v>
      </c>
      <c r="U382" s="9">
        <f t="shared" si="78"/>
        <v>11482</v>
      </c>
      <c r="V382" s="9">
        <f t="shared" si="79"/>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9"/>
        <v>0.10799999999999998</v>
      </c>
      <c r="AO382" s="42">
        <v>0.57999999999999996</v>
      </c>
      <c r="AP382" s="18">
        <v>0.42</v>
      </c>
      <c r="AQ382">
        <v>1</v>
      </c>
      <c r="AR382" s="40">
        <v>0</v>
      </c>
      <c r="AS382" t="s">
        <v>98</v>
      </c>
      <c r="AT382" s="40" t="s">
        <v>98</v>
      </c>
      <c r="AU382">
        <v>0</v>
      </c>
      <c r="AV382" s="18">
        <v>1</v>
      </c>
      <c r="AW382">
        <f t="shared" si="90"/>
        <v>0.52700000000000002</v>
      </c>
      <c r="AX382" s="18">
        <v>0.47299999999999998</v>
      </c>
      <c r="AY382" s="18" t="s">
        <v>20</v>
      </c>
      <c r="AZ382">
        <v>0</v>
      </c>
      <c r="BA382">
        <v>0</v>
      </c>
      <c r="BB382">
        <v>0</v>
      </c>
      <c r="BC382">
        <v>0</v>
      </c>
      <c r="BD382">
        <v>0</v>
      </c>
      <c r="BE382">
        <v>1</v>
      </c>
      <c r="BF382" s="18">
        <v>0</v>
      </c>
      <c r="BG382">
        <v>0</v>
      </c>
      <c r="BH382">
        <v>1</v>
      </c>
      <c r="BI382" s="18">
        <v>0</v>
      </c>
      <c r="BJ382">
        <v>787</v>
      </c>
      <c r="BK382">
        <v>29</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6"/>
        <v>13.2</v>
      </c>
      <c r="H383" s="16">
        <f t="shared" si="77"/>
        <v>15.2</v>
      </c>
      <c r="I383" s="11">
        <f t="shared" si="84"/>
        <v>0.30222070698132025</v>
      </c>
      <c r="J383" s="33">
        <f t="shared" si="85"/>
        <v>2.1283148378966214E-2</v>
      </c>
      <c r="K383" s="33">
        <f t="shared" si="86"/>
        <v>46.985529687340971</v>
      </c>
      <c r="L383" s="8">
        <v>1</v>
      </c>
      <c r="M383" s="9">
        <v>0</v>
      </c>
      <c r="N383" s="8">
        <v>0</v>
      </c>
      <c r="O383" s="9">
        <v>0</v>
      </c>
      <c r="P383" s="9">
        <v>1</v>
      </c>
      <c r="Q383" s="9">
        <v>0</v>
      </c>
      <c r="R383" s="9">
        <v>0</v>
      </c>
      <c r="S383" s="8">
        <v>2018</v>
      </c>
      <c r="T383" s="9">
        <v>11</v>
      </c>
      <c r="U383" s="9">
        <f t="shared" si="78"/>
        <v>2006</v>
      </c>
      <c r="V383" s="9">
        <f t="shared" si="79"/>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9"/>
        <v>0.127</v>
      </c>
      <c r="AO383" s="42">
        <v>0.16</v>
      </c>
      <c r="AP383" s="18">
        <v>0.84</v>
      </c>
      <c r="AQ383">
        <v>0</v>
      </c>
      <c r="AR383" s="40">
        <v>1</v>
      </c>
      <c r="AS383" t="s">
        <v>98</v>
      </c>
      <c r="AT383" s="40" t="s">
        <v>98</v>
      </c>
      <c r="AU383">
        <v>0</v>
      </c>
      <c r="AV383" s="18">
        <v>1</v>
      </c>
      <c r="AW383">
        <f t="shared" si="90"/>
        <v>0.499</v>
      </c>
      <c r="AX383" s="18">
        <v>0.501</v>
      </c>
      <c r="AY383" s="18" t="s">
        <v>20</v>
      </c>
      <c r="AZ383">
        <v>0</v>
      </c>
      <c r="BA383">
        <v>0</v>
      </c>
      <c r="BB383">
        <v>0</v>
      </c>
      <c r="BC383">
        <v>0</v>
      </c>
      <c r="BD383">
        <v>0</v>
      </c>
      <c r="BE383">
        <v>1</v>
      </c>
      <c r="BF383" s="18">
        <v>0</v>
      </c>
      <c r="BG383">
        <v>0</v>
      </c>
      <c r="BH383">
        <v>1</v>
      </c>
      <c r="BI383" s="18">
        <v>0</v>
      </c>
      <c r="BJ383">
        <v>787</v>
      </c>
      <c r="BK383">
        <v>29</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6"/>
        <v>0.13560955812310843</v>
      </c>
      <c r="H384" s="16">
        <f t="shared" si="77"/>
        <v>0.28155706462331476</v>
      </c>
      <c r="I384" s="11">
        <f t="shared" si="84"/>
        <v>6.3800016035671786E-2</v>
      </c>
      <c r="J384" s="33">
        <f t="shared" si="85"/>
        <v>2.2320705318602366E-2</v>
      </c>
      <c r="K384" s="33">
        <f t="shared" si="86"/>
        <v>44.801451644388088</v>
      </c>
      <c r="L384" s="8">
        <v>1</v>
      </c>
      <c r="M384" s="9">
        <v>0</v>
      </c>
      <c r="N384" s="8">
        <v>0</v>
      </c>
      <c r="O384" s="9">
        <v>0</v>
      </c>
      <c r="P384" s="9">
        <v>1</v>
      </c>
      <c r="Q384" s="9">
        <v>0</v>
      </c>
      <c r="R384" s="9">
        <v>0</v>
      </c>
      <c r="S384" s="8">
        <v>2018</v>
      </c>
      <c r="T384" s="9">
        <v>18</v>
      </c>
      <c r="U384" s="9">
        <f t="shared" si="78"/>
        <v>1999</v>
      </c>
      <c r="V384" s="9">
        <f t="shared" si="79"/>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9"/>
        <v>0.127</v>
      </c>
      <c r="AO384" s="42">
        <v>0.16</v>
      </c>
      <c r="AP384" s="18">
        <v>0.84</v>
      </c>
      <c r="AQ384">
        <v>0</v>
      </c>
      <c r="AR384" s="40">
        <v>1</v>
      </c>
      <c r="AS384" t="s">
        <v>98</v>
      </c>
      <c r="AT384" s="40" t="s">
        <v>98</v>
      </c>
      <c r="AU384">
        <v>0</v>
      </c>
      <c r="AV384" s="18">
        <v>1</v>
      </c>
      <c r="AW384">
        <f t="shared" si="90"/>
        <v>0.499</v>
      </c>
      <c r="AX384" s="18">
        <v>0.501</v>
      </c>
      <c r="AY384" s="18" t="s">
        <v>20</v>
      </c>
      <c r="AZ384">
        <v>0</v>
      </c>
      <c r="BA384">
        <v>0</v>
      </c>
      <c r="BB384">
        <v>0</v>
      </c>
      <c r="BC384">
        <v>0</v>
      </c>
      <c r="BD384">
        <v>0</v>
      </c>
      <c r="BE384">
        <v>1</v>
      </c>
      <c r="BF384" s="18">
        <v>0</v>
      </c>
      <c r="BG384">
        <v>0</v>
      </c>
      <c r="BH384">
        <v>1</v>
      </c>
      <c r="BI384" s="18">
        <v>0</v>
      </c>
      <c r="BJ384">
        <v>787</v>
      </c>
      <c r="BK384">
        <v>29</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6"/>
        <v>15.346698987230452</v>
      </c>
      <c r="H385" s="16">
        <f t="shared" si="77"/>
        <v>20.599847784815449</v>
      </c>
      <c r="I385" s="11">
        <f t="shared" si="84"/>
        <v>0.15128757625528103</v>
      </c>
      <c r="J385" s="33">
        <f t="shared" si="85"/>
        <v>2.2108831603068209E-2</v>
      </c>
      <c r="K385" s="33">
        <f t="shared" si="86"/>
        <v>45.230793646337354</v>
      </c>
      <c r="L385" s="8">
        <v>1</v>
      </c>
      <c r="M385" s="9">
        <v>0</v>
      </c>
      <c r="N385" s="8">
        <v>0</v>
      </c>
      <c r="O385" s="9">
        <v>0</v>
      </c>
      <c r="P385" s="9">
        <v>1</v>
      </c>
      <c r="Q385" s="9">
        <v>0</v>
      </c>
      <c r="R385" s="9">
        <v>0</v>
      </c>
      <c r="S385" s="8">
        <v>2018</v>
      </c>
      <c r="T385" s="9">
        <v>18</v>
      </c>
      <c r="U385" s="9">
        <f t="shared" si="78"/>
        <v>1999</v>
      </c>
      <c r="V385" s="9">
        <f t="shared" si="79"/>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9"/>
        <v>0.127</v>
      </c>
      <c r="AO385" s="42">
        <v>0.16</v>
      </c>
      <c r="AP385" s="18">
        <v>0.84</v>
      </c>
      <c r="AQ385">
        <v>0</v>
      </c>
      <c r="AR385" s="40">
        <v>1</v>
      </c>
      <c r="AS385" t="s">
        <v>98</v>
      </c>
      <c r="AT385" s="40" t="s">
        <v>98</v>
      </c>
      <c r="AU385">
        <v>0</v>
      </c>
      <c r="AV385" s="18">
        <v>1</v>
      </c>
      <c r="AW385">
        <f t="shared" si="90"/>
        <v>0.499</v>
      </c>
      <c r="AX385" s="18">
        <v>0.501</v>
      </c>
      <c r="AY385" s="18" t="s">
        <v>20</v>
      </c>
      <c r="AZ385">
        <v>0</v>
      </c>
      <c r="BA385">
        <v>0</v>
      </c>
      <c r="BB385">
        <v>0</v>
      </c>
      <c r="BC385">
        <v>0</v>
      </c>
      <c r="BD385">
        <v>0</v>
      </c>
      <c r="BE385">
        <v>1</v>
      </c>
      <c r="BF385" s="18">
        <v>0</v>
      </c>
      <c r="BG385">
        <v>0</v>
      </c>
      <c r="BH385">
        <v>1</v>
      </c>
      <c r="BI385" s="18">
        <v>0</v>
      </c>
      <c r="BJ385">
        <v>787</v>
      </c>
      <c r="BK385">
        <v>29</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91">D386-E386</f>
        <v>24.058429372087158</v>
      </c>
      <c r="H386" s="16">
        <f t="shared" ref="H386:H449" si="92">D386+E386</f>
        <v>27.485556063267662</v>
      </c>
      <c r="I386" s="11">
        <f t="shared" si="84"/>
        <v>0.31883291842716138</v>
      </c>
      <c r="J386" s="33">
        <f t="shared" si="85"/>
        <v>2.1198997235848498E-2</v>
      </c>
      <c r="K386" s="33">
        <f t="shared" si="86"/>
        <v>47.172042567605658</v>
      </c>
      <c r="L386" s="8">
        <v>1</v>
      </c>
      <c r="M386" s="9">
        <v>0</v>
      </c>
      <c r="N386" s="8">
        <v>0</v>
      </c>
      <c r="O386" s="9">
        <v>0</v>
      </c>
      <c r="P386" s="9">
        <v>1</v>
      </c>
      <c r="Q386" s="9">
        <v>0</v>
      </c>
      <c r="R386" s="9">
        <v>0</v>
      </c>
      <c r="S386" s="8">
        <v>2018</v>
      </c>
      <c r="T386" s="9">
        <v>18</v>
      </c>
      <c r="U386" s="9">
        <f t="shared" ref="U386:U449" si="93">S386-T386-1</f>
        <v>1999</v>
      </c>
      <c r="V386" s="9">
        <f t="shared" ref="V386:V449" si="94">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9"/>
        <v>0.127</v>
      </c>
      <c r="AO386" s="42">
        <v>0.16</v>
      </c>
      <c r="AP386" s="18">
        <v>0.84</v>
      </c>
      <c r="AQ386">
        <v>0</v>
      </c>
      <c r="AR386" s="40">
        <v>1</v>
      </c>
      <c r="AS386" t="s">
        <v>98</v>
      </c>
      <c r="AT386" s="40" t="s">
        <v>98</v>
      </c>
      <c r="AU386">
        <v>0</v>
      </c>
      <c r="AV386" s="18">
        <v>1</v>
      </c>
      <c r="AW386">
        <f t="shared" si="90"/>
        <v>0.499</v>
      </c>
      <c r="AX386" s="18">
        <v>0.501</v>
      </c>
      <c r="AY386" s="18" t="s">
        <v>20</v>
      </c>
      <c r="AZ386">
        <v>0</v>
      </c>
      <c r="BA386">
        <v>0</v>
      </c>
      <c r="BB386">
        <v>0</v>
      </c>
      <c r="BC386">
        <v>0</v>
      </c>
      <c r="BD386">
        <v>0</v>
      </c>
      <c r="BE386">
        <v>1</v>
      </c>
      <c r="BF386" s="18">
        <v>0</v>
      </c>
      <c r="BG386">
        <v>0</v>
      </c>
      <c r="BH386">
        <v>1</v>
      </c>
      <c r="BI386" s="18">
        <v>0</v>
      </c>
      <c r="BJ386">
        <v>787</v>
      </c>
      <c r="BK386">
        <v>29</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91"/>
        <v>15.213021537545485</v>
      </c>
      <c r="H387" s="16">
        <f t="shared" si="92"/>
        <v>17.910365781791135</v>
      </c>
      <c r="I387" s="11">
        <f t="shared" si="84"/>
        <v>0.26484970841855721</v>
      </c>
      <c r="J387" s="33">
        <f t="shared" si="85"/>
        <v>2.1567565832130067E-2</v>
      </c>
      <c r="K387" s="33">
        <f t="shared" si="86"/>
        <v>46.365918517807884</v>
      </c>
      <c r="L387" s="8">
        <v>1</v>
      </c>
      <c r="M387" s="9">
        <v>0</v>
      </c>
      <c r="N387" s="8">
        <v>0</v>
      </c>
      <c r="O387" s="9">
        <v>0</v>
      </c>
      <c r="P387" s="9">
        <v>1</v>
      </c>
      <c r="Q387" s="9">
        <v>0</v>
      </c>
      <c r="R387" s="9">
        <v>0</v>
      </c>
      <c r="S387" s="8">
        <v>2018</v>
      </c>
      <c r="T387" s="9">
        <v>18</v>
      </c>
      <c r="U387" s="9">
        <f t="shared" si="93"/>
        <v>1999</v>
      </c>
      <c r="V387" s="9">
        <f t="shared" si="94"/>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9"/>
        <v>0.127</v>
      </c>
      <c r="AO387" s="42">
        <v>0.16</v>
      </c>
      <c r="AP387" s="18">
        <v>0.84</v>
      </c>
      <c r="AQ387">
        <v>0</v>
      </c>
      <c r="AR387" s="40">
        <v>1</v>
      </c>
      <c r="AS387" t="s">
        <v>98</v>
      </c>
      <c r="AT387" s="40" t="s">
        <v>98</v>
      </c>
      <c r="AU387">
        <v>0</v>
      </c>
      <c r="AV387" s="18">
        <v>1</v>
      </c>
      <c r="AW387">
        <f t="shared" si="90"/>
        <v>0.499</v>
      </c>
      <c r="AX387" s="18">
        <v>0.501</v>
      </c>
      <c r="AY387" s="18" t="s">
        <v>20</v>
      </c>
      <c r="AZ387">
        <v>0</v>
      </c>
      <c r="BA387">
        <v>0</v>
      </c>
      <c r="BB387">
        <v>0</v>
      </c>
      <c r="BC387">
        <v>0</v>
      </c>
      <c r="BD387">
        <v>0</v>
      </c>
      <c r="BE387">
        <v>1</v>
      </c>
      <c r="BF387" s="18">
        <v>0</v>
      </c>
      <c r="BG387">
        <v>0</v>
      </c>
      <c r="BH387">
        <v>1</v>
      </c>
      <c r="BI387" s="18">
        <v>0</v>
      </c>
      <c r="BJ387">
        <v>787</v>
      </c>
      <c r="BK387">
        <v>29</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91"/>
        <v>20.539421339690985</v>
      </c>
      <c r="H388" s="16">
        <f t="shared" si="92"/>
        <v>24.038802164247894</v>
      </c>
      <c r="I388" s="11">
        <f t="shared" si="84"/>
        <v>0.27401611438895046</v>
      </c>
      <c r="J388" s="33">
        <f t="shared" si="85"/>
        <v>2.1510205228962527E-2</v>
      </c>
      <c r="K388" s="33">
        <f t="shared" si="86"/>
        <v>46.489561087662004</v>
      </c>
      <c r="L388" s="8">
        <v>1</v>
      </c>
      <c r="M388" s="9">
        <v>0</v>
      </c>
      <c r="N388" s="8">
        <v>0</v>
      </c>
      <c r="O388" s="9">
        <v>0</v>
      </c>
      <c r="P388" s="9">
        <v>1</v>
      </c>
      <c r="Q388" s="9">
        <v>0</v>
      </c>
      <c r="R388" s="9">
        <v>0</v>
      </c>
      <c r="S388" s="8">
        <v>2018</v>
      </c>
      <c r="T388" s="9">
        <v>18</v>
      </c>
      <c r="U388" s="9">
        <f t="shared" si="93"/>
        <v>1999</v>
      </c>
      <c r="V388" s="9">
        <f t="shared" si="94"/>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9"/>
        <v>0.127</v>
      </c>
      <c r="AO388" s="42">
        <v>0.16</v>
      </c>
      <c r="AP388" s="18">
        <v>0.84</v>
      </c>
      <c r="AQ388">
        <v>0</v>
      </c>
      <c r="AR388" s="40">
        <v>1</v>
      </c>
      <c r="AS388" t="s">
        <v>98</v>
      </c>
      <c r="AT388" s="40" t="s">
        <v>98</v>
      </c>
      <c r="AU388">
        <v>0</v>
      </c>
      <c r="AV388" s="18">
        <v>1</v>
      </c>
      <c r="AW388">
        <f t="shared" si="90"/>
        <v>0.499</v>
      </c>
      <c r="AX388" s="18">
        <v>0.501</v>
      </c>
      <c r="AY388" s="18" t="s">
        <v>20</v>
      </c>
      <c r="AZ388">
        <v>0</v>
      </c>
      <c r="BA388">
        <v>0</v>
      </c>
      <c r="BB388">
        <v>0</v>
      </c>
      <c r="BC388">
        <v>0</v>
      </c>
      <c r="BD388">
        <v>0</v>
      </c>
      <c r="BE388">
        <v>1</v>
      </c>
      <c r="BF388" s="18">
        <v>0</v>
      </c>
      <c r="BG388">
        <v>0</v>
      </c>
      <c r="BH388">
        <v>1</v>
      </c>
      <c r="BI388" s="18">
        <v>0</v>
      </c>
      <c r="BJ388">
        <v>787</v>
      </c>
      <c r="BK388">
        <v>29</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91"/>
        <v>26.404495231497535</v>
      </c>
      <c r="H389" s="16">
        <f t="shared" si="92"/>
        <v>32.031023895743587</v>
      </c>
      <c r="I389" s="11">
        <f t="shared" si="84"/>
        <v>0.22626543579702987</v>
      </c>
      <c r="J389" s="33">
        <f t="shared" si="85"/>
        <v>2.1786218027224344E-2</v>
      </c>
      <c r="K389" s="33">
        <f t="shared" si="86"/>
        <v>45.900578005342041</v>
      </c>
      <c r="L389" s="8">
        <v>1</v>
      </c>
      <c r="M389" s="9">
        <v>0</v>
      </c>
      <c r="N389" s="8">
        <v>0</v>
      </c>
      <c r="O389" s="9">
        <v>0</v>
      </c>
      <c r="P389" s="9">
        <v>1</v>
      </c>
      <c r="Q389" s="9">
        <v>0</v>
      </c>
      <c r="R389" s="9">
        <v>0</v>
      </c>
      <c r="S389" s="8">
        <v>2018</v>
      </c>
      <c r="T389" s="9">
        <v>18</v>
      </c>
      <c r="U389" s="9">
        <f t="shared" si="93"/>
        <v>1999</v>
      </c>
      <c r="V389" s="9">
        <f t="shared" si="94"/>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9"/>
        <v>0.127</v>
      </c>
      <c r="AO389" s="42">
        <v>0.16</v>
      </c>
      <c r="AP389" s="18">
        <v>0.84</v>
      </c>
      <c r="AQ389">
        <v>0</v>
      </c>
      <c r="AR389" s="40">
        <v>1</v>
      </c>
      <c r="AS389" t="s">
        <v>98</v>
      </c>
      <c r="AT389" s="40" t="s">
        <v>98</v>
      </c>
      <c r="AU389">
        <v>0</v>
      </c>
      <c r="AV389" s="18">
        <v>1</v>
      </c>
      <c r="AW389">
        <f t="shared" si="90"/>
        <v>0.499</v>
      </c>
      <c r="AX389" s="18">
        <v>0.501</v>
      </c>
      <c r="AY389" s="18" t="s">
        <v>20</v>
      </c>
      <c r="AZ389">
        <v>0</v>
      </c>
      <c r="BA389">
        <v>0</v>
      </c>
      <c r="BB389">
        <v>0</v>
      </c>
      <c r="BC389">
        <v>0</v>
      </c>
      <c r="BD389">
        <v>0</v>
      </c>
      <c r="BE389">
        <v>1</v>
      </c>
      <c r="BF389" s="18">
        <v>0</v>
      </c>
      <c r="BG389">
        <v>0</v>
      </c>
      <c r="BH389">
        <v>1</v>
      </c>
      <c r="BI389" s="18">
        <v>0</v>
      </c>
      <c r="BJ389">
        <v>787</v>
      </c>
      <c r="BK389">
        <v>29</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5">D390/E390</f>
        <v>9.9</v>
      </c>
      <c r="G390" s="7">
        <f t="shared" si="91"/>
        <v>8.9</v>
      </c>
      <c r="H390" s="16">
        <f t="shared" si="92"/>
        <v>10.9</v>
      </c>
      <c r="I390" s="11">
        <f t="shared" si="84"/>
        <v>0.15200201690536094</v>
      </c>
      <c r="J390" s="33">
        <f t="shared" si="85"/>
        <v>1.535373908134959E-2</v>
      </c>
      <c r="K390" s="33">
        <f t="shared" si="86"/>
        <v>65.13071472047578</v>
      </c>
      <c r="L390" s="8">
        <v>1</v>
      </c>
      <c r="M390" s="9">
        <v>0</v>
      </c>
      <c r="N390" s="8">
        <v>0</v>
      </c>
      <c r="O390" s="9">
        <v>0</v>
      </c>
      <c r="P390" s="9">
        <v>1</v>
      </c>
      <c r="Q390" s="9">
        <v>0</v>
      </c>
      <c r="R390" s="9">
        <v>0</v>
      </c>
      <c r="S390" s="8">
        <v>4155</v>
      </c>
      <c r="T390" s="9">
        <v>10</v>
      </c>
      <c r="U390" s="9">
        <f t="shared" si="93"/>
        <v>4144</v>
      </c>
      <c r="V390" s="9">
        <f t="shared" si="94"/>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9"/>
        <v>0.10799999999999998</v>
      </c>
      <c r="AO390" s="42">
        <v>0.57999999999999996</v>
      </c>
      <c r="AP390" s="18">
        <v>0.42</v>
      </c>
      <c r="AQ390">
        <v>1</v>
      </c>
      <c r="AR390" s="40">
        <v>0</v>
      </c>
      <c r="AS390" t="s">
        <v>98</v>
      </c>
      <c r="AT390" s="40" t="s">
        <v>98</v>
      </c>
      <c r="AU390">
        <v>0</v>
      </c>
      <c r="AV390" s="18">
        <v>1</v>
      </c>
      <c r="AW390">
        <f t="shared" si="90"/>
        <v>0.52700000000000002</v>
      </c>
      <c r="AX390" s="18">
        <v>0.47299999999999998</v>
      </c>
      <c r="AY390" s="18" t="s">
        <v>20</v>
      </c>
      <c r="AZ390">
        <v>0</v>
      </c>
      <c r="BA390">
        <v>0</v>
      </c>
      <c r="BB390">
        <v>0</v>
      </c>
      <c r="BC390">
        <v>0</v>
      </c>
      <c r="BD390">
        <v>0</v>
      </c>
      <c r="BE390">
        <v>1</v>
      </c>
      <c r="BF390" s="18">
        <v>0</v>
      </c>
      <c r="BG390">
        <v>0</v>
      </c>
      <c r="BH390">
        <v>1</v>
      </c>
      <c r="BI390" s="18">
        <v>0</v>
      </c>
      <c r="BJ390">
        <v>787</v>
      </c>
      <c r="BK390">
        <v>29</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5"/>
        <v>21.2</v>
      </c>
      <c r="G391" s="7">
        <f t="shared" si="91"/>
        <v>10.1</v>
      </c>
      <c r="H391" s="16">
        <f t="shared" si="92"/>
        <v>11.1</v>
      </c>
      <c r="I391" s="11">
        <f t="shared" si="84"/>
        <v>0.27304447275129468</v>
      </c>
      <c r="J391" s="33">
        <f t="shared" si="85"/>
        <v>1.2879456261853524E-2</v>
      </c>
      <c r="K391" s="33">
        <f t="shared" si="86"/>
        <v>77.643029307208252</v>
      </c>
      <c r="L391" s="8">
        <v>1</v>
      </c>
      <c r="M391" s="9">
        <v>0</v>
      </c>
      <c r="N391" s="8">
        <v>0</v>
      </c>
      <c r="O391" s="9">
        <v>0</v>
      </c>
      <c r="P391" s="9">
        <v>1</v>
      </c>
      <c r="Q391" s="9">
        <v>0</v>
      </c>
      <c r="R391" s="9">
        <v>0</v>
      </c>
      <c r="S391" s="8">
        <v>5590</v>
      </c>
      <c r="T391" s="9">
        <v>10</v>
      </c>
      <c r="U391" s="9">
        <f t="shared" si="93"/>
        <v>5579</v>
      </c>
      <c r="V391" s="9">
        <f t="shared" si="94"/>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9"/>
        <v>0.10799999999999998</v>
      </c>
      <c r="AO391" s="42">
        <v>0.57999999999999996</v>
      </c>
      <c r="AP391" s="18">
        <v>0.42</v>
      </c>
      <c r="AQ391">
        <v>1</v>
      </c>
      <c r="AR391" s="40">
        <v>0</v>
      </c>
      <c r="AS391" t="s">
        <v>98</v>
      </c>
      <c r="AT391" s="40" t="s">
        <v>98</v>
      </c>
      <c r="AU391">
        <v>0</v>
      </c>
      <c r="AV391" s="18">
        <v>1</v>
      </c>
      <c r="AW391">
        <f t="shared" si="90"/>
        <v>0.52700000000000002</v>
      </c>
      <c r="AX391" s="18">
        <v>0.47299999999999998</v>
      </c>
      <c r="AY391" s="18" t="s">
        <v>20</v>
      </c>
      <c r="AZ391">
        <v>0</v>
      </c>
      <c r="BA391">
        <v>0</v>
      </c>
      <c r="BB391">
        <v>0</v>
      </c>
      <c r="BC391">
        <v>0</v>
      </c>
      <c r="BD391">
        <v>0</v>
      </c>
      <c r="BE391">
        <v>1</v>
      </c>
      <c r="BF391" s="18">
        <v>0</v>
      </c>
      <c r="BG391">
        <v>0</v>
      </c>
      <c r="BH391">
        <v>1</v>
      </c>
      <c r="BI391" s="18">
        <v>0</v>
      </c>
      <c r="BJ391">
        <v>787</v>
      </c>
      <c r="BK391">
        <v>29</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5"/>
        <v>5.6333333333333329</v>
      </c>
      <c r="G392" s="7">
        <f t="shared" si="91"/>
        <v>13.899999999999999</v>
      </c>
      <c r="H392" s="16">
        <f t="shared" si="92"/>
        <v>19.899999999999999</v>
      </c>
      <c r="I392" s="11">
        <f t="shared" ref="I392:I455" si="96">IFERROR(F392/SQRT(F392^2+U392), "X")</f>
        <v>0.24805751063781942</v>
      </c>
      <c r="J392" s="33">
        <f t="shared" ref="J392:J455" si="97">IFERROR(SQRT((1-I392^2)/U392), "X")</f>
        <v>4.4033877628015285E-2</v>
      </c>
      <c r="K392" s="33">
        <f t="shared" ref="K392:K455" si="98">IFERROR(1/J392, "X")</f>
        <v>22.709787415219115</v>
      </c>
      <c r="L392" s="8">
        <v>1</v>
      </c>
      <c r="M392" s="9">
        <v>0</v>
      </c>
      <c r="N392" s="8">
        <v>0</v>
      </c>
      <c r="O392" s="9">
        <v>0</v>
      </c>
      <c r="P392" s="9">
        <v>1</v>
      </c>
      <c r="Q392" s="9">
        <v>0</v>
      </c>
      <c r="R392" s="9">
        <v>0</v>
      </c>
      <c r="S392" s="8">
        <v>493</v>
      </c>
      <c r="T392" s="9">
        <v>8</v>
      </c>
      <c r="U392" s="9">
        <f t="shared" si="93"/>
        <v>484</v>
      </c>
      <c r="V392" s="9">
        <f t="shared" si="94"/>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9"/>
        <v>0.127</v>
      </c>
      <c r="AO392" s="42">
        <v>0.16</v>
      </c>
      <c r="AP392" s="18">
        <v>0.84</v>
      </c>
      <c r="AQ392">
        <v>0</v>
      </c>
      <c r="AR392" s="40">
        <v>1</v>
      </c>
      <c r="AS392" t="s">
        <v>98</v>
      </c>
      <c r="AT392" s="40" t="s">
        <v>98</v>
      </c>
      <c r="AU392">
        <v>0</v>
      </c>
      <c r="AV392" s="18">
        <v>1</v>
      </c>
      <c r="AW392">
        <f t="shared" si="90"/>
        <v>0.499</v>
      </c>
      <c r="AX392" s="18">
        <v>0.501</v>
      </c>
      <c r="AY392" s="18" t="s">
        <v>20</v>
      </c>
      <c r="AZ392">
        <v>0</v>
      </c>
      <c r="BA392">
        <v>0</v>
      </c>
      <c r="BB392">
        <v>0</v>
      </c>
      <c r="BC392">
        <v>0</v>
      </c>
      <c r="BD392">
        <v>0</v>
      </c>
      <c r="BE392">
        <v>1</v>
      </c>
      <c r="BF392" s="18">
        <v>0</v>
      </c>
      <c r="BG392">
        <v>0</v>
      </c>
      <c r="BH392">
        <v>1</v>
      </c>
      <c r="BI392" s="18">
        <v>0</v>
      </c>
      <c r="BJ392">
        <v>787</v>
      </c>
      <c r="BK392">
        <v>29</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5"/>
        <v>17.600000000000001</v>
      </c>
      <c r="G393" s="55">
        <f t="shared" si="91"/>
        <v>16.600000000000001</v>
      </c>
      <c r="H393" s="56">
        <f t="shared" si="92"/>
        <v>18.600000000000001</v>
      </c>
      <c r="I393" s="11">
        <f t="shared" si="96"/>
        <v>0.5074849643669247</v>
      </c>
      <c r="J393" s="33">
        <f t="shared" si="97"/>
        <v>2.8834372975393447E-2</v>
      </c>
      <c r="K393" s="33">
        <f t="shared" si="98"/>
        <v>34.680830439884218</v>
      </c>
      <c r="L393" s="59">
        <v>1</v>
      </c>
      <c r="M393" s="60">
        <v>0</v>
      </c>
      <c r="N393" s="59">
        <v>0</v>
      </c>
      <c r="O393" s="60">
        <v>0</v>
      </c>
      <c r="P393" s="60">
        <v>1</v>
      </c>
      <c r="Q393" s="60">
        <v>0</v>
      </c>
      <c r="R393" s="60">
        <v>0</v>
      </c>
      <c r="S393" s="59">
        <v>903</v>
      </c>
      <c r="T393" s="60">
        <v>9</v>
      </c>
      <c r="U393" s="60">
        <f t="shared" si="93"/>
        <v>893</v>
      </c>
      <c r="V393" s="60">
        <f t="shared" si="94"/>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9"/>
        <v>0.127</v>
      </c>
      <c r="AO393" s="64">
        <v>0.16</v>
      </c>
      <c r="AP393" s="65">
        <v>0.84</v>
      </c>
      <c r="AQ393" s="51">
        <v>0</v>
      </c>
      <c r="AR393" s="66">
        <v>1</v>
      </c>
      <c r="AS393" s="51" t="s">
        <v>98</v>
      </c>
      <c r="AT393" s="66" t="s">
        <v>98</v>
      </c>
      <c r="AU393">
        <v>0</v>
      </c>
      <c r="AV393" s="65">
        <v>1</v>
      </c>
      <c r="AW393" s="51">
        <f t="shared" si="90"/>
        <v>0.499</v>
      </c>
      <c r="AX393" s="65">
        <v>0.501</v>
      </c>
      <c r="AY393" s="65" t="s">
        <v>20</v>
      </c>
      <c r="AZ393">
        <v>0</v>
      </c>
      <c r="BA393">
        <v>0</v>
      </c>
      <c r="BB393">
        <v>0</v>
      </c>
      <c r="BC393">
        <v>0</v>
      </c>
      <c r="BD393">
        <v>0</v>
      </c>
      <c r="BE393">
        <v>1</v>
      </c>
      <c r="BF393" s="65">
        <v>0</v>
      </c>
      <c r="BG393">
        <v>0</v>
      </c>
      <c r="BH393">
        <v>1</v>
      </c>
      <c r="BI393" s="65">
        <v>0</v>
      </c>
      <c r="BJ393">
        <v>787</v>
      </c>
      <c r="BK393">
        <v>29</v>
      </c>
      <c r="BL393" s="52">
        <v>32.451999999999998</v>
      </c>
      <c r="BM393" s="51">
        <v>0</v>
      </c>
      <c r="BN393" s="51">
        <v>0</v>
      </c>
      <c r="BO393" s="51">
        <v>0</v>
      </c>
      <c r="BP393" s="51">
        <v>0</v>
      </c>
      <c r="BQ393" s="51">
        <v>0</v>
      </c>
      <c r="BR393" s="51">
        <v>0</v>
      </c>
      <c r="BS393" s="51">
        <v>0</v>
      </c>
      <c r="BT393" s="65">
        <v>1</v>
      </c>
      <c r="BU393" s="51">
        <v>0</v>
      </c>
      <c r="BV393" s="51">
        <v>1</v>
      </c>
      <c r="BW393" s="51">
        <v>0</v>
      </c>
      <c r="BX393" s="65">
        <v>0</v>
      </c>
      <c r="BY393" s="51">
        <v>0</v>
      </c>
      <c r="BZ393" s="51">
        <v>0</v>
      </c>
      <c r="CA393" s="51">
        <v>1</v>
      </c>
      <c r="CB393" s="51">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5"/>
        <v>89.78102189781022</v>
      </c>
      <c r="G394" s="7">
        <f t="shared" si="91"/>
        <v>8.5140999999999991</v>
      </c>
      <c r="H394" s="16">
        <f t="shared" si="92"/>
        <v>8.7058999999999997</v>
      </c>
      <c r="I394" s="11">
        <f t="shared" si="96"/>
        <v>0.35823210569483238</v>
      </c>
      <c r="J394" s="33">
        <f t="shared" si="97"/>
        <v>3.9900649170887832E-3</v>
      </c>
      <c r="K394" s="33">
        <f t="shared" si="98"/>
        <v>250.62248880141439</v>
      </c>
      <c r="L394" s="8">
        <v>1</v>
      </c>
      <c r="M394" s="9">
        <v>0</v>
      </c>
      <c r="N394" s="8">
        <v>0</v>
      </c>
      <c r="O394" s="9">
        <v>0</v>
      </c>
      <c r="P394" s="9">
        <v>0</v>
      </c>
      <c r="Q394" s="9">
        <v>1</v>
      </c>
      <c r="R394" s="9">
        <v>0</v>
      </c>
      <c r="S394" s="8">
        <v>54759</v>
      </c>
      <c r="T394" s="9">
        <v>7</v>
      </c>
      <c r="U394" s="9">
        <f t="shared" si="93"/>
        <v>54751</v>
      </c>
      <c r="V394" s="9">
        <f t="shared" si="94"/>
        <v>4</v>
      </c>
      <c r="W394" s="7">
        <v>8.5079999999999991</v>
      </c>
      <c r="X394" s="7">
        <f t="shared" ref="X394:X409" si="99">BL394-W394-6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90"/>
        <v>0.66700000000000004</v>
      </c>
      <c r="AX394" s="18">
        <v>0.33300000000000002</v>
      </c>
      <c r="AY394" s="18" t="s">
        <v>27</v>
      </c>
      <c r="AZ394">
        <v>0</v>
      </c>
      <c r="BA394">
        <v>0</v>
      </c>
      <c r="BB394">
        <v>0</v>
      </c>
      <c r="BC394">
        <v>0</v>
      </c>
      <c r="BD394">
        <v>0</v>
      </c>
      <c r="BE394">
        <v>1</v>
      </c>
      <c r="BF394" s="18">
        <v>0</v>
      </c>
      <c r="BG394">
        <v>0</v>
      </c>
      <c r="BH394">
        <v>1</v>
      </c>
      <c r="BI394" s="18">
        <v>0</v>
      </c>
      <c r="BJ394">
        <v>1523</v>
      </c>
      <c r="BK394">
        <v>34</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5"/>
        <v>2.6333333333333333</v>
      </c>
      <c r="G395" s="7">
        <f t="shared" si="91"/>
        <v>4.41</v>
      </c>
      <c r="H395" s="16">
        <f t="shared" si="92"/>
        <v>9.81</v>
      </c>
      <c r="I395" s="11">
        <f t="shared" si="96"/>
        <v>1.1253362473406978E-2</v>
      </c>
      <c r="J395" s="33">
        <f t="shared" si="97"/>
        <v>4.2734287873697381E-3</v>
      </c>
      <c r="K395" s="33">
        <f t="shared" si="98"/>
        <v>234.00413339179383</v>
      </c>
      <c r="L395" s="8">
        <v>0</v>
      </c>
      <c r="M395" s="9">
        <v>1</v>
      </c>
      <c r="N395" s="8">
        <v>0</v>
      </c>
      <c r="O395" s="9">
        <v>0</v>
      </c>
      <c r="P395" s="9">
        <v>0</v>
      </c>
      <c r="Q395" s="9">
        <v>1</v>
      </c>
      <c r="R395" s="9">
        <v>0</v>
      </c>
      <c r="S395" s="8">
        <v>54759</v>
      </c>
      <c r="T395" s="9">
        <v>7</v>
      </c>
      <c r="U395" s="9">
        <f t="shared" si="93"/>
        <v>54751</v>
      </c>
      <c r="V395" s="9">
        <f t="shared" si="94"/>
        <v>4</v>
      </c>
      <c r="W395" s="7">
        <v>8.5079999999999991</v>
      </c>
      <c r="X395" s="7">
        <f t="shared" si="99"/>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90"/>
        <v>0.66700000000000004</v>
      </c>
      <c r="AX395" s="18">
        <v>0.33300000000000002</v>
      </c>
      <c r="AY395" s="18" t="s">
        <v>27</v>
      </c>
      <c r="AZ395">
        <v>0</v>
      </c>
      <c r="BA395">
        <v>0</v>
      </c>
      <c r="BB395">
        <v>0</v>
      </c>
      <c r="BC395">
        <v>0</v>
      </c>
      <c r="BD395">
        <v>0</v>
      </c>
      <c r="BE395">
        <v>1</v>
      </c>
      <c r="BF395" s="18">
        <v>0</v>
      </c>
      <c r="BG395">
        <v>0</v>
      </c>
      <c r="BH395">
        <v>1</v>
      </c>
      <c r="BI395" s="18">
        <v>0</v>
      </c>
      <c r="BJ395">
        <v>1523</v>
      </c>
      <c r="BK395">
        <v>34</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5"/>
        <v>2.369444444444444</v>
      </c>
      <c r="G396" s="7">
        <f t="shared" si="91"/>
        <v>4.93</v>
      </c>
      <c r="H396" s="16">
        <f t="shared" si="92"/>
        <v>12.129999999999999</v>
      </c>
      <c r="I396" s="11">
        <f t="shared" si="96"/>
        <v>1.0125774162546355E-2</v>
      </c>
      <c r="J396" s="33">
        <f t="shared" si="97"/>
        <v>4.2734803030676297E-3</v>
      </c>
      <c r="K396" s="33">
        <f t="shared" si="98"/>
        <v>234.00131253259099</v>
      </c>
      <c r="L396" s="8">
        <v>0</v>
      </c>
      <c r="M396" s="9">
        <v>1</v>
      </c>
      <c r="N396" s="8">
        <v>0</v>
      </c>
      <c r="O396" s="9">
        <v>0</v>
      </c>
      <c r="P396" s="9">
        <v>0</v>
      </c>
      <c r="Q396" s="9">
        <v>1</v>
      </c>
      <c r="R396" s="9">
        <v>0</v>
      </c>
      <c r="S396" s="8">
        <v>54759</v>
      </c>
      <c r="T396" s="9">
        <v>7</v>
      </c>
      <c r="U396" s="9">
        <f t="shared" si="93"/>
        <v>54751</v>
      </c>
      <c r="V396" s="9">
        <f t="shared" si="94"/>
        <v>4</v>
      </c>
      <c r="W396" s="7">
        <v>8.5079999999999991</v>
      </c>
      <c r="X396" s="7">
        <f t="shared" si="99"/>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90"/>
        <v>0.66700000000000004</v>
      </c>
      <c r="AX396" s="18">
        <v>0.33300000000000002</v>
      </c>
      <c r="AY396" s="18" t="s">
        <v>27</v>
      </c>
      <c r="AZ396">
        <v>0</v>
      </c>
      <c r="BA396">
        <v>0</v>
      </c>
      <c r="BB396">
        <v>0</v>
      </c>
      <c r="BC396">
        <v>0</v>
      </c>
      <c r="BD396">
        <v>0</v>
      </c>
      <c r="BE396">
        <v>1</v>
      </c>
      <c r="BF396" s="18">
        <v>0</v>
      </c>
      <c r="BG396">
        <v>0</v>
      </c>
      <c r="BH396">
        <v>1</v>
      </c>
      <c r="BI396" s="18">
        <v>0</v>
      </c>
      <c r="BJ396">
        <v>1523</v>
      </c>
      <c r="BK396">
        <v>34</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5"/>
        <v>15.17241379310345</v>
      </c>
      <c r="G397" s="55">
        <f t="shared" si="91"/>
        <v>4.1100000000000003</v>
      </c>
      <c r="H397" s="56">
        <f t="shared" si="92"/>
        <v>4.6900000000000004</v>
      </c>
      <c r="I397" s="11">
        <f t="shared" si="96"/>
        <v>0.10967410775251542</v>
      </c>
      <c r="J397" s="33">
        <f t="shared" si="97"/>
        <v>7.2285207382339692E-3</v>
      </c>
      <c r="K397" s="33">
        <f t="shared" si="98"/>
        <v>138.34089106373847</v>
      </c>
      <c r="L397" s="59">
        <v>0</v>
      </c>
      <c r="M397" s="60">
        <v>1</v>
      </c>
      <c r="N397" s="59">
        <v>0</v>
      </c>
      <c r="O397" s="60">
        <v>0</v>
      </c>
      <c r="P397" s="60">
        <v>0</v>
      </c>
      <c r="Q397" s="60">
        <v>1</v>
      </c>
      <c r="R397" s="60">
        <v>0</v>
      </c>
      <c r="S397" s="59">
        <v>18912</v>
      </c>
      <c r="T397" s="60">
        <v>3</v>
      </c>
      <c r="U397" s="60">
        <f t="shared" si="93"/>
        <v>18908</v>
      </c>
      <c r="V397" s="60">
        <f t="shared" si="94"/>
        <v>4</v>
      </c>
      <c r="W397" s="55">
        <v>8.5079999999999991</v>
      </c>
      <c r="X397" s="55">
        <f t="shared" si="99"/>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90"/>
        <v>0.66700000000000004</v>
      </c>
      <c r="AX397" s="65">
        <v>0.33300000000000002</v>
      </c>
      <c r="AY397" s="65" t="s">
        <v>27</v>
      </c>
      <c r="AZ397">
        <v>0</v>
      </c>
      <c r="BA397">
        <v>0</v>
      </c>
      <c r="BB397">
        <v>0</v>
      </c>
      <c r="BC397">
        <v>0</v>
      </c>
      <c r="BD397">
        <v>0</v>
      </c>
      <c r="BE397">
        <v>1</v>
      </c>
      <c r="BF397" s="65">
        <v>0</v>
      </c>
      <c r="BG397">
        <v>0</v>
      </c>
      <c r="BH397">
        <v>1</v>
      </c>
      <c r="BI397" s="65">
        <v>0</v>
      </c>
      <c r="BJ397">
        <v>1523</v>
      </c>
      <c r="BK397">
        <v>34</v>
      </c>
      <c r="BL397" s="52">
        <v>38.226999999999997</v>
      </c>
      <c r="BM397" s="51">
        <v>0</v>
      </c>
      <c r="BN397" s="51">
        <v>0</v>
      </c>
      <c r="BO397" s="51">
        <v>0</v>
      </c>
      <c r="BP397" s="51">
        <v>1</v>
      </c>
      <c r="BQ397" s="51">
        <v>0</v>
      </c>
      <c r="BR397" s="51">
        <v>0</v>
      </c>
      <c r="BS397" s="51">
        <v>0</v>
      </c>
      <c r="BT397" s="65">
        <v>0</v>
      </c>
      <c r="BU397" s="51">
        <v>1</v>
      </c>
      <c r="BV397" s="51">
        <v>0</v>
      </c>
      <c r="BW397" s="51">
        <v>0</v>
      </c>
      <c r="BX397" s="65">
        <v>0</v>
      </c>
      <c r="BY397" s="51">
        <v>0</v>
      </c>
      <c r="BZ397" s="51">
        <v>0</v>
      </c>
      <c r="CA397" s="51">
        <v>0</v>
      </c>
      <c r="CB397" s="51">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5"/>
        <v>34.772182254196643</v>
      </c>
      <c r="G398" s="7">
        <f t="shared" si="91"/>
        <v>14.083</v>
      </c>
      <c r="H398" s="16">
        <f t="shared" si="92"/>
        <v>14.917</v>
      </c>
      <c r="I398" s="11">
        <f t="shared" si="96"/>
        <v>7.755581398730077E-2</v>
      </c>
      <c r="J398" s="33">
        <f t="shared" si="97"/>
        <v>2.2303982367382355E-3</v>
      </c>
      <c r="K398" s="33">
        <f t="shared" si="98"/>
        <v>448.35042618326918</v>
      </c>
      <c r="L398" s="8">
        <v>0</v>
      </c>
      <c r="M398" s="9">
        <v>1</v>
      </c>
      <c r="N398" s="8">
        <v>0</v>
      </c>
      <c r="O398" s="9">
        <v>0</v>
      </c>
      <c r="P398" s="9">
        <v>0</v>
      </c>
      <c r="Q398" s="9">
        <v>1</v>
      </c>
      <c r="R398" s="9">
        <v>0</v>
      </c>
      <c r="S398" s="8">
        <v>199833</v>
      </c>
      <c r="T398" s="9">
        <v>23</v>
      </c>
      <c r="U398" s="9">
        <f t="shared" si="93"/>
        <v>199809</v>
      </c>
      <c r="V398" s="9">
        <f t="shared" si="94"/>
        <v>12</v>
      </c>
      <c r="W398" s="7">
        <v>7.2</v>
      </c>
      <c r="X398" s="7">
        <f t="shared" si="99"/>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v>0</v>
      </c>
      <c r="BF398" s="18">
        <v>0</v>
      </c>
      <c r="BG398">
        <v>0</v>
      </c>
      <c r="BH398">
        <v>1</v>
      </c>
      <c r="BI398" s="18">
        <v>0</v>
      </c>
      <c r="BJ398">
        <v>2017</v>
      </c>
      <c r="BK398">
        <v>440</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5"/>
        <v>31.923890063424949</v>
      </c>
      <c r="G399" s="7">
        <f t="shared" si="91"/>
        <v>14.626999999999999</v>
      </c>
      <c r="H399" s="16">
        <f t="shared" si="92"/>
        <v>15.573</v>
      </c>
      <c r="I399" s="11">
        <f t="shared" si="96"/>
        <v>7.1236656764881751E-2</v>
      </c>
      <c r="J399" s="33">
        <f t="shared" si="97"/>
        <v>2.2314528907145079E-3</v>
      </c>
      <c r="K399" s="33">
        <f t="shared" si="98"/>
        <v>448.13852183982317</v>
      </c>
      <c r="L399" s="8">
        <v>0</v>
      </c>
      <c r="M399" s="9">
        <v>1</v>
      </c>
      <c r="N399" s="8">
        <v>0</v>
      </c>
      <c r="O399" s="9">
        <v>0</v>
      </c>
      <c r="P399" s="9">
        <v>0</v>
      </c>
      <c r="Q399" s="9">
        <v>1</v>
      </c>
      <c r="R399" s="9">
        <v>0</v>
      </c>
      <c r="S399" s="8">
        <v>199833</v>
      </c>
      <c r="T399" s="9">
        <v>23</v>
      </c>
      <c r="U399" s="9">
        <f t="shared" si="93"/>
        <v>199809</v>
      </c>
      <c r="V399" s="9">
        <f t="shared" si="94"/>
        <v>12</v>
      </c>
      <c r="W399" s="7">
        <v>7.2</v>
      </c>
      <c r="X399" s="7">
        <f t="shared" si="99"/>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v>0</v>
      </c>
      <c r="BF399" s="18">
        <v>0</v>
      </c>
      <c r="BG399">
        <v>0</v>
      </c>
      <c r="BH399">
        <v>1</v>
      </c>
      <c r="BI399" s="18">
        <v>0</v>
      </c>
      <c r="BJ399">
        <v>2017</v>
      </c>
      <c r="BK399">
        <v>440</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5"/>
        <v>27.239488117001827</v>
      </c>
      <c r="G400" s="7">
        <f t="shared" si="91"/>
        <v>14.353</v>
      </c>
      <c r="H400" s="16">
        <f t="shared" si="92"/>
        <v>15.447000000000001</v>
      </c>
      <c r="I400" s="11">
        <f t="shared" si="96"/>
        <v>6.0825619003027735E-2</v>
      </c>
      <c r="J400" s="33">
        <f t="shared" si="97"/>
        <v>2.2329942009836358E-3</v>
      </c>
      <c r="K400" s="33">
        <f t="shared" si="98"/>
        <v>447.82919703038152</v>
      </c>
      <c r="L400" s="8">
        <v>0</v>
      </c>
      <c r="M400" s="9">
        <v>1</v>
      </c>
      <c r="N400" s="8">
        <v>0</v>
      </c>
      <c r="O400" s="9">
        <v>0</v>
      </c>
      <c r="P400" s="9">
        <v>0</v>
      </c>
      <c r="Q400" s="9">
        <v>1</v>
      </c>
      <c r="R400" s="9">
        <v>0</v>
      </c>
      <c r="S400" s="8">
        <v>199833</v>
      </c>
      <c r="T400" s="9">
        <v>23</v>
      </c>
      <c r="U400" s="9">
        <f t="shared" si="93"/>
        <v>199809</v>
      </c>
      <c r="V400" s="9">
        <f t="shared" si="94"/>
        <v>12</v>
      </c>
      <c r="W400" s="7">
        <v>7.2</v>
      </c>
      <c r="X400" s="7">
        <f t="shared" si="99"/>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v>0</v>
      </c>
      <c r="BF400" s="18">
        <v>0</v>
      </c>
      <c r="BG400">
        <v>0</v>
      </c>
      <c r="BH400">
        <v>1</v>
      </c>
      <c r="BI400" s="18">
        <v>0</v>
      </c>
      <c r="BJ400">
        <v>2017</v>
      </c>
      <c r="BK400">
        <v>440</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5"/>
        <v>25.76</v>
      </c>
      <c r="G401" s="7">
        <f t="shared" si="91"/>
        <v>15.475000000000001</v>
      </c>
      <c r="H401" s="16">
        <f t="shared" si="92"/>
        <v>16.725000000000001</v>
      </c>
      <c r="I401" s="11">
        <f t="shared" si="96"/>
        <v>5.7533178976614648E-2</v>
      </c>
      <c r="J401" s="33">
        <f t="shared" si="97"/>
        <v>2.2334308608934253E-3</v>
      </c>
      <c r="K401" s="33">
        <f t="shared" si="98"/>
        <v>447.7416415746921</v>
      </c>
      <c r="L401" s="8">
        <v>0</v>
      </c>
      <c r="M401" s="9">
        <v>1</v>
      </c>
      <c r="N401" s="8">
        <v>0</v>
      </c>
      <c r="O401" s="9">
        <v>0</v>
      </c>
      <c r="P401" s="9">
        <v>0</v>
      </c>
      <c r="Q401" s="9">
        <v>1</v>
      </c>
      <c r="R401" s="9">
        <v>0</v>
      </c>
      <c r="S401" s="8">
        <v>199833</v>
      </c>
      <c r="T401" s="9">
        <v>23</v>
      </c>
      <c r="U401" s="9">
        <f t="shared" si="93"/>
        <v>199809</v>
      </c>
      <c r="V401" s="9">
        <f t="shared" si="94"/>
        <v>12</v>
      </c>
      <c r="W401" s="7">
        <v>7.2</v>
      </c>
      <c r="X401" s="7">
        <f t="shared" si="99"/>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v>0</v>
      </c>
      <c r="BF401" s="18">
        <v>0</v>
      </c>
      <c r="BG401">
        <v>0</v>
      </c>
      <c r="BH401">
        <v>1</v>
      </c>
      <c r="BI401" s="18">
        <v>0</v>
      </c>
      <c r="BJ401">
        <v>2017</v>
      </c>
      <c r="BK401">
        <v>440</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5"/>
        <v>18.518518518518519</v>
      </c>
      <c r="G402" s="7">
        <f t="shared" si="91"/>
        <v>11.352</v>
      </c>
      <c r="H402" s="16">
        <f t="shared" si="92"/>
        <v>12.648</v>
      </c>
      <c r="I402" s="11">
        <f t="shared" si="96"/>
        <v>5.5153261715128153E-2</v>
      </c>
      <c r="J402" s="33">
        <f t="shared" si="97"/>
        <v>2.9782761326169198E-3</v>
      </c>
      <c r="K402" s="33">
        <f t="shared" si="98"/>
        <v>335.76470262390706</v>
      </c>
      <c r="L402" s="8">
        <v>0</v>
      </c>
      <c r="M402" s="9">
        <v>1</v>
      </c>
      <c r="N402" s="8">
        <v>0</v>
      </c>
      <c r="O402" s="9">
        <v>0</v>
      </c>
      <c r="P402" s="9">
        <v>0</v>
      </c>
      <c r="Q402" s="9">
        <v>1</v>
      </c>
      <c r="R402" s="9">
        <v>0</v>
      </c>
      <c r="S402" s="8">
        <v>112419</v>
      </c>
      <c r="T402" s="9">
        <v>23</v>
      </c>
      <c r="U402" s="9">
        <f t="shared" si="93"/>
        <v>112395</v>
      </c>
      <c r="V402" s="9">
        <f t="shared" si="94"/>
        <v>12</v>
      </c>
      <c r="W402" s="7">
        <v>7.2</v>
      </c>
      <c r="X402" s="7">
        <f t="shared" si="99"/>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v>0</v>
      </c>
      <c r="BF402" s="18">
        <v>0</v>
      </c>
      <c r="BG402">
        <v>0</v>
      </c>
      <c r="BH402">
        <v>1</v>
      </c>
      <c r="BI402" s="18">
        <v>0</v>
      </c>
      <c r="BJ402">
        <v>2017</v>
      </c>
      <c r="BK402">
        <v>440</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5"/>
        <v>17.13520749665328</v>
      </c>
      <c r="G403" s="7">
        <f t="shared" si="91"/>
        <v>12.053000000000001</v>
      </c>
      <c r="H403" s="16">
        <f t="shared" si="92"/>
        <v>13.547000000000001</v>
      </c>
      <c r="I403" s="11">
        <f t="shared" si="96"/>
        <v>5.1044546129633404E-2</v>
      </c>
      <c r="J403" s="33">
        <f t="shared" si="97"/>
        <v>2.9789278092840748E-3</v>
      </c>
      <c r="K403" s="33">
        <f t="shared" si="98"/>
        <v>335.69125001398737</v>
      </c>
      <c r="L403" s="8">
        <v>0</v>
      </c>
      <c r="M403" s="9">
        <v>1</v>
      </c>
      <c r="N403" s="8">
        <v>0</v>
      </c>
      <c r="O403" s="9">
        <v>0</v>
      </c>
      <c r="P403" s="9">
        <v>0</v>
      </c>
      <c r="Q403" s="9">
        <v>1</v>
      </c>
      <c r="R403" s="9">
        <v>0</v>
      </c>
      <c r="S403" s="8">
        <v>112419</v>
      </c>
      <c r="T403" s="9">
        <v>23</v>
      </c>
      <c r="U403" s="9">
        <f t="shared" si="93"/>
        <v>112395</v>
      </c>
      <c r="V403" s="9">
        <f t="shared" si="94"/>
        <v>12</v>
      </c>
      <c r="W403" s="7">
        <v>7.2</v>
      </c>
      <c r="X403" s="7">
        <f t="shared" si="99"/>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v>0</v>
      </c>
      <c r="BF403" s="18">
        <v>0</v>
      </c>
      <c r="BG403">
        <v>0</v>
      </c>
      <c r="BH403">
        <v>1</v>
      </c>
      <c r="BI403" s="18">
        <v>0</v>
      </c>
      <c r="BJ403">
        <v>2017</v>
      </c>
      <c r="BK403">
        <v>440</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5"/>
        <v>27.377049180327869</v>
      </c>
      <c r="G404" s="7">
        <f t="shared" si="91"/>
        <v>16.09</v>
      </c>
      <c r="H404" s="16">
        <f t="shared" si="92"/>
        <v>17.309999999999999</v>
      </c>
      <c r="I404" s="11">
        <f t="shared" si="96"/>
        <v>9.2214950598948575E-2</v>
      </c>
      <c r="J404" s="33">
        <f t="shared" si="97"/>
        <v>3.3683305308597985E-3</v>
      </c>
      <c r="K404" s="33">
        <f t="shared" si="98"/>
        <v>296.88297832954669</v>
      </c>
      <c r="L404" s="8">
        <v>0</v>
      </c>
      <c r="M404" s="9">
        <v>1</v>
      </c>
      <c r="N404" s="8">
        <v>0</v>
      </c>
      <c r="O404" s="9">
        <v>0</v>
      </c>
      <c r="P404" s="9">
        <v>0</v>
      </c>
      <c r="Q404" s="9">
        <v>1</v>
      </c>
      <c r="R404" s="9">
        <v>0</v>
      </c>
      <c r="S404" s="8">
        <v>87414</v>
      </c>
      <c r="T404" s="9">
        <v>23</v>
      </c>
      <c r="U404" s="9">
        <f t="shared" si="93"/>
        <v>87390</v>
      </c>
      <c r="V404" s="9">
        <f t="shared" si="94"/>
        <v>12</v>
      </c>
      <c r="W404" s="7">
        <v>7.2</v>
      </c>
      <c r="X404" s="7">
        <f t="shared" si="99"/>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v>0</v>
      </c>
      <c r="BF404" s="18">
        <v>0</v>
      </c>
      <c r="BG404">
        <v>0</v>
      </c>
      <c r="BH404">
        <v>1</v>
      </c>
      <c r="BI404" s="18">
        <v>0</v>
      </c>
      <c r="BJ404">
        <v>2017</v>
      </c>
      <c r="BK404">
        <v>440</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5"/>
        <v>25.153374233128833</v>
      </c>
      <c r="G405" s="7">
        <f t="shared" si="91"/>
        <v>15.747999999999999</v>
      </c>
      <c r="H405" s="16">
        <f t="shared" si="92"/>
        <v>17.052</v>
      </c>
      <c r="I405" s="11">
        <f t="shared" si="96"/>
        <v>8.4781076855170251E-2</v>
      </c>
      <c r="J405" s="33">
        <f t="shared" si="97"/>
        <v>3.3705647627787199E-3</v>
      </c>
      <c r="K405" s="33">
        <f t="shared" si="98"/>
        <v>296.68618477325805</v>
      </c>
      <c r="L405" s="8">
        <v>0</v>
      </c>
      <c r="M405" s="9">
        <v>1</v>
      </c>
      <c r="N405" s="8">
        <v>0</v>
      </c>
      <c r="O405" s="9">
        <v>0</v>
      </c>
      <c r="P405" s="9">
        <v>0</v>
      </c>
      <c r="Q405" s="9">
        <v>1</v>
      </c>
      <c r="R405" s="9">
        <v>0</v>
      </c>
      <c r="S405" s="8">
        <v>87414</v>
      </c>
      <c r="T405" s="9">
        <v>23</v>
      </c>
      <c r="U405" s="9">
        <f t="shared" si="93"/>
        <v>87390</v>
      </c>
      <c r="V405" s="9">
        <f t="shared" si="94"/>
        <v>12</v>
      </c>
      <c r="W405" s="7">
        <v>7.2</v>
      </c>
      <c r="X405" s="7">
        <f t="shared" si="99"/>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v>0</v>
      </c>
      <c r="BF405" s="18">
        <v>0</v>
      </c>
      <c r="BG405">
        <v>0</v>
      </c>
      <c r="BH405">
        <v>1</v>
      </c>
      <c r="BI405" s="18">
        <v>0</v>
      </c>
      <c r="BJ405">
        <v>2017</v>
      </c>
      <c r="BK405">
        <v>440</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5"/>
        <v>24.292845257903494</v>
      </c>
      <c r="G406" s="7">
        <f t="shared" si="91"/>
        <v>13.998999999999999</v>
      </c>
      <c r="H406" s="16">
        <f t="shared" si="92"/>
        <v>15.201000000000001</v>
      </c>
      <c r="I406" s="11">
        <f t="shared" si="96"/>
        <v>6.5918282922566435E-2</v>
      </c>
      <c r="J406" s="33">
        <f t="shared" si="97"/>
        <v>2.7134854819494815E-3</v>
      </c>
      <c r="K406" s="33">
        <f t="shared" si="98"/>
        <v>368.52970345784132</v>
      </c>
      <c r="L406" s="8">
        <v>0</v>
      </c>
      <c r="M406" s="9">
        <v>1</v>
      </c>
      <c r="N406" s="8">
        <v>0</v>
      </c>
      <c r="O406" s="9">
        <v>0</v>
      </c>
      <c r="P406" s="9">
        <v>0</v>
      </c>
      <c r="Q406" s="9">
        <v>1</v>
      </c>
      <c r="R406" s="9">
        <v>0</v>
      </c>
      <c r="S406" s="8">
        <v>135248</v>
      </c>
      <c r="T406" s="9">
        <v>23</v>
      </c>
      <c r="U406" s="9">
        <f t="shared" si="93"/>
        <v>135224</v>
      </c>
      <c r="V406" s="9">
        <f t="shared" si="94"/>
        <v>12</v>
      </c>
      <c r="W406" s="7">
        <v>7.2</v>
      </c>
      <c r="X406" s="7">
        <f t="shared" si="99"/>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v>0</v>
      </c>
      <c r="BF406" s="18">
        <v>0</v>
      </c>
      <c r="BG406">
        <v>0</v>
      </c>
      <c r="BH406">
        <v>1</v>
      </c>
      <c r="BI406" s="18">
        <v>0</v>
      </c>
      <c r="BJ406">
        <v>2017</v>
      </c>
      <c r="BK406">
        <v>440</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5"/>
        <v>25.199362041467307</v>
      </c>
      <c r="G407" s="7">
        <f t="shared" si="91"/>
        <v>15.173</v>
      </c>
      <c r="H407" s="16">
        <f t="shared" si="92"/>
        <v>16.427</v>
      </c>
      <c r="I407" s="11">
        <f t="shared" si="96"/>
        <v>6.8366811670725114E-2</v>
      </c>
      <c r="J407" s="33">
        <f t="shared" si="97"/>
        <v>2.7130373998445981E-3</v>
      </c>
      <c r="K407" s="33">
        <f t="shared" si="98"/>
        <v>368.59056939549731</v>
      </c>
      <c r="L407" s="8">
        <v>0</v>
      </c>
      <c r="M407" s="9">
        <v>1</v>
      </c>
      <c r="N407" s="8">
        <v>0</v>
      </c>
      <c r="O407" s="9">
        <v>0</v>
      </c>
      <c r="P407" s="9">
        <v>0</v>
      </c>
      <c r="Q407" s="9">
        <v>1</v>
      </c>
      <c r="R407" s="9">
        <v>0</v>
      </c>
      <c r="S407" s="8">
        <v>135248</v>
      </c>
      <c r="T407" s="9">
        <v>23</v>
      </c>
      <c r="U407" s="9">
        <f t="shared" si="93"/>
        <v>135224</v>
      </c>
      <c r="V407" s="9">
        <f t="shared" si="94"/>
        <v>12</v>
      </c>
      <c r="W407" s="7">
        <v>7.2</v>
      </c>
      <c r="X407" s="7">
        <f t="shared" si="99"/>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v>0</v>
      </c>
      <c r="BF407" s="18">
        <v>0</v>
      </c>
      <c r="BG407">
        <v>0</v>
      </c>
      <c r="BH407">
        <v>1</v>
      </c>
      <c r="BI407" s="18">
        <v>0</v>
      </c>
      <c r="BJ407">
        <v>2017</v>
      </c>
      <c r="BK407">
        <v>440</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5"/>
        <v>24.394463667820069</v>
      </c>
      <c r="G408" s="7">
        <f t="shared" si="91"/>
        <v>13.522</v>
      </c>
      <c r="H408" s="16">
        <f t="shared" si="92"/>
        <v>14.677999999999999</v>
      </c>
      <c r="I408" s="11">
        <f t="shared" si="96"/>
        <v>9.5568279478523185E-2</v>
      </c>
      <c r="J408" s="33">
        <f t="shared" si="97"/>
        <v>3.9176216694032911E-3</v>
      </c>
      <c r="K408" s="33">
        <f t="shared" si="98"/>
        <v>255.25690951988074</v>
      </c>
      <c r="L408" s="8">
        <v>0</v>
      </c>
      <c r="M408" s="9">
        <v>1</v>
      </c>
      <c r="N408" s="8">
        <v>0</v>
      </c>
      <c r="O408" s="9">
        <v>0</v>
      </c>
      <c r="P408" s="9">
        <v>0</v>
      </c>
      <c r="Q408" s="9">
        <v>1</v>
      </c>
      <c r="R408" s="9">
        <v>0</v>
      </c>
      <c r="S408" s="8">
        <v>64585</v>
      </c>
      <c r="T408" s="9">
        <v>23</v>
      </c>
      <c r="U408" s="9">
        <f t="shared" si="93"/>
        <v>64561</v>
      </c>
      <c r="V408" s="9">
        <f t="shared" si="94"/>
        <v>12</v>
      </c>
      <c r="W408" s="7">
        <v>7.2</v>
      </c>
      <c r="X408" s="7">
        <f t="shared" si="99"/>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v>0</v>
      </c>
      <c r="BF408" s="18">
        <v>0</v>
      </c>
      <c r="BG408">
        <v>0</v>
      </c>
      <c r="BH408">
        <v>1</v>
      </c>
      <c r="BI408" s="18">
        <v>0</v>
      </c>
      <c r="BJ408">
        <v>2017</v>
      </c>
      <c r="BK408">
        <v>440</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5"/>
        <v>22.925457102672294</v>
      </c>
      <c r="G409" s="55">
        <f t="shared" si="91"/>
        <v>15.589</v>
      </c>
      <c r="H409" s="56">
        <f t="shared" si="92"/>
        <v>17.010999999999999</v>
      </c>
      <c r="I409" s="11">
        <f t="shared" si="96"/>
        <v>8.986121557159743E-2</v>
      </c>
      <c r="J409" s="33">
        <f t="shared" si="97"/>
        <v>3.9197131454850164E-3</v>
      </c>
      <c r="K409" s="33">
        <f t="shared" si="98"/>
        <v>255.12070982843881</v>
      </c>
      <c r="L409" s="59">
        <v>0</v>
      </c>
      <c r="M409" s="60">
        <v>1</v>
      </c>
      <c r="N409" s="59">
        <v>0</v>
      </c>
      <c r="O409" s="60">
        <v>0</v>
      </c>
      <c r="P409" s="60">
        <v>0</v>
      </c>
      <c r="Q409" s="60">
        <v>1</v>
      </c>
      <c r="R409" s="60">
        <v>0</v>
      </c>
      <c r="S409" s="59">
        <v>64585</v>
      </c>
      <c r="T409" s="60">
        <v>23</v>
      </c>
      <c r="U409" s="60">
        <f t="shared" si="93"/>
        <v>64561</v>
      </c>
      <c r="V409" s="60">
        <f t="shared" si="94"/>
        <v>12</v>
      </c>
      <c r="W409" s="55">
        <v>7.2</v>
      </c>
      <c r="X409" s="55">
        <f t="shared" si="99"/>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v>0</v>
      </c>
      <c r="BF409" s="65">
        <v>0</v>
      </c>
      <c r="BG409">
        <v>0</v>
      </c>
      <c r="BH409">
        <v>1</v>
      </c>
      <c r="BI409" s="65">
        <v>0</v>
      </c>
      <c r="BJ409">
        <v>2017</v>
      </c>
      <c r="BK409">
        <v>440</v>
      </c>
      <c r="BL409" s="52">
        <v>41.5</v>
      </c>
      <c r="BM409" s="51">
        <v>0</v>
      </c>
      <c r="BN409" s="51">
        <v>0</v>
      </c>
      <c r="BO409" s="51">
        <v>1</v>
      </c>
      <c r="BP409" s="51">
        <v>0</v>
      </c>
      <c r="BQ409" s="51">
        <v>0</v>
      </c>
      <c r="BR409" s="51">
        <v>0</v>
      </c>
      <c r="BS409" s="51">
        <v>0</v>
      </c>
      <c r="BT409" s="65">
        <v>0</v>
      </c>
      <c r="BU409" s="51">
        <v>0</v>
      </c>
      <c r="BV409" s="51">
        <v>1</v>
      </c>
      <c r="BW409" s="51">
        <v>0</v>
      </c>
      <c r="BX409" s="65">
        <v>0</v>
      </c>
      <c r="BY409" s="51">
        <v>0</v>
      </c>
      <c r="BZ409" s="51">
        <v>0</v>
      </c>
      <c r="CA409" s="51">
        <v>0</v>
      </c>
      <c r="CB409" s="51">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100">D410/F410</f>
        <v>0.13855421686746985</v>
      </c>
      <c r="F410" s="7">
        <v>33.200000000000003</v>
      </c>
      <c r="G410" s="7">
        <f t="shared" si="91"/>
        <v>4.4614457831325298</v>
      </c>
      <c r="H410" s="16">
        <f t="shared" si="92"/>
        <v>4.7385542168674695</v>
      </c>
      <c r="I410" s="11">
        <f t="shared" si="96"/>
        <v>0.3293553550615026</v>
      </c>
      <c r="J410" s="33">
        <f t="shared" si="97"/>
        <v>9.9203420199247758E-3</v>
      </c>
      <c r="K410" s="33">
        <f t="shared" si="98"/>
        <v>100.80297614654044</v>
      </c>
      <c r="L410" s="8">
        <v>0</v>
      </c>
      <c r="M410" s="9">
        <v>1</v>
      </c>
      <c r="N410" s="8">
        <v>0</v>
      </c>
      <c r="O410" s="9">
        <v>0</v>
      </c>
      <c r="P410" s="9">
        <v>0</v>
      </c>
      <c r="Q410" s="9">
        <v>1</v>
      </c>
      <c r="R410" s="9">
        <v>0</v>
      </c>
      <c r="S410" s="8">
        <v>9065</v>
      </c>
      <c r="T410" s="9">
        <v>5</v>
      </c>
      <c r="U410" s="9">
        <f t="shared" si="93"/>
        <v>9059</v>
      </c>
      <c r="V410" s="9">
        <f t="shared" si="94"/>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v>0</v>
      </c>
      <c r="BF410" s="18">
        <v>1</v>
      </c>
      <c r="BG410">
        <v>0</v>
      </c>
      <c r="BH410">
        <v>1</v>
      </c>
      <c r="BI410" s="18">
        <v>0</v>
      </c>
      <c r="BJ410">
        <v>1066</v>
      </c>
      <c r="BK410">
        <v>85</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100"/>
        <v>0.2264957264957265</v>
      </c>
      <c r="F411" s="7">
        <v>23.4</v>
      </c>
      <c r="G411" s="7">
        <f t="shared" si="91"/>
        <v>5.0735042735042732</v>
      </c>
      <c r="H411" s="16">
        <f t="shared" si="92"/>
        <v>5.5264957264957264</v>
      </c>
      <c r="I411" s="11">
        <f t="shared" si="96"/>
        <v>0.38591799382353975</v>
      </c>
      <c r="J411" s="33">
        <f t="shared" si="97"/>
        <v>1.6492221958270933E-2</v>
      </c>
      <c r="K411" s="33">
        <f t="shared" si="98"/>
        <v>60.634643562900564</v>
      </c>
      <c r="L411" s="8">
        <v>0</v>
      </c>
      <c r="M411" s="9">
        <v>1</v>
      </c>
      <c r="N411" s="8">
        <v>0</v>
      </c>
      <c r="O411" s="9">
        <v>0</v>
      </c>
      <c r="P411" s="9">
        <v>0</v>
      </c>
      <c r="Q411" s="9">
        <v>1</v>
      </c>
      <c r="R411" s="9">
        <v>0</v>
      </c>
      <c r="S411" s="8">
        <v>3135</v>
      </c>
      <c r="T411" s="9">
        <v>5</v>
      </c>
      <c r="U411" s="9">
        <f t="shared" si="93"/>
        <v>3129</v>
      </c>
      <c r="V411" s="9">
        <f t="shared" si="94"/>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v>0</v>
      </c>
      <c r="BF411" s="18">
        <v>1</v>
      </c>
      <c r="BG411">
        <v>0</v>
      </c>
      <c r="BH411">
        <v>1</v>
      </c>
      <c r="BI411" s="18">
        <v>0</v>
      </c>
      <c r="BJ411">
        <v>1066</v>
      </c>
      <c r="BK411">
        <v>85</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100"/>
        <v>6.4285714285714293E-2</v>
      </c>
      <c r="F412" s="7">
        <v>56</v>
      </c>
      <c r="G412" s="7">
        <f t="shared" si="91"/>
        <v>3.5357142857142856</v>
      </c>
      <c r="H412" s="16">
        <f t="shared" si="92"/>
        <v>3.6642857142857146</v>
      </c>
      <c r="I412" s="11">
        <f t="shared" si="96"/>
        <v>0.23199795227200942</v>
      </c>
      <c r="J412" s="33">
        <f t="shared" si="97"/>
        <v>4.1428205762858829E-3</v>
      </c>
      <c r="K412" s="33">
        <f t="shared" si="98"/>
        <v>241.38144087729691</v>
      </c>
      <c r="L412" s="8">
        <v>0</v>
      </c>
      <c r="M412" s="9">
        <v>1</v>
      </c>
      <c r="N412" s="8">
        <v>0</v>
      </c>
      <c r="O412" s="9">
        <v>0</v>
      </c>
      <c r="P412" s="9">
        <v>0</v>
      </c>
      <c r="Q412" s="9">
        <v>1</v>
      </c>
      <c r="R412" s="9">
        <v>0</v>
      </c>
      <c r="S412" s="8">
        <v>55135</v>
      </c>
      <c r="T412" s="9">
        <v>5</v>
      </c>
      <c r="U412" s="9">
        <f t="shared" si="93"/>
        <v>55129</v>
      </c>
      <c r="V412" s="9">
        <f t="shared" si="94"/>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v>0</v>
      </c>
      <c r="BF412" s="18">
        <v>1</v>
      </c>
      <c r="BG412">
        <v>0</v>
      </c>
      <c r="BH412">
        <v>1</v>
      </c>
      <c r="BI412" s="18">
        <v>0</v>
      </c>
      <c r="BJ412">
        <v>1066</v>
      </c>
      <c r="BK412">
        <v>85</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100"/>
        <v>9.3023255813953473E-2</v>
      </c>
      <c r="F413" s="7">
        <v>30.1</v>
      </c>
      <c r="G413" s="7">
        <f t="shared" si="91"/>
        <v>2.7069767441860462</v>
      </c>
      <c r="H413" s="16">
        <f t="shared" si="92"/>
        <v>2.8930232558139535</v>
      </c>
      <c r="I413" s="11">
        <f t="shared" si="96"/>
        <v>0.18766370166751487</v>
      </c>
      <c r="J413" s="33">
        <f t="shared" si="97"/>
        <v>6.2346744740038162E-3</v>
      </c>
      <c r="K413" s="33">
        <f t="shared" si="98"/>
        <v>160.39329786496691</v>
      </c>
      <c r="L413" s="8">
        <v>0</v>
      </c>
      <c r="M413" s="9">
        <v>1</v>
      </c>
      <c r="N413" s="8">
        <v>0</v>
      </c>
      <c r="O413" s="9">
        <v>0</v>
      </c>
      <c r="P413" s="9">
        <v>0</v>
      </c>
      <c r="Q413" s="9">
        <v>1</v>
      </c>
      <c r="R413" s="9">
        <v>0</v>
      </c>
      <c r="S413" s="8">
        <v>24826</v>
      </c>
      <c r="T413" s="9">
        <v>5</v>
      </c>
      <c r="U413" s="9">
        <f t="shared" si="93"/>
        <v>24820</v>
      </c>
      <c r="V413" s="9">
        <f t="shared" si="94"/>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v>0</v>
      </c>
      <c r="BF413" s="18">
        <v>1</v>
      </c>
      <c r="BG413">
        <v>0</v>
      </c>
      <c r="BH413">
        <v>1</v>
      </c>
      <c r="BI413" s="18">
        <v>0</v>
      </c>
      <c r="BJ413">
        <v>1066</v>
      </c>
      <c r="BK413">
        <v>85</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100"/>
        <v>0.39936102236421728</v>
      </c>
      <c r="F414" s="7">
        <v>6.26</v>
      </c>
      <c r="G414" s="7">
        <f t="shared" si="91"/>
        <v>2.1006389776357826</v>
      </c>
      <c r="H414" s="16">
        <f t="shared" si="92"/>
        <v>2.8993610223642174</v>
      </c>
      <c r="I414" s="11">
        <f t="shared" si="96"/>
        <v>6.5629166615310958E-2</v>
      </c>
      <c r="J414" s="33">
        <f t="shared" si="97"/>
        <v>1.0483892430560858E-2</v>
      </c>
      <c r="K414" s="33">
        <f t="shared" si="98"/>
        <v>95.384420111462646</v>
      </c>
      <c r="L414" s="8">
        <v>0</v>
      </c>
      <c r="M414" s="9">
        <v>1</v>
      </c>
      <c r="N414" s="8">
        <v>0</v>
      </c>
      <c r="O414" s="9">
        <v>0</v>
      </c>
      <c r="P414" s="9">
        <v>0</v>
      </c>
      <c r="Q414" s="9">
        <v>1</v>
      </c>
      <c r="R414" s="9">
        <v>0</v>
      </c>
      <c r="S414" s="8">
        <v>9065</v>
      </c>
      <c r="T414" s="9">
        <v>5</v>
      </c>
      <c r="U414" s="9">
        <f t="shared" si="93"/>
        <v>9059</v>
      </c>
      <c r="V414" s="9">
        <f t="shared" si="94"/>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v>0</v>
      </c>
      <c r="BF414" s="18">
        <v>1</v>
      </c>
      <c r="BG414">
        <v>0</v>
      </c>
      <c r="BH414">
        <v>1</v>
      </c>
      <c r="BI414" s="18">
        <v>0</v>
      </c>
      <c r="BJ414">
        <v>1066</v>
      </c>
      <c r="BK414">
        <v>85</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100"/>
        <v>0.69364161849710981</v>
      </c>
      <c r="F415" s="7">
        <v>3.46</v>
      </c>
      <c r="G415" s="7">
        <f t="shared" si="91"/>
        <v>1.70635838150289</v>
      </c>
      <c r="H415" s="16">
        <f t="shared" si="92"/>
        <v>3.0936416184971098</v>
      </c>
      <c r="I415" s="11">
        <f t="shared" si="96"/>
        <v>6.173679701695501E-2</v>
      </c>
      <c r="J415" s="33">
        <f t="shared" si="97"/>
        <v>1.7843004918195092E-2</v>
      </c>
      <c r="K415" s="33">
        <f t="shared" si="98"/>
        <v>56.044371706711097</v>
      </c>
      <c r="L415" s="8">
        <v>0</v>
      </c>
      <c r="M415" s="9">
        <v>1</v>
      </c>
      <c r="N415" s="8">
        <v>0</v>
      </c>
      <c r="O415" s="9">
        <v>0</v>
      </c>
      <c r="P415" s="9">
        <v>0</v>
      </c>
      <c r="Q415" s="9">
        <v>1</v>
      </c>
      <c r="R415" s="9">
        <v>0</v>
      </c>
      <c r="S415" s="8">
        <v>3135</v>
      </c>
      <c r="T415" s="9">
        <v>5</v>
      </c>
      <c r="U415" s="9">
        <f t="shared" si="93"/>
        <v>3129</v>
      </c>
      <c r="V415" s="9">
        <f t="shared" si="94"/>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v>0</v>
      </c>
      <c r="BF415" s="18">
        <v>1</v>
      </c>
      <c r="BG415">
        <v>0</v>
      </c>
      <c r="BH415">
        <v>1</v>
      </c>
      <c r="BI415" s="18">
        <v>0</v>
      </c>
      <c r="BJ415">
        <v>1066</v>
      </c>
      <c r="BK415">
        <v>85</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100"/>
        <v>0.11228070175438597</v>
      </c>
      <c r="F416" s="7">
        <v>28.5</v>
      </c>
      <c r="G416" s="7">
        <f t="shared" si="91"/>
        <v>3.0877192982456143</v>
      </c>
      <c r="H416" s="16">
        <f t="shared" si="92"/>
        <v>3.312280701754386</v>
      </c>
      <c r="I416" s="11">
        <f t="shared" si="96"/>
        <v>0.12049770538708542</v>
      </c>
      <c r="J416" s="33">
        <f t="shared" si="97"/>
        <v>4.2279896627047519E-3</v>
      </c>
      <c r="K416" s="33">
        <f t="shared" si="98"/>
        <v>236.51902671878216</v>
      </c>
      <c r="L416" s="8">
        <v>0</v>
      </c>
      <c r="M416" s="9">
        <v>1</v>
      </c>
      <c r="N416" s="8">
        <v>0</v>
      </c>
      <c r="O416" s="9">
        <v>0</v>
      </c>
      <c r="P416" s="9">
        <v>0</v>
      </c>
      <c r="Q416" s="9">
        <v>1</v>
      </c>
      <c r="R416" s="9">
        <v>0</v>
      </c>
      <c r="S416" s="8">
        <v>55135</v>
      </c>
      <c r="T416" s="9">
        <v>5</v>
      </c>
      <c r="U416" s="9">
        <f t="shared" si="93"/>
        <v>55129</v>
      </c>
      <c r="V416" s="9">
        <f t="shared" si="94"/>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v>0</v>
      </c>
      <c r="BF416" s="18">
        <v>1</v>
      </c>
      <c r="BG416">
        <v>0</v>
      </c>
      <c r="BH416">
        <v>1</v>
      </c>
      <c r="BI416" s="18">
        <v>0</v>
      </c>
      <c r="BJ416">
        <v>1066</v>
      </c>
      <c r="BK416">
        <v>85</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100"/>
        <v>0.14843749999999997</v>
      </c>
      <c r="F417" s="55">
        <v>12.8</v>
      </c>
      <c r="G417" s="55">
        <f t="shared" si="91"/>
        <v>1.7515624999999999</v>
      </c>
      <c r="H417" s="56">
        <f t="shared" si="92"/>
        <v>2.0484374999999999</v>
      </c>
      <c r="I417" s="11">
        <f t="shared" si="96"/>
        <v>8.0980485224041943E-2</v>
      </c>
      <c r="J417" s="33">
        <f t="shared" si="97"/>
        <v>6.3266004081282768E-3</v>
      </c>
      <c r="K417" s="33">
        <f t="shared" si="98"/>
        <v>158.06277234061156</v>
      </c>
      <c r="L417" s="59">
        <v>0</v>
      </c>
      <c r="M417" s="60">
        <v>1</v>
      </c>
      <c r="N417" s="59">
        <v>0</v>
      </c>
      <c r="O417" s="60">
        <v>0</v>
      </c>
      <c r="P417" s="60">
        <v>0</v>
      </c>
      <c r="Q417" s="60">
        <v>1</v>
      </c>
      <c r="R417" s="60">
        <v>0</v>
      </c>
      <c r="S417" s="59">
        <v>24826</v>
      </c>
      <c r="T417" s="60">
        <v>5</v>
      </c>
      <c r="U417" s="60">
        <f t="shared" si="93"/>
        <v>24820</v>
      </c>
      <c r="V417" s="60">
        <f t="shared" si="94"/>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v>0</v>
      </c>
      <c r="BF417" s="65">
        <v>1</v>
      </c>
      <c r="BG417">
        <v>0</v>
      </c>
      <c r="BH417">
        <v>1</v>
      </c>
      <c r="BI417" s="65">
        <v>0</v>
      </c>
      <c r="BJ417">
        <v>1066</v>
      </c>
      <c r="BK417">
        <v>85</v>
      </c>
      <c r="BL417" s="52">
        <v>31.8</v>
      </c>
      <c r="BM417" s="51">
        <v>1</v>
      </c>
      <c r="BN417" s="51">
        <v>0</v>
      </c>
      <c r="BO417" s="51">
        <v>0</v>
      </c>
      <c r="BP417" s="51">
        <v>0</v>
      </c>
      <c r="BQ417" s="51">
        <v>0</v>
      </c>
      <c r="BR417" s="51">
        <v>0</v>
      </c>
      <c r="BS417" s="51">
        <v>0</v>
      </c>
      <c r="BT417" s="65">
        <v>0</v>
      </c>
      <c r="BU417" s="51">
        <v>0</v>
      </c>
      <c r="BV417" s="51">
        <v>0</v>
      </c>
      <c r="BW417" s="51">
        <v>1</v>
      </c>
      <c r="BX417" s="65">
        <v>0</v>
      </c>
      <c r="BY417" s="51">
        <v>0</v>
      </c>
      <c r="BZ417" s="51">
        <v>0</v>
      </c>
      <c r="CA417" s="51">
        <v>0</v>
      </c>
      <c r="CB417" s="51">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101">D418/E418</f>
        <v>16</v>
      </c>
      <c r="G418" s="7">
        <f t="shared" si="91"/>
        <v>4.5</v>
      </c>
      <c r="H418" s="16">
        <f t="shared" si="92"/>
        <v>5.0999999999999996</v>
      </c>
      <c r="I418" s="11">
        <f t="shared" si="96"/>
        <v>0.36891438072857313</v>
      </c>
      <c r="J418" s="33">
        <f t="shared" si="97"/>
        <v>2.3057148795535824E-2</v>
      </c>
      <c r="K418" s="33">
        <f t="shared" si="98"/>
        <v>43.370496884402876</v>
      </c>
      <c r="L418" s="8">
        <v>1</v>
      </c>
      <c r="M418" s="9">
        <v>0</v>
      </c>
      <c r="N418" s="8">
        <v>0</v>
      </c>
      <c r="O418" s="9">
        <v>0</v>
      </c>
      <c r="P418" s="9">
        <v>0</v>
      </c>
      <c r="Q418" s="9">
        <v>0</v>
      </c>
      <c r="R418" s="9">
        <v>1</v>
      </c>
      <c r="S418" s="8">
        <v>1629</v>
      </c>
      <c r="T418" s="9">
        <v>3</v>
      </c>
      <c r="U418" s="9">
        <f t="shared" si="93"/>
        <v>1625</v>
      </c>
      <c r="V418" s="9">
        <f t="shared" si="94"/>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2">1-AT418</f>
        <v>0.36770000000000003</v>
      </c>
      <c r="AT418" s="40">
        <v>0.63229999999999997</v>
      </c>
      <c r="AU418">
        <v>0</v>
      </c>
      <c r="AV418" s="18">
        <v>1</v>
      </c>
      <c r="AW418">
        <v>0</v>
      </c>
      <c r="AX418" s="18">
        <v>1</v>
      </c>
      <c r="AY418" s="18" t="s">
        <v>6</v>
      </c>
      <c r="AZ418">
        <v>0</v>
      </c>
      <c r="BA418">
        <v>0</v>
      </c>
      <c r="BB418">
        <v>0</v>
      </c>
      <c r="BC418">
        <v>0</v>
      </c>
      <c r="BD418">
        <v>1</v>
      </c>
      <c r="BE418">
        <v>0</v>
      </c>
      <c r="BF418" s="18">
        <v>0</v>
      </c>
      <c r="BG418">
        <v>0</v>
      </c>
      <c r="BH418">
        <v>1</v>
      </c>
      <c r="BI418" s="18">
        <v>0</v>
      </c>
      <c r="BJ418">
        <v>1617</v>
      </c>
      <c r="BK418">
        <v>21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101"/>
        <v>15.333333333333332</v>
      </c>
      <c r="G419" s="7">
        <f t="shared" si="91"/>
        <v>4.3</v>
      </c>
      <c r="H419" s="16">
        <f t="shared" si="92"/>
        <v>4.8999999999999995</v>
      </c>
      <c r="I419" s="11">
        <f t="shared" si="96"/>
        <v>0.32167832167832161</v>
      </c>
      <c r="J419" s="33">
        <f t="shared" si="97"/>
        <v>2.097902097902098E-2</v>
      </c>
      <c r="K419" s="33">
        <f t="shared" si="98"/>
        <v>47.666666666666664</v>
      </c>
      <c r="L419" s="8">
        <v>1</v>
      </c>
      <c r="M419" s="9">
        <v>0</v>
      </c>
      <c r="N419" s="8">
        <v>0</v>
      </c>
      <c r="O419" s="9">
        <v>0</v>
      </c>
      <c r="P419" s="9">
        <v>0</v>
      </c>
      <c r="Q419" s="9">
        <v>0</v>
      </c>
      <c r="R419" s="9">
        <v>1</v>
      </c>
      <c r="S419" s="8">
        <v>2041</v>
      </c>
      <c r="T419" s="9">
        <v>3</v>
      </c>
      <c r="U419" s="9">
        <f t="shared" si="93"/>
        <v>2037</v>
      </c>
      <c r="V419" s="9">
        <f t="shared" si="94"/>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2"/>
        <v>0.44810000000000005</v>
      </c>
      <c r="AT419" s="40">
        <v>0.55189999999999995</v>
      </c>
      <c r="AU419">
        <v>0</v>
      </c>
      <c r="AV419" s="18">
        <v>1</v>
      </c>
      <c r="AW419">
        <v>0</v>
      </c>
      <c r="AX419" s="18">
        <v>1</v>
      </c>
      <c r="AY419" s="18" t="s">
        <v>6</v>
      </c>
      <c r="AZ419">
        <v>0</v>
      </c>
      <c r="BA419">
        <v>0</v>
      </c>
      <c r="BB419">
        <v>0</v>
      </c>
      <c r="BC419">
        <v>0</v>
      </c>
      <c r="BD419">
        <v>1</v>
      </c>
      <c r="BE419">
        <v>0</v>
      </c>
      <c r="BF419" s="18">
        <v>0</v>
      </c>
      <c r="BG419">
        <v>0</v>
      </c>
      <c r="BH419">
        <v>1</v>
      </c>
      <c r="BI419" s="18">
        <v>0</v>
      </c>
      <c r="BJ419">
        <v>1881</v>
      </c>
      <c r="BK419">
        <v>55</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101"/>
        <v>17.666666666666668</v>
      </c>
      <c r="G420" s="7">
        <f t="shared" si="91"/>
        <v>5</v>
      </c>
      <c r="H420" s="16">
        <f t="shared" si="92"/>
        <v>5.6</v>
      </c>
      <c r="I420" s="11">
        <f t="shared" si="96"/>
        <v>0.30955535968034781</v>
      </c>
      <c r="J420" s="33">
        <f t="shared" si="97"/>
        <v>1.7522001491340439E-2</v>
      </c>
      <c r="K420" s="33">
        <f t="shared" si="98"/>
        <v>57.071105746350419</v>
      </c>
      <c r="L420" s="8">
        <v>1</v>
      </c>
      <c r="M420" s="9">
        <v>0</v>
      </c>
      <c r="N420" s="8">
        <v>0</v>
      </c>
      <c r="O420" s="9">
        <v>0</v>
      </c>
      <c r="P420" s="9">
        <v>0</v>
      </c>
      <c r="Q420" s="9">
        <v>0</v>
      </c>
      <c r="R420" s="9">
        <v>1</v>
      </c>
      <c r="S420" s="8">
        <v>2949</v>
      </c>
      <c r="T420" s="9">
        <v>3</v>
      </c>
      <c r="U420" s="9">
        <f t="shared" si="93"/>
        <v>2945</v>
      </c>
      <c r="V420" s="9">
        <f t="shared" si="94"/>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2"/>
        <v>0.56109999999999993</v>
      </c>
      <c r="AT420" s="40">
        <v>0.43890000000000001</v>
      </c>
      <c r="AU420">
        <v>0</v>
      </c>
      <c r="AV420" s="18">
        <v>1</v>
      </c>
      <c r="AW420">
        <v>0</v>
      </c>
      <c r="AX420" s="18">
        <v>1</v>
      </c>
      <c r="AY420" s="18" t="s">
        <v>6</v>
      </c>
      <c r="AZ420">
        <v>0</v>
      </c>
      <c r="BA420">
        <v>0</v>
      </c>
      <c r="BB420">
        <v>0</v>
      </c>
      <c r="BC420">
        <v>0</v>
      </c>
      <c r="BD420">
        <v>1</v>
      </c>
      <c r="BE420">
        <v>0</v>
      </c>
      <c r="BF420" s="18">
        <v>0</v>
      </c>
      <c r="BG420">
        <v>0</v>
      </c>
      <c r="BH420">
        <v>1</v>
      </c>
      <c r="BI420" s="18">
        <v>0</v>
      </c>
      <c r="BJ420">
        <v>2166</v>
      </c>
      <c r="BK420">
        <v>43</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101"/>
        <v>11.666666666666668</v>
      </c>
      <c r="G421" s="7">
        <f t="shared" si="91"/>
        <v>6.4</v>
      </c>
      <c r="H421" s="16">
        <f t="shared" si="92"/>
        <v>7.6</v>
      </c>
      <c r="I421" s="11">
        <f t="shared" si="96"/>
        <v>0.28395287839479089</v>
      </c>
      <c r="J421" s="33">
        <f t="shared" si="97"/>
        <v>2.4338818148124934E-2</v>
      </c>
      <c r="K421" s="33">
        <f t="shared" si="98"/>
        <v>41.08662934716245</v>
      </c>
      <c r="L421" s="8">
        <v>1</v>
      </c>
      <c r="M421" s="9">
        <v>0</v>
      </c>
      <c r="N421" s="8">
        <v>0</v>
      </c>
      <c r="O421" s="9">
        <v>0</v>
      </c>
      <c r="P421" s="9">
        <v>0</v>
      </c>
      <c r="Q421" s="9">
        <v>0</v>
      </c>
      <c r="R421" s="9">
        <v>1</v>
      </c>
      <c r="S421" s="8">
        <v>1556</v>
      </c>
      <c r="T421" s="9">
        <v>3</v>
      </c>
      <c r="U421" s="9">
        <f t="shared" si="93"/>
        <v>1552</v>
      </c>
      <c r="V421" s="9">
        <f t="shared" si="94"/>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2"/>
        <v>0.33290000000000008</v>
      </c>
      <c r="AT421" s="40">
        <v>0.66709999999999992</v>
      </c>
      <c r="AU421">
        <v>0</v>
      </c>
      <c r="AV421" s="18">
        <v>1</v>
      </c>
      <c r="AW421">
        <v>0</v>
      </c>
      <c r="AX421" s="18">
        <v>1</v>
      </c>
      <c r="AY421" s="18" t="s">
        <v>15</v>
      </c>
      <c r="AZ421">
        <v>0</v>
      </c>
      <c r="BA421">
        <v>0</v>
      </c>
      <c r="BB421">
        <v>0</v>
      </c>
      <c r="BC421">
        <v>0</v>
      </c>
      <c r="BD421">
        <v>1</v>
      </c>
      <c r="BE421">
        <v>0</v>
      </c>
      <c r="BF421" s="18">
        <v>0</v>
      </c>
      <c r="BG421">
        <v>0</v>
      </c>
      <c r="BH421">
        <v>1</v>
      </c>
      <c r="BI421" s="18">
        <v>0</v>
      </c>
      <c r="BJ421">
        <v>1437</v>
      </c>
      <c r="BK421">
        <v>18</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101"/>
        <v>22.749999999999996</v>
      </c>
      <c r="G422" s="7">
        <f t="shared" si="91"/>
        <v>8.6999999999999993</v>
      </c>
      <c r="H422" s="16">
        <f t="shared" si="92"/>
        <v>9.5</v>
      </c>
      <c r="I422" s="11">
        <f t="shared" si="96"/>
        <v>0.44230554911311321</v>
      </c>
      <c r="J422" s="33">
        <f t="shared" si="97"/>
        <v>1.9442002158818167E-2</v>
      </c>
      <c r="K422" s="33">
        <f t="shared" si="98"/>
        <v>51.435031836288388</v>
      </c>
      <c r="L422" s="8">
        <v>1</v>
      </c>
      <c r="M422" s="9">
        <v>0</v>
      </c>
      <c r="N422" s="8">
        <v>0</v>
      </c>
      <c r="O422" s="9">
        <v>0</v>
      </c>
      <c r="P422" s="9">
        <v>0</v>
      </c>
      <c r="Q422" s="9">
        <v>0</v>
      </c>
      <c r="R422" s="9">
        <v>1</v>
      </c>
      <c r="S422" s="8">
        <v>2132</v>
      </c>
      <c r="T422" s="9">
        <v>3</v>
      </c>
      <c r="U422" s="9">
        <f t="shared" si="93"/>
        <v>2128</v>
      </c>
      <c r="V422" s="9">
        <f t="shared" si="94"/>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2"/>
        <v>0.51</v>
      </c>
      <c r="AT422" s="40">
        <v>0.49</v>
      </c>
      <c r="AU422">
        <v>0</v>
      </c>
      <c r="AV422" s="18">
        <v>1</v>
      </c>
      <c r="AW422">
        <v>0</v>
      </c>
      <c r="AX422" s="18">
        <v>1</v>
      </c>
      <c r="AY422" s="18" t="s">
        <v>15</v>
      </c>
      <c r="AZ422">
        <v>0</v>
      </c>
      <c r="BA422">
        <v>0</v>
      </c>
      <c r="BB422">
        <v>0</v>
      </c>
      <c r="BC422">
        <v>0</v>
      </c>
      <c r="BD422">
        <v>1</v>
      </c>
      <c r="BE422">
        <v>0</v>
      </c>
      <c r="BF422" s="18">
        <v>0</v>
      </c>
      <c r="BG422">
        <v>0</v>
      </c>
      <c r="BH422">
        <v>1</v>
      </c>
      <c r="BI422" s="18">
        <v>0</v>
      </c>
      <c r="BJ422">
        <v>1756</v>
      </c>
      <c r="BK422">
        <v>72</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101"/>
        <v>40.499999999999993</v>
      </c>
      <c r="G423" s="7">
        <f t="shared" si="91"/>
        <v>7.8999999999999995</v>
      </c>
      <c r="H423" s="16">
        <f t="shared" si="92"/>
        <v>8.2999999999999989</v>
      </c>
      <c r="I423" s="11">
        <f t="shared" si="96"/>
        <v>0.42586185739690013</v>
      </c>
      <c r="J423" s="33">
        <f t="shared" si="97"/>
        <v>1.051510759004692E-2</v>
      </c>
      <c r="K423" s="33">
        <f t="shared" si="98"/>
        <v>95.101261821281838</v>
      </c>
      <c r="L423" s="8">
        <v>1</v>
      </c>
      <c r="M423" s="9">
        <v>0</v>
      </c>
      <c r="N423" s="8">
        <v>0</v>
      </c>
      <c r="O423" s="9">
        <v>0</v>
      </c>
      <c r="P423" s="9">
        <v>0</v>
      </c>
      <c r="Q423" s="9">
        <v>0</v>
      </c>
      <c r="R423" s="9">
        <v>1</v>
      </c>
      <c r="S423" s="8">
        <v>7408</v>
      </c>
      <c r="T423" s="9">
        <v>3</v>
      </c>
      <c r="U423" s="9">
        <f t="shared" si="93"/>
        <v>7404</v>
      </c>
      <c r="V423" s="9">
        <f t="shared" si="94"/>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2"/>
        <v>0.64929999999999999</v>
      </c>
      <c r="AT423" s="40">
        <v>0.35070000000000001</v>
      </c>
      <c r="AU423">
        <v>0</v>
      </c>
      <c r="AV423" s="18">
        <v>1</v>
      </c>
      <c r="AW423">
        <v>0</v>
      </c>
      <c r="AX423" s="18">
        <v>1</v>
      </c>
      <c r="AY423" s="18" t="s">
        <v>15</v>
      </c>
      <c r="AZ423">
        <v>0</v>
      </c>
      <c r="BA423">
        <v>0</v>
      </c>
      <c r="BB423">
        <v>0</v>
      </c>
      <c r="BC423">
        <v>0</v>
      </c>
      <c r="BD423">
        <v>1</v>
      </c>
      <c r="BE423">
        <v>0</v>
      </c>
      <c r="BF423" s="18">
        <v>0</v>
      </c>
      <c r="BG423">
        <v>0</v>
      </c>
      <c r="BH423">
        <v>1</v>
      </c>
      <c r="BI423" s="18">
        <v>0</v>
      </c>
      <c r="BJ423">
        <v>2597</v>
      </c>
      <c r="BK423">
        <v>69</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101"/>
        <v>32.5</v>
      </c>
      <c r="G424" s="7">
        <f t="shared" si="91"/>
        <v>6.3</v>
      </c>
      <c r="H424" s="16">
        <f t="shared" si="92"/>
        <v>6.7</v>
      </c>
      <c r="I424" s="11">
        <f t="shared" si="96"/>
        <v>0.34632820004060327</v>
      </c>
      <c r="J424" s="33">
        <f t="shared" si="97"/>
        <v>1.0656252308941638E-2</v>
      </c>
      <c r="K424" s="33">
        <f t="shared" si="98"/>
        <v>93.841621895617294</v>
      </c>
      <c r="L424" s="8">
        <v>1</v>
      </c>
      <c r="M424" s="9">
        <v>0</v>
      </c>
      <c r="N424" s="8">
        <v>0</v>
      </c>
      <c r="O424" s="9">
        <v>0</v>
      </c>
      <c r="P424" s="9">
        <v>0</v>
      </c>
      <c r="Q424" s="9">
        <v>0</v>
      </c>
      <c r="R424" s="9">
        <v>1</v>
      </c>
      <c r="S424" s="8">
        <v>7754</v>
      </c>
      <c r="T424" s="9">
        <v>3</v>
      </c>
      <c r="U424" s="9">
        <f t="shared" si="93"/>
        <v>7750</v>
      </c>
      <c r="V424" s="9">
        <f t="shared" si="94"/>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2"/>
        <v>0.77629999999999999</v>
      </c>
      <c r="AT424" s="40">
        <v>0.22370000000000001</v>
      </c>
      <c r="AU424">
        <v>0</v>
      </c>
      <c r="AV424" s="18">
        <v>1</v>
      </c>
      <c r="AW424">
        <v>0</v>
      </c>
      <c r="AX424" s="18">
        <v>1</v>
      </c>
      <c r="AY424" s="18" t="s">
        <v>29</v>
      </c>
      <c r="AZ424">
        <v>0</v>
      </c>
      <c r="BA424">
        <v>0</v>
      </c>
      <c r="BB424">
        <v>1</v>
      </c>
      <c r="BC424">
        <v>0</v>
      </c>
      <c r="BD424">
        <v>0</v>
      </c>
      <c r="BE424">
        <v>0</v>
      </c>
      <c r="BF424" s="18">
        <v>0</v>
      </c>
      <c r="BG424">
        <v>0</v>
      </c>
      <c r="BH424">
        <v>1</v>
      </c>
      <c r="BI424" s="18">
        <v>0</v>
      </c>
      <c r="BJ424">
        <v>3251</v>
      </c>
      <c r="BK424" t="s">
        <v>98</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101"/>
        <v>31.000000000000004</v>
      </c>
      <c r="G425" s="7">
        <f t="shared" si="91"/>
        <v>9</v>
      </c>
      <c r="H425" s="16">
        <f t="shared" si="92"/>
        <v>9.6000000000000014</v>
      </c>
      <c r="I425" s="11">
        <f t="shared" si="96"/>
        <v>0.2861186337195587</v>
      </c>
      <c r="J425" s="33">
        <f t="shared" si="97"/>
        <v>9.2296333457922153E-3</v>
      </c>
      <c r="K425" s="33">
        <f t="shared" si="98"/>
        <v>108.34666584625482</v>
      </c>
      <c r="L425" s="8">
        <v>1</v>
      </c>
      <c r="M425" s="9">
        <v>0</v>
      </c>
      <c r="N425" s="8">
        <v>0</v>
      </c>
      <c r="O425" s="9">
        <v>0</v>
      </c>
      <c r="P425" s="9">
        <v>0</v>
      </c>
      <c r="Q425" s="9">
        <v>0</v>
      </c>
      <c r="R425" s="9">
        <v>1</v>
      </c>
      <c r="S425" s="8">
        <v>10782</v>
      </c>
      <c r="T425" s="9">
        <v>3</v>
      </c>
      <c r="U425" s="9">
        <f t="shared" si="93"/>
        <v>10778</v>
      </c>
      <c r="V425" s="9">
        <f t="shared" si="94"/>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2"/>
        <v>0.80569999999999997</v>
      </c>
      <c r="AT425" s="40">
        <v>0.1943</v>
      </c>
      <c r="AU425">
        <v>0</v>
      </c>
      <c r="AV425" s="18">
        <v>1</v>
      </c>
      <c r="AW425">
        <v>0</v>
      </c>
      <c r="AX425" s="18">
        <v>1</v>
      </c>
      <c r="AY425" s="18" t="s">
        <v>29</v>
      </c>
      <c r="AZ425">
        <v>0</v>
      </c>
      <c r="BA425">
        <v>0</v>
      </c>
      <c r="BB425">
        <v>1</v>
      </c>
      <c r="BC425">
        <v>0</v>
      </c>
      <c r="BD425">
        <v>0</v>
      </c>
      <c r="BE425">
        <v>0</v>
      </c>
      <c r="BF425" s="18">
        <v>0</v>
      </c>
      <c r="BG425">
        <v>0</v>
      </c>
      <c r="BH425">
        <v>1</v>
      </c>
      <c r="BI425" s="18">
        <v>0</v>
      </c>
      <c r="BJ425">
        <v>4148</v>
      </c>
      <c r="BK425">
        <v>6236</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101"/>
        <v>38.666666666666664</v>
      </c>
      <c r="G426" s="7">
        <f t="shared" si="91"/>
        <v>11.299999999999999</v>
      </c>
      <c r="H426" s="16">
        <f t="shared" si="92"/>
        <v>11.9</v>
      </c>
      <c r="I426" s="11">
        <f t="shared" si="96"/>
        <v>0.49193630773042418</v>
      </c>
      <c r="J426" s="33">
        <f t="shared" si="97"/>
        <v>1.2722490717166144E-2</v>
      </c>
      <c r="K426" s="33">
        <f t="shared" si="98"/>
        <v>78.60096126073212</v>
      </c>
      <c r="L426" s="8">
        <v>1</v>
      </c>
      <c r="M426" s="9">
        <v>0</v>
      </c>
      <c r="N426" s="8">
        <v>0</v>
      </c>
      <c r="O426" s="9">
        <v>0</v>
      </c>
      <c r="P426" s="9">
        <v>0</v>
      </c>
      <c r="Q426" s="9">
        <v>0</v>
      </c>
      <c r="R426" s="9">
        <v>1</v>
      </c>
      <c r="S426" s="8">
        <v>4687</v>
      </c>
      <c r="T426" s="9">
        <v>3</v>
      </c>
      <c r="U426" s="9">
        <f t="shared" si="93"/>
        <v>4683</v>
      </c>
      <c r="V426" s="9">
        <f t="shared" si="94"/>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2"/>
        <v>0.72070000000000001</v>
      </c>
      <c r="AT426" s="40">
        <v>0.27929999999999999</v>
      </c>
      <c r="AU426">
        <v>0</v>
      </c>
      <c r="AV426" s="18">
        <v>1</v>
      </c>
      <c r="AW426">
        <v>0</v>
      </c>
      <c r="AX426" s="18">
        <v>1</v>
      </c>
      <c r="AY426" s="18" t="s">
        <v>29</v>
      </c>
      <c r="AZ426">
        <v>0</v>
      </c>
      <c r="BA426">
        <v>0</v>
      </c>
      <c r="BB426">
        <v>1</v>
      </c>
      <c r="BC426">
        <v>0</v>
      </c>
      <c r="BD426">
        <v>0</v>
      </c>
      <c r="BE426">
        <v>0</v>
      </c>
      <c r="BF426" s="18">
        <v>0</v>
      </c>
      <c r="BG426">
        <v>0</v>
      </c>
      <c r="BH426">
        <v>1</v>
      </c>
      <c r="BI426" s="18">
        <v>0</v>
      </c>
      <c r="BJ426">
        <v>4893</v>
      </c>
      <c r="BK426">
        <v>9111</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91"/>
        <v>-0.39574868787070938</v>
      </c>
      <c r="H427" s="16">
        <f t="shared" si="92"/>
        <v>1.4642701451216245</v>
      </c>
      <c r="I427" s="11">
        <f t="shared" si="96"/>
        <v>1.3980967807515428E-2</v>
      </c>
      <c r="J427" s="33">
        <f t="shared" si="97"/>
        <v>2.4337240257526857E-2</v>
      </c>
      <c r="K427" s="33">
        <f t="shared" si="98"/>
        <v>41.089293174509663</v>
      </c>
      <c r="L427" s="8">
        <v>1</v>
      </c>
      <c r="M427" s="9">
        <v>0</v>
      </c>
      <c r="N427" s="8">
        <v>0</v>
      </c>
      <c r="O427" s="9">
        <v>0</v>
      </c>
      <c r="P427" s="9">
        <v>0</v>
      </c>
      <c r="Q427" s="9">
        <v>0</v>
      </c>
      <c r="R427" s="9">
        <v>1</v>
      </c>
      <c r="S427" s="8">
        <v>1695</v>
      </c>
      <c r="T427" s="9">
        <v>6</v>
      </c>
      <c r="U427" s="9">
        <f t="shared" si="93"/>
        <v>1688</v>
      </c>
      <c r="V427" s="9">
        <f t="shared" si="94"/>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2"/>
        <v>0.36770000000000003</v>
      </c>
      <c r="AT427" s="40">
        <v>0.63229999999999997</v>
      </c>
      <c r="AU427">
        <v>0</v>
      </c>
      <c r="AV427" s="18">
        <v>1</v>
      </c>
      <c r="AW427">
        <v>0</v>
      </c>
      <c r="AX427" s="18">
        <v>1</v>
      </c>
      <c r="AY427" s="18" t="s">
        <v>6</v>
      </c>
      <c r="AZ427">
        <v>0</v>
      </c>
      <c r="BA427">
        <v>0</v>
      </c>
      <c r="BB427">
        <v>0</v>
      </c>
      <c r="BC427">
        <v>0</v>
      </c>
      <c r="BD427">
        <v>1</v>
      </c>
      <c r="BE427">
        <v>0</v>
      </c>
      <c r="BF427" s="18">
        <v>0</v>
      </c>
      <c r="BG427">
        <v>0</v>
      </c>
      <c r="BH427">
        <v>1</v>
      </c>
      <c r="BI427" s="18">
        <v>0</v>
      </c>
      <c r="BJ427">
        <v>1617</v>
      </c>
      <c r="BK427">
        <v>21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91"/>
        <v>4.4421375533010643</v>
      </c>
      <c r="H428" s="16">
        <f t="shared" si="92"/>
        <v>7.1695289994008071</v>
      </c>
      <c r="I428" s="11">
        <f t="shared" si="96"/>
        <v>0.10307220635875566</v>
      </c>
      <c r="J428" s="33">
        <f t="shared" si="97"/>
        <v>2.4209983354033311E-2</v>
      </c>
      <c r="K428" s="33">
        <f t="shared" si="98"/>
        <v>41.305274166303917</v>
      </c>
      <c r="L428" s="8">
        <v>1</v>
      </c>
      <c r="M428" s="9">
        <v>0</v>
      </c>
      <c r="N428" s="8">
        <v>0</v>
      </c>
      <c r="O428" s="9">
        <v>0</v>
      </c>
      <c r="P428" s="9">
        <v>0</v>
      </c>
      <c r="Q428" s="9">
        <v>0</v>
      </c>
      <c r="R428" s="9">
        <v>1</v>
      </c>
      <c r="S428" s="8">
        <v>1695</v>
      </c>
      <c r="T428" s="9">
        <v>6</v>
      </c>
      <c r="U428" s="9">
        <f t="shared" si="93"/>
        <v>1688</v>
      </c>
      <c r="V428" s="9">
        <f t="shared" si="94"/>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2"/>
        <v>0.36770000000000003</v>
      </c>
      <c r="AT428" s="40">
        <v>0.63229999999999997</v>
      </c>
      <c r="AU428">
        <v>0</v>
      </c>
      <c r="AV428" s="18">
        <v>1</v>
      </c>
      <c r="AW428">
        <v>0</v>
      </c>
      <c r="AX428" s="18">
        <v>1</v>
      </c>
      <c r="AY428" s="18" t="s">
        <v>6</v>
      </c>
      <c r="AZ428">
        <v>0</v>
      </c>
      <c r="BA428">
        <v>0</v>
      </c>
      <c r="BB428">
        <v>0</v>
      </c>
      <c r="BC428">
        <v>0</v>
      </c>
      <c r="BD428">
        <v>1</v>
      </c>
      <c r="BE428">
        <v>0</v>
      </c>
      <c r="BF428" s="18">
        <v>0</v>
      </c>
      <c r="BG428">
        <v>0</v>
      </c>
      <c r="BH428">
        <v>1</v>
      </c>
      <c r="BI428" s="18">
        <v>0</v>
      </c>
      <c r="BJ428">
        <v>1617</v>
      </c>
      <c r="BK428">
        <v>21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91"/>
        <v>3.5321851937623947</v>
      </c>
      <c r="H429" s="16">
        <f t="shared" si="92"/>
        <v>4.0333736334178694</v>
      </c>
      <c r="I429" s="11">
        <f t="shared" si="96"/>
        <v>0.34487155734135655</v>
      </c>
      <c r="J429" s="33">
        <f t="shared" si="97"/>
        <v>2.2846380770247605E-2</v>
      </c>
      <c r="K429" s="33">
        <f t="shared" si="98"/>
        <v>43.770609010521284</v>
      </c>
      <c r="L429" s="8">
        <v>1</v>
      </c>
      <c r="M429" s="9">
        <v>0</v>
      </c>
      <c r="N429" s="8">
        <v>0</v>
      </c>
      <c r="O429" s="9">
        <v>0</v>
      </c>
      <c r="P429" s="9">
        <v>0</v>
      </c>
      <c r="Q429" s="9">
        <v>0</v>
      </c>
      <c r="R429" s="9">
        <v>1</v>
      </c>
      <c r="S429" s="8">
        <v>1695</v>
      </c>
      <c r="T429" s="9">
        <v>6</v>
      </c>
      <c r="U429" s="9">
        <f t="shared" si="93"/>
        <v>1688</v>
      </c>
      <c r="V429" s="9">
        <f t="shared" si="94"/>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2"/>
        <v>0.36770000000000003</v>
      </c>
      <c r="AT429" s="40">
        <v>0.63229999999999997</v>
      </c>
      <c r="AU429">
        <v>0</v>
      </c>
      <c r="AV429" s="18">
        <v>1</v>
      </c>
      <c r="AW429">
        <v>0</v>
      </c>
      <c r="AX429" s="18">
        <v>1</v>
      </c>
      <c r="AY429" s="18" t="s">
        <v>6</v>
      </c>
      <c r="AZ429">
        <v>0</v>
      </c>
      <c r="BA429">
        <v>0</v>
      </c>
      <c r="BB429">
        <v>0</v>
      </c>
      <c r="BC429">
        <v>0</v>
      </c>
      <c r="BD429">
        <v>1</v>
      </c>
      <c r="BE429">
        <v>0</v>
      </c>
      <c r="BF429" s="18">
        <v>0</v>
      </c>
      <c r="BG429">
        <v>0</v>
      </c>
      <c r="BH429">
        <v>1</v>
      </c>
      <c r="BI429" s="18">
        <v>0</v>
      </c>
      <c r="BJ429">
        <v>1617</v>
      </c>
      <c r="BK429">
        <v>21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91"/>
        <v>2.1331661296125546</v>
      </c>
      <c r="H430" s="16">
        <f t="shared" si="92"/>
        <v>3.6433722390727699</v>
      </c>
      <c r="I430" s="11">
        <f t="shared" si="96"/>
        <v>8.3435955787929159E-2</v>
      </c>
      <c r="J430" s="33">
        <f t="shared" si="97"/>
        <v>2.1813321774621999E-2</v>
      </c>
      <c r="K430" s="33">
        <f t="shared" si="98"/>
        <v>45.84354507452494</v>
      </c>
      <c r="L430" s="8">
        <v>1</v>
      </c>
      <c r="M430" s="9">
        <v>0</v>
      </c>
      <c r="N430" s="8">
        <v>0</v>
      </c>
      <c r="O430" s="9">
        <v>0</v>
      </c>
      <c r="P430" s="9">
        <v>0</v>
      </c>
      <c r="Q430" s="9">
        <v>0</v>
      </c>
      <c r="R430" s="9">
        <v>1</v>
      </c>
      <c r="S430" s="8">
        <v>2094</v>
      </c>
      <c r="T430" s="9">
        <v>6</v>
      </c>
      <c r="U430" s="9">
        <f t="shared" si="93"/>
        <v>2087</v>
      </c>
      <c r="V430" s="9">
        <f t="shared" si="94"/>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2"/>
        <v>0.44810000000000005</v>
      </c>
      <c r="AT430" s="40">
        <v>0.55189999999999995</v>
      </c>
      <c r="AU430">
        <v>0</v>
      </c>
      <c r="AV430" s="18">
        <v>1</v>
      </c>
      <c r="AW430">
        <v>0</v>
      </c>
      <c r="AX430" s="18">
        <v>1</v>
      </c>
      <c r="AY430" s="18" t="s">
        <v>6</v>
      </c>
      <c r="AZ430">
        <v>0</v>
      </c>
      <c r="BA430">
        <v>0</v>
      </c>
      <c r="BB430">
        <v>0</v>
      </c>
      <c r="BC430">
        <v>0</v>
      </c>
      <c r="BD430">
        <v>1</v>
      </c>
      <c r="BE430">
        <v>0</v>
      </c>
      <c r="BF430" s="18">
        <v>0</v>
      </c>
      <c r="BG430">
        <v>0</v>
      </c>
      <c r="BH430">
        <v>1</v>
      </c>
      <c r="BI430" s="18">
        <v>0</v>
      </c>
      <c r="BJ430">
        <v>1881</v>
      </c>
      <c r="BK430">
        <v>55</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91"/>
        <v>4.1047829933429973</v>
      </c>
      <c r="H431" s="16">
        <f t="shared" si="92"/>
        <v>6.1011538784428172</v>
      </c>
      <c r="I431" s="11">
        <f t="shared" si="96"/>
        <v>0.11121107110684131</v>
      </c>
      <c r="J431" s="33">
        <f t="shared" si="97"/>
        <v>2.1753862212515865E-2</v>
      </c>
      <c r="K431" s="33">
        <f t="shared" si="98"/>
        <v>45.968848668383131</v>
      </c>
      <c r="L431" s="8">
        <v>1</v>
      </c>
      <c r="M431" s="9">
        <v>0</v>
      </c>
      <c r="N431" s="8">
        <v>0</v>
      </c>
      <c r="O431" s="9">
        <v>0</v>
      </c>
      <c r="P431" s="9">
        <v>0</v>
      </c>
      <c r="Q431" s="9">
        <v>0</v>
      </c>
      <c r="R431" s="9">
        <v>1</v>
      </c>
      <c r="S431" s="8">
        <v>2094</v>
      </c>
      <c r="T431" s="9">
        <v>6</v>
      </c>
      <c r="U431" s="9">
        <f t="shared" si="93"/>
        <v>2087</v>
      </c>
      <c r="V431" s="9">
        <f t="shared" si="94"/>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2"/>
        <v>0.44810000000000005</v>
      </c>
      <c r="AT431" s="40">
        <v>0.55189999999999995</v>
      </c>
      <c r="AU431">
        <v>0</v>
      </c>
      <c r="AV431" s="18">
        <v>1</v>
      </c>
      <c r="AW431">
        <v>0</v>
      </c>
      <c r="AX431" s="18">
        <v>1</v>
      </c>
      <c r="AY431" s="18" t="s">
        <v>6</v>
      </c>
      <c r="AZ431">
        <v>0</v>
      </c>
      <c r="BA431">
        <v>0</v>
      </c>
      <c r="BB431">
        <v>0</v>
      </c>
      <c r="BC431">
        <v>0</v>
      </c>
      <c r="BD431">
        <v>1</v>
      </c>
      <c r="BE431">
        <v>0</v>
      </c>
      <c r="BF431" s="18">
        <v>0</v>
      </c>
      <c r="BG431">
        <v>0</v>
      </c>
      <c r="BH431">
        <v>1</v>
      </c>
      <c r="BI431" s="18">
        <v>0</v>
      </c>
      <c r="BJ431">
        <v>1881</v>
      </c>
      <c r="BK431">
        <v>55</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91"/>
        <v>2.4764843249679229</v>
      </c>
      <c r="H432" s="16">
        <f t="shared" si="92"/>
        <v>2.797891608408019</v>
      </c>
      <c r="I432" s="11">
        <f t="shared" si="96"/>
        <v>0.33806514481568656</v>
      </c>
      <c r="J432" s="33">
        <f t="shared" si="97"/>
        <v>2.0600844762205903E-2</v>
      </c>
      <c r="K432" s="33">
        <f t="shared" si="98"/>
        <v>48.541698728519606</v>
      </c>
      <c r="L432" s="8">
        <v>1</v>
      </c>
      <c r="M432" s="9">
        <v>0</v>
      </c>
      <c r="N432" s="8">
        <v>0</v>
      </c>
      <c r="O432" s="9">
        <v>0</v>
      </c>
      <c r="P432" s="9">
        <v>0</v>
      </c>
      <c r="Q432" s="9">
        <v>0</v>
      </c>
      <c r="R432" s="9">
        <v>1</v>
      </c>
      <c r="S432" s="8">
        <v>2094</v>
      </c>
      <c r="T432" s="9">
        <v>6</v>
      </c>
      <c r="U432" s="9">
        <f t="shared" si="93"/>
        <v>2087</v>
      </c>
      <c r="V432" s="9">
        <f t="shared" si="94"/>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2"/>
        <v>0.44810000000000005</v>
      </c>
      <c r="AT432" s="40">
        <v>0.55189999999999995</v>
      </c>
      <c r="AU432">
        <v>0</v>
      </c>
      <c r="AV432" s="18">
        <v>1</v>
      </c>
      <c r="AW432">
        <v>0</v>
      </c>
      <c r="AX432" s="18">
        <v>1</v>
      </c>
      <c r="AY432" s="18" t="s">
        <v>6</v>
      </c>
      <c r="AZ432">
        <v>0</v>
      </c>
      <c r="BA432">
        <v>0</v>
      </c>
      <c r="BB432">
        <v>0</v>
      </c>
      <c r="BC432">
        <v>0</v>
      </c>
      <c r="BD432">
        <v>1</v>
      </c>
      <c r="BE432">
        <v>0</v>
      </c>
      <c r="BF432" s="18">
        <v>0</v>
      </c>
      <c r="BG432">
        <v>0</v>
      </c>
      <c r="BH432">
        <v>1</v>
      </c>
      <c r="BI432" s="18">
        <v>0</v>
      </c>
      <c r="BJ432">
        <v>1881</v>
      </c>
      <c r="BK432">
        <v>55</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91"/>
        <v>0.5644103420066765</v>
      </c>
      <c r="H433" s="16">
        <f t="shared" si="92"/>
        <v>2.1603292400945215</v>
      </c>
      <c r="I433" s="11">
        <f t="shared" si="96"/>
        <v>3.1376263115216206E-2</v>
      </c>
      <c r="J433" s="33">
        <f t="shared" si="97"/>
        <v>1.8377525538912347E-2</v>
      </c>
      <c r="K433" s="33">
        <f t="shared" si="98"/>
        <v>54.414289773811618</v>
      </c>
      <c r="L433" s="8">
        <v>1</v>
      </c>
      <c r="M433" s="9">
        <v>0</v>
      </c>
      <c r="N433" s="8">
        <v>0</v>
      </c>
      <c r="O433" s="9">
        <v>0</v>
      </c>
      <c r="P433" s="9">
        <v>0</v>
      </c>
      <c r="Q433" s="9">
        <v>0</v>
      </c>
      <c r="R433" s="9">
        <v>1</v>
      </c>
      <c r="S433" s="8">
        <v>2965</v>
      </c>
      <c r="T433" s="9">
        <v>6</v>
      </c>
      <c r="U433" s="9">
        <f t="shared" si="93"/>
        <v>2958</v>
      </c>
      <c r="V433" s="9">
        <f t="shared" si="94"/>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2"/>
        <v>0.56109999999999993</v>
      </c>
      <c r="AT433" s="40">
        <v>0.43890000000000001</v>
      </c>
      <c r="AU433">
        <v>0</v>
      </c>
      <c r="AV433" s="18">
        <v>1</v>
      </c>
      <c r="AW433">
        <v>0</v>
      </c>
      <c r="AX433" s="18">
        <v>1</v>
      </c>
      <c r="AY433" s="18" t="s">
        <v>6</v>
      </c>
      <c r="AZ433">
        <v>0</v>
      </c>
      <c r="BA433">
        <v>0</v>
      </c>
      <c r="BB433">
        <v>0</v>
      </c>
      <c r="BC433">
        <v>0</v>
      </c>
      <c r="BD433">
        <v>1</v>
      </c>
      <c r="BE433">
        <v>0</v>
      </c>
      <c r="BF433" s="18">
        <v>0</v>
      </c>
      <c r="BG433">
        <v>0</v>
      </c>
      <c r="BH433">
        <v>1</v>
      </c>
      <c r="BI433" s="18">
        <v>0</v>
      </c>
      <c r="BJ433">
        <v>2166</v>
      </c>
      <c r="BK433">
        <v>43</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91"/>
        <v>3.064801451172861</v>
      </c>
      <c r="H434" s="16">
        <f t="shared" si="92"/>
        <v>6.1417167420736769</v>
      </c>
      <c r="I434" s="11">
        <f t="shared" si="96"/>
        <v>5.4931891764221967E-2</v>
      </c>
      <c r="J434" s="33">
        <f t="shared" si="97"/>
        <v>1.8358816458042604E-2</v>
      </c>
      <c r="K434" s="33">
        <f t="shared" si="98"/>
        <v>54.469742223601862</v>
      </c>
      <c r="L434" s="8">
        <v>1</v>
      </c>
      <c r="M434" s="9">
        <v>0</v>
      </c>
      <c r="N434" s="8">
        <v>0</v>
      </c>
      <c r="O434" s="9">
        <v>0</v>
      </c>
      <c r="P434" s="9">
        <v>0</v>
      </c>
      <c r="Q434" s="9">
        <v>0</v>
      </c>
      <c r="R434" s="9">
        <v>1</v>
      </c>
      <c r="S434" s="8">
        <v>2965</v>
      </c>
      <c r="T434" s="9">
        <v>6</v>
      </c>
      <c r="U434" s="9">
        <f t="shared" si="93"/>
        <v>2958</v>
      </c>
      <c r="V434" s="9">
        <f t="shared" si="94"/>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2"/>
        <v>0.56109999999999993</v>
      </c>
      <c r="AT434" s="40">
        <v>0.43890000000000001</v>
      </c>
      <c r="AU434">
        <v>0</v>
      </c>
      <c r="AV434" s="18">
        <v>1</v>
      </c>
      <c r="AW434">
        <v>0</v>
      </c>
      <c r="AX434" s="18">
        <v>1</v>
      </c>
      <c r="AY434" s="18" t="s">
        <v>6</v>
      </c>
      <c r="AZ434">
        <v>0</v>
      </c>
      <c r="BA434">
        <v>0</v>
      </c>
      <c r="BB434">
        <v>0</v>
      </c>
      <c r="BC434">
        <v>0</v>
      </c>
      <c r="BD434">
        <v>1</v>
      </c>
      <c r="BE434">
        <v>0</v>
      </c>
      <c r="BF434" s="18">
        <v>0</v>
      </c>
      <c r="BG434">
        <v>0</v>
      </c>
      <c r="BH434">
        <v>1</v>
      </c>
      <c r="BI434" s="18">
        <v>0</v>
      </c>
      <c r="BJ434">
        <v>2166</v>
      </c>
      <c r="BK434">
        <v>43</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91"/>
        <v>5.7478025045359642</v>
      </c>
      <c r="H435" s="16">
        <f t="shared" si="92"/>
        <v>6.4032536673339253</v>
      </c>
      <c r="I435" s="11">
        <f t="shared" si="96"/>
        <v>0.32263134511512198</v>
      </c>
      <c r="J435" s="33">
        <f t="shared" si="97"/>
        <v>1.7403350566375875E-2</v>
      </c>
      <c r="K435" s="33">
        <f t="shared" si="98"/>
        <v>57.460199757858639</v>
      </c>
      <c r="L435" s="8">
        <v>1</v>
      </c>
      <c r="M435" s="9">
        <v>0</v>
      </c>
      <c r="N435" s="8">
        <v>0</v>
      </c>
      <c r="O435" s="9">
        <v>0</v>
      </c>
      <c r="P435" s="9">
        <v>0</v>
      </c>
      <c r="Q435" s="9">
        <v>0</v>
      </c>
      <c r="R435" s="9">
        <v>1</v>
      </c>
      <c r="S435" s="8">
        <v>2965</v>
      </c>
      <c r="T435" s="9">
        <v>6</v>
      </c>
      <c r="U435" s="9">
        <f t="shared" si="93"/>
        <v>2958</v>
      </c>
      <c r="V435" s="9">
        <f t="shared" si="94"/>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2"/>
        <v>0.56109999999999993</v>
      </c>
      <c r="AT435" s="40">
        <v>0.43890000000000001</v>
      </c>
      <c r="AU435">
        <v>0</v>
      </c>
      <c r="AV435" s="18">
        <v>1</v>
      </c>
      <c r="AW435">
        <v>0</v>
      </c>
      <c r="AX435" s="18">
        <v>1</v>
      </c>
      <c r="AY435" s="18" t="s">
        <v>6</v>
      </c>
      <c r="AZ435">
        <v>0</v>
      </c>
      <c r="BA435">
        <v>0</v>
      </c>
      <c r="BB435">
        <v>0</v>
      </c>
      <c r="BC435">
        <v>0</v>
      </c>
      <c r="BD435">
        <v>1</v>
      </c>
      <c r="BE435">
        <v>0</v>
      </c>
      <c r="BF435" s="18">
        <v>0</v>
      </c>
      <c r="BG435">
        <v>0</v>
      </c>
      <c r="BH435">
        <v>1</v>
      </c>
      <c r="BI435" s="18">
        <v>0</v>
      </c>
      <c r="BJ435">
        <v>2166</v>
      </c>
      <c r="BK435">
        <v>43</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91"/>
        <v>0.88297678300968019</v>
      </c>
      <c r="H436" s="16">
        <f t="shared" si="92"/>
        <v>3.2247847727310059</v>
      </c>
      <c r="I436" s="11">
        <f t="shared" si="96"/>
        <v>4.4524323599036242E-2</v>
      </c>
      <c r="J436" s="33">
        <f t="shared" si="97"/>
        <v>2.5383025603188881E-2</v>
      </c>
      <c r="K436" s="33">
        <f t="shared" si="98"/>
        <v>39.396406702373952</v>
      </c>
      <c r="L436" s="8">
        <v>1</v>
      </c>
      <c r="M436" s="9">
        <v>0</v>
      </c>
      <c r="N436" s="8">
        <v>0</v>
      </c>
      <c r="O436" s="9">
        <v>0</v>
      </c>
      <c r="P436" s="9">
        <v>0</v>
      </c>
      <c r="Q436" s="9">
        <v>0</v>
      </c>
      <c r="R436" s="9">
        <v>1</v>
      </c>
      <c r="S436" s="8">
        <v>1556</v>
      </c>
      <c r="T436" s="9">
        <v>6</v>
      </c>
      <c r="U436" s="9">
        <f t="shared" si="93"/>
        <v>1549</v>
      </c>
      <c r="V436" s="9">
        <f t="shared" si="94"/>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2"/>
        <v>0.77629999999999999</v>
      </c>
      <c r="AT436" s="40">
        <v>0.22370000000000001</v>
      </c>
      <c r="AU436">
        <v>0</v>
      </c>
      <c r="AV436" s="18">
        <v>1</v>
      </c>
      <c r="AW436">
        <v>0</v>
      </c>
      <c r="AX436" s="18">
        <v>1</v>
      </c>
      <c r="AY436" s="18" t="s">
        <v>29</v>
      </c>
      <c r="AZ436">
        <v>0</v>
      </c>
      <c r="BA436">
        <v>0</v>
      </c>
      <c r="BB436">
        <v>1</v>
      </c>
      <c r="BC436">
        <v>0</v>
      </c>
      <c r="BD436">
        <v>0</v>
      </c>
      <c r="BE436">
        <v>0</v>
      </c>
      <c r="BF436" s="18">
        <v>0</v>
      </c>
      <c r="BG436">
        <v>0</v>
      </c>
      <c r="BH436">
        <v>1</v>
      </c>
      <c r="BI436" s="18">
        <v>0</v>
      </c>
      <c r="BJ436">
        <v>3276</v>
      </c>
      <c r="BK436" t="s">
        <v>98</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91"/>
        <v>6.9192554648999183</v>
      </c>
      <c r="H437" s="16">
        <f t="shared" si="92"/>
        <v>8.810518625305896</v>
      </c>
      <c r="I437" s="11">
        <f t="shared" si="96"/>
        <v>0.2067559194316444</v>
      </c>
      <c r="J437" s="33">
        <f t="shared" si="97"/>
        <v>2.4859216119347275E-2</v>
      </c>
      <c r="K437" s="33">
        <f t="shared" si="98"/>
        <v>40.226529879263822</v>
      </c>
      <c r="L437" s="8">
        <v>1</v>
      </c>
      <c r="M437" s="9">
        <v>0</v>
      </c>
      <c r="N437" s="8">
        <v>0</v>
      </c>
      <c r="O437" s="9">
        <v>0</v>
      </c>
      <c r="P437" s="9">
        <v>0</v>
      </c>
      <c r="Q437" s="9">
        <v>0</v>
      </c>
      <c r="R437" s="9">
        <v>1</v>
      </c>
      <c r="S437" s="8">
        <v>1556</v>
      </c>
      <c r="T437" s="9">
        <v>6</v>
      </c>
      <c r="U437" s="9">
        <f t="shared" si="93"/>
        <v>1549</v>
      </c>
      <c r="V437" s="9">
        <f t="shared" si="94"/>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2"/>
        <v>0.77629999999999999</v>
      </c>
      <c r="AT437" s="40">
        <v>0.22370000000000001</v>
      </c>
      <c r="AU437">
        <v>0</v>
      </c>
      <c r="AV437" s="18">
        <v>1</v>
      </c>
      <c r="AW437">
        <v>0</v>
      </c>
      <c r="AX437" s="18">
        <v>1</v>
      </c>
      <c r="AY437" s="18" t="s">
        <v>29</v>
      </c>
      <c r="AZ437">
        <v>0</v>
      </c>
      <c r="BA437">
        <v>0</v>
      </c>
      <c r="BB437">
        <v>1</v>
      </c>
      <c r="BC437">
        <v>0</v>
      </c>
      <c r="BD437">
        <v>0</v>
      </c>
      <c r="BE437">
        <v>0</v>
      </c>
      <c r="BF437" s="18">
        <v>0</v>
      </c>
      <c r="BG437">
        <v>0</v>
      </c>
      <c r="BH437">
        <v>1</v>
      </c>
      <c r="BI437" s="18">
        <v>0</v>
      </c>
      <c r="BJ437">
        <v>3276</v>
      </c>
      <c r="BK437" t="s">
        <v>98</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91"/>
        <v>8.736190553301963</v>
      </c>
      <c r="H438" s="16">
        <f t="shared" si="92"/>
        <v>10.755765252138847</v>
      </c>
      <c r="I438" s="11">
        <f t="shared" si="96"/>
        <v>0.23817098554182045</v>
      </c>
      <c r="J438" s="33">
        <f t="shared" si="97"/>
        <v>2.467705658675063E-2</v>
      </c>
      <c r="K438" s="33">
        <f t="shared" si="98"/>
        <v>40.523471528484905</v>
      </c>
      <c r="L438" s="8">
        <v>1</v>
      </c>
      <c r="M438" s="9">
        <v>0</v>
      </c>
      <c r="N438" s="8">
        <v>0</v>
      </c>
      <c r="O438" s="9">
        <v>0</v>
      </c>
      <c r="P438" s="9">
        <v>0</v>
      </c>
      <c r="Q438" s="9">
        <v>0</v>
      </c>
      <c r="R438" s="9">
        <v>1</v>
      </c>
      <c r="S438" s="8">
        <v>1556</v>
      </c>
      <c r="T438" s="9">
        <v>6</v>
      </c>
      <c r="U438" s="9">
        <f t="shared" si="93"/>
        <v>1549</v>
      </c>
      <c r="V438" s="9">
        <f t="shared" si="94"/>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2"/>
        <v>0.77629999999999999</v>
      </c>
      <c r="AT438" s="40">
        <v>0.22370000000000001</v>
      </c>
      <c r="AU438">
        <v>0</v>
      </c>
      <c r="AV438" s="18">
        <v>1</v>
      </c>
      <c r="AW438">
        <v>0</v>
      </c>
      <c r="AX438" s="18">
        <v>1</v>
      </c>
      <c r="AY438" s="18" t="s">
        <v>29</v>
      </c>
      <c r="AZ438">
        <v>0</v>
      </c>
      <c r="BA438">
        <v>0</v>
      </c>
      <c r="BB438">
        <v>1</v>
      </c>
      <c r="BC438">
        <v>0</v>
      </c>
      <c r="BD438">
        <v>0</v>
      </c>
      <c r="BE438">
        <v>0</v>
      </c>
      <c r="BF438" s="18">
        <v>0</v>
      </c>
      <c r="BG438">
        <v>0</v>
      </c>
      <c r="BH438">
        <v>1</v>
      </c>
      <c r="BI438" s="18">
        <v>0</v>
      </c>
      <c r="BJ438">
        <v>3276</v>
      </c>
      <c r="BK438" t="s">
        <v>98</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91"/>
        <v>3.5563204725313646</v>
      </c>
      <c r="H439" s="16">
        <f t="shared" si="92"/>
        <v>5.6718752151654073</v>
      </c>
      <c r="I439" s="11">
        <f t="shared" si="96"/>
        <v>9.4205733875260531E-2</v>
      </c>
      <c r="J439" s="33">
        <f t="shared" si="97"/>
        <v>2.1596571402233637E-2</v>
      </c>
      <c r="K439" s="33">
        <f t="shared" si="98"/>
        <v>46.303646137857534</v>
      </c>
      <c r="L439" s="8">
        <v>1</v>
      </c>
      <c r="M439" s="9">
        <v>0</v>
      </c>
      <c r="N439" s="8">
        <v>0</v>
      </c>
      <c r="O439" s="9">
        <v>0</v>
      </c>
      <c r="P439" s="9">
        <v>0</v>
      </c>
      <c r="Q439" s="9">
        <v>0</v>
      </c>
      <c r="R439" s="9">
        <v>1</v>
      </c>
      <c r="S439" s="8">
        <v>2132</v>
      </c>
      <c r="T439" s="9">
        <v>6</v>
      </c>
      <c r="U439" s="9">
        <f t="shared" si="93"/>
        <v>2125</v>
      </c>
      <c r="V439" s="9">
        <f t="shared" si="94"/>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2"/>
        <v>0.80569999999999997</v>
      </c>
      <c r="AT439" s="40">
        <v>0.1943</v>
      </c>
      <c r="AU439">
        <v>0</v>
      </c>
      <c r="AV439" s="18">
        <v>1</v>
      </c>
      <c r="AW439">
        <v>0</v>
      </c>
      <c r="AX439" s="18">
        <v>1</v>
      </c>
      <c r="AY439" s="18" t="s">
        <v>29</v>
      </c>
      <c r="AZ439">
        <v>0</v>
      </c>
      <c r="BA439">
        <v>0</v>
      </c>
      <c r="BB439">
        <v>1</v>
      </c>
      <c r="BC439">
        <v>0</v>
      </c>
      <c r="BD439">
        <v>0</v>
      </c>
      <c r="BE439">
        <v>0</v>
      </c>
      <c r="BF439" s="18">
        <v>0</v>
      </c>
      <c r="BG439">
        <v>0</v>
      </c>
      <c r="BH439">
        <v>1</v>
      </c>
      <c r="BI439" s="18">
        <v>0</v>
      </c>
      <c r="BJ439">
        <v>3855</v>
      </c>
      <c r="BK439">
        <v>5927</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91"/>
        <v>5.8812405354916715</v>
      </c>
      <c r="H440" s="16">
        <f t="shared" si="92"/>
        <v>7.0666068449706136</v>
      </c>
      <c r="I440" s="11">
        <f t="shared" si="96"/>
        <v>0.23057022351054177</v>
      </c>
      <c r="J440" s="33">
        <f t="shared" si="97"/>
        <v>2.1108541588993265E-2</v>
      </c>
      <c r="K440" s="33">
        <f t="shared" si="98"/>
        <v>47.374187164187369</v>
      </c>
      <c r="L440" s="8">
        <v>1</v>
      </c>
      <c r="M440" s="9">
        <v>0</v>
      </c>
      <c r="N440" s="8">
        <v>0</v>
      </c>
      <c r="O440" s="9">
        <v>0</v>
      </c>
      <c r="P440" s="9">
        <v>0</v>
      </c>
      <c r="Q440" s="9">
        <v>0</v>
      </c>
      <c r="R440" s="9">
        <v>1</v>
      </c>
      <c r="S440" s="8">
        <v>2132</v>
      </c>
      <c r="T440" s="9">
        <v>6</v>
      </c>
      <c r="U440" s="9">
        <f t="shared" si="93"/>
        <v>2125</v>
      </c>
      <c r="V440" s="9">
        <f t="shared" si="94"/>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2"/>
        <v>0.80569999999999997</v>
      </c>
      <c r="AT440" s="40">
        <v>0.1943</v>
      </c>
      <c r="AU440">
        <v>0</v>
      </c>
      <c r="AV440" s="18">
        <v>1</v>
      </c>
      <c r="AW440">
        <v>0</v>
      </c>
      <c r="AX440" s="18">
        <v>1</v>
      </c>
      <c r="AY440" s="18" t="s">
        <v>29</v>
      </c>
      <c r="AZ440">
        <v>0</v>
      </c>
      <c r="BA440">
        <v>0</v>
      </c>
      <c r="BB440">
        <v>1</v>
      </c>
      <c r="BC440">
        <v>0</v>
      </c>
      <c r="BD440">
        <v>0</v>
      </c>
      <c r="BE440">
        <v>0</v>
      </c>
      <c r="BF440" s="18">
        <v>0</v>
      </c>
      <c r="BG440">
        <v>0</v>
      </c>
      <c r="BH440">
        <v>1</v>
      </c>
      <c r="BI440" s="18">
        <v>0</v>
      </c>
      <c r="BJ440">
        <v>3855</v>
      </c>
      <c r="BK440">
        <v>5927</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91"/>
        <v>7.5665734186020002</v>
      </c>
      <c r="H441" s="16">
        <f t="shared" si="92"/>
        <v>9.4144692396111846</v>
      </c>
      <c r="I441" s="11">
        <f t="shared" si="96"/>
        <v>0.19549933117032514</v>
      </c>
      <c r="J441" s="33">
        <f t="shared" si="97"/>
        <v>2.127445318588864E-2</v>
      </c>
      <c r="K441" s="33">
        <f t="shared" si="98"/>
        <v>47.004733389025517</v>
      </c>
      <c r="L441" s="8">
        <v>1</v>
      </c>
      <c r="M441" s="9">
        <v>0</v>
      </c>
      <c r="N441" s="8">
        <v>0</v>
      </c>
      <c r="O441" s="9">
        <v>0</v>
      </c>
      <c r="P441" s="9">
        <v>0</v>
      </c>
      <c r="Q441" s="9">
        <v>0</v>
      </c>
      <c r="R441" s="9">
        <v>1</v>
      </c>
      <c r="S441" s="8">
        <v>2132</v>
      </c>
      <c r="T441" s="9">
        <v>6</v>
      </c>
      <c r="U441" s="9">
        <f t="shared" si="93"/>
        <v>2125</v>
      </c>
      <c r="V441" s="9">
        <f t="shared" si="94"/>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2"/>
        <v>0.80569999999999997</v>
      </c>
      <c r="AT441" s="40">
        <v>0.1943</v>
      </c>
      <c r="AU441">
        <v>0</v>
      </c>
      <c r="AV441" s="18">
        <v>1</v>
      </c>
      <c r="AW441">
        <v>0</v>
      </c>
      <c r="AX441" s="18">
        <v>1</v>
      </c>
      <c r="AY441" s="18" t="s">
        <v>29</v>
      </c>
      <c r="AZ441">
        <v>0</v>
      </c>
      <c r="BA441">
        <v>0</v>
      </c>
      <c r="BB441">
        <v>1</v>
      </c>
      <c r="BC441">
        <v>0</v>
      </c>
      <c r="BD441">
        <v>0</v>
      </c>
      <c r="BE441">
        <v>0</v>
      </c>
      <c r="BF441" s="18">
        <v>0</v>
      </c>
      <c r="BG441">
        <v>0</v>
      </c>
      <c r="BH441">
        <v>1</v>
      </c>
      <c r="BI441" s="18">
        <v>0</v>
      </c>
      <c r="BJ441">
        <v>3855</v>
      </c>
      <c r="BK441">
        <v>5927</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91"/>
        <v>2.4317391856150841</v>
      </c>
      <c r="H442" s="16">
        <f t="shared" si="92"/>
        <v>3.4873779018510898</v>
      </c>
      <c r="I442" s="11">
        <f t="shared" si="96"/>
        <v>6.5039308263637657E-2</v>
      </c>
      <c r="J442" s="33">
        <f t="shared" si="97"/>
        <v>1.1599367078865316E-2</v>
      </c>
      <c r="K442" s="33">
        <f t="shared" si="98"/>
        <v>86.211600443446173</v>
      </c>
      <c r="L442" s="8">
        <v>1</v>
      </c>
      <c r="M442" s="9">
        <v>0</v>
      </c>
      <c r="N442" s="8">
        <v>0</v>
      </c>
      <c r="O442" s="9">
        <v>0</v>
      </c>
      <c r="P442" s="9">
        <v>0</v>
      </c>
      <c r="Q442" s="9">
        <v>0</v>
      </c>
      <c r="R442" s="9">
        <v>1</v>
      </c>
      <c r="S442" s="8">
        <v>7408</v>
      </c>
      <c r="T442" s="9">
        <v>6</v>
      </c>
      <c r="U442" s="9">
        <f t="shared" si="93"/>
        <v>7401</v>
      </c>
      <c r="V442" s="9">
        <f t="shared" si="94"/>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2"/>
        <v>0.72070000000000001</v>
      </c>
      <c r="AT442" s="40">
        <v>0.27929999999999999</v>
      </c>
      <c r="AU442">
        <v>0</v>
      </c>
      <c r="AV442" s="18">
        <v>1</v>
      </c>
      <c r="AW442">
        <v>0</v>
      </c>
      <c r="AX442" s="18">
        <v>1</v>
      </c>
      <c r="AY442" s="18" t="s">
        <v>29</v>
      </c>
      <c r="AZ442">
        <v>0</v>
      </c>
      <c r="BA442">
        <v>0</v>
      </c>
      <c r="BB442">
        <v>1</v>
      </c>
      <c r="BC442">
        <v>0</v>
      </c>
      <c r="BD442">
        <v>0</v>
      </c>
      <c r="BE442">
        <v>0</v>
      </c>
      <c r="BF442" s="18">
        <v>0</v>
      </c>
      <c r="BG442">
        <v>0</v>
      </c>
      <c r="BH442">
        <v>1</v>
      </c>
      <c r="BI442" s="18">
        <v>0</v>
      </c>
      <c r="BJ442">
        <v>4893</v>
      </c>
      <c r="BK442">
        <v>9111</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91"/>
        <v>5.635277850392244</v>
      </c>
      <c r="H443" s="16">
        <f t="shared" si="92"/>
        <v>6.3019280951706236</v>
      </c>
      <c r="I443" s="11">
        <f t="shared" si="96"/>
        <v>0.20377459718790986</v>
      </c>
      <c r="J443" s="33">
        <f t="shared" si="97"/>
        <v>1.1380082216427776E-2</v>
      </c>
      <c r="K443" s="33">
        <f t="shared" si="98"/>
        <v>87.872827364677988</v>
      </c>
      <c r="L443" s="8">
        <v>1</v>
      </c>
      <c r="M443" s="9">
        <v>0</v>
      </c>
      <c r="N443" s="8">
        <v>0</v>
      </c>
      <c r="O443" s="9">
        <v>0</v>
      </c>
      <c r="P443" s="9">
        <v>0</v>
      </c>
      <c r="Q443" s="9">
        <v>0</v>
      </c>
      <c r="R443" s="9">
        <v>1</v>
      </c>
      <c r="S443" s="8">
        <v>7408</v>
      </c>
      <c r="T443" s="9">
        <v>6</v>
      </c>
      <c r="U443" s="9">
        <f t="shared" si="93"/>
        <v>7401</v>
      </c>
      <c r="V443" s="9">
        <f t="shared" si="94"/>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2"/>
        <v>0.72070000000000001</v>
      </c>
      <c r="AT443" s="40">
        <v>0.27929999999999999</v>
      </c>
      <c r="AU443">
        <v>0</v>
      </c>
      <c r="AV443" s="18">
        <v>1</v>
      </c>
      <c r="AW443">
        <v>0</v>
      </c>
      <c r="AX443" s="18">
        <v>1</v>
      </c>
      <c r="AY443" s="18" t="s">
        <v>29</v>
      </c>
      <c r="AZ443">
        <v>0</v>
      </c>
      <c r="BA443">
        <v>0</v>
      </c>
      <c r="BB443">
        <v>1</v>
      </c>
      <c r="BC443">
        <v>0</v>
      </c>
      <c r="BD443">
        <v>0</v>
      </c>
      <c r="BE443">
        <v>0</v>
      </c>
      <c r="BF443" s="18">
        <v>0</v>
      </c>
      <c r="BG443">
        <v>0</v>
      </c>
      <c r="BH443">
        <v>1</v>
      </c>
      <c r="BI443" s="18">
        <v>0</v>
      </c>
      <c r="BJ443">
        <v>4893</v>
      </c>
      <c r="BK443">
        <v>9111</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91"/>
        <v>8.3765587659190253</v>
      </c>
      <c r="H444" s="56">
        <f t="shared" si="92"/>
        <v>8.9498593658678551</v>
      </c>
      <c r="I444" s="11">
        <f t="shared" si="96"/>
        <v>0.33144493664839791</v>
      </c>
      <c r="J444" s="33">
        <f t="shared" si="97"/>
        <v>1.0966928050866107E-2</v>
      </c>
      <c r="K444" s="33">
        <f t="shared" si="98"/>
        <v>91.183237034278307</v>
      </c>
      <c r="L444" s="59">
        <v>1</v>
      </c>
      <c r="M444" s="60">
        <v>0</v>
      </c>
      <c r="N444" s="59">
        <v>0</v>
      </c>
      <c r="O444" s="60">
        <v>0</v>
      </c>
      <c r="P444" s="60">
        <v>0</v>
      </c>
      <c r="Q444" s="60">
        <v>0</v>
      </c>
      <c r="R444" s="60">
        <v>1</v>
      </c>
      <c r="S444" s="59">
        <v>7408</v>
      </c>
      <c r="T444" s="60">
        <v>6</v>
      </c>
      <c r="U444" s="60">
        <f t="shared" si="93"/>
        <v>7401</v>
      </c>
      <c r="V444" s="60">
        <f t="shared" si="94"/>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2"/>
        <v>0.72070000000000001</v>
      </c>
      <c r="AT444" s="66">
        <v>0.27929999999999999</v>
      </c>
      <c r="AU444">
        <v>0</v>
      </c>
      <c r="AV444" s="65">
        <v>1</v>
      </c>
      <c r="AW444" s="51">
        <v>0</v>
      </c>
      <c r="AX444" s="65">
        <v>1</v>
      </c>
      <c r="AY444" s="65" t="s">
        <v>29</v>
      </c>
      <c r="AZ444">
        <v>0</v>
      </c>
      <c r="BA444">
        <v>0</v>
      </c>
      <c r="BB444">
        <v>1</v>
      </c>
      <c r="BC444">
        <v>0</v>
      </c>
      <c r="BD444">
        <v>0</v>
      </c>
      <c r="BE444">
        <v>0</v>
      </c>
      <c r="BF444" s="65">
        <v>0</v>
      </c>
      <c r="BG444">
        <v>0</v>
      </c>
      <c r="BH444">
        <v>1</v>
      </c>
      <c r="BI444" s="65">
        <v>0</v>
      </c>
      <c r="BJ444">
        <v>4893</v>
      </c>
      <c r="BK444">
        <v>9111</v>
      </c>
      <c r="BL444" s="52">
        <v>35.299999999999997</v>
      </c>
      <c r="BM444" s="51">
        <v>1</v>
      </c>
      <c r="BN444" s="51">
        <v>0</v>
      </c>
      <c r="BO444" s="51">
        <v>0</v>
      </c>
      <c r="BP444" s="51">
        <v>0</v>
      </c>
      <c r="BQ444" s="51">
        <v>0</v>
      </c>
      <c r="BR444" s="51">
        <v>0</v>
      </c>
      <c r="BS444" s="51">
        <v>0</v>
      </c>
      <c r="BT444" s="65">
        <v>0</v>
      </c>
      <c r="BU444" s="51">
        <v>0</v>
      </c>
      <c r="BV444" s="51">
        <v>0</v>
      </c>
      <c r="BW444" s="51">
        <v>1</v>
      </c>
      <c r="BX444" s="65">
        <v>0</v>
      </c>
      <c r="BY444" s="51">
        <v>0</v>
      </c>
      <c r="BZ444" s="51">
        <v>0</v>
      </c>
      <c r="CA444" s="51">
        <v>0</v>
      </c>
      <c r="CB444" s="51">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3">D445/E445</f>
        <v>11.76271186440678</v>
      </c>
      <c r="G445" s="7">
        <f t="shared" si="91"/>
        <v>6.3500000000000005</v>
      </c>
      <c r="H445" s="16">
        <f t="shared" si="92"/>
        <v>7.53</v>
      </c>
      <c r="I445" s="11">
        <f t="shared" si="96"/>
        <v>0.23963844097900014</v>
      </c>
      <c r="J445" s="33">
        <f t="shared" si="97"/>
        <v>2.037272048668733E-2</v>
      </c>
      <c r="K445" s="33">
        <f t="shared" si="98"/>
        <v>49.08524615813856</v>
      </c>
      <c r="L445" s="8">
        <v>0</v>
      </c>
      <c r="M445" s="9">
        <v>1</v>
      </c>
      <c r="N445" s="8">
        <v>0</v>
      </c>
      <c r="O445" s="9">
        <v>0</v>
      </c>
      <c r="P445" s="9">
        <v>1</v>
      </c>
      <c r="Q445" s="9">
        <v>0</v>
      </c>
      <c r="R445" s="9">
        <v>0</v>
      </c>
      <c r="S445" s="8">
        <v>2276</v>
      </c>
      <c r="T445" s="9">
        <v>4</v>
      </c>
      <c r="U445" s="9">
        <f t="shared" si="93"/>
        <v>2271</v>
      </c>
      <c r="V445" s="9">
        <f t="shared" si="94"/>
        <v>10</v>
      </c>
      <c r="W445" s="7">
        <v>13.2</v>
      </c>
      <c r="X445" s="7">
        <f t="shared" ref="X445:X454" si="104">BL354-W354-6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5">1-AK445-AL445-AN445</f>
        <v>0.59399999999999997</v>
      </c>
      <c r="AN445" s="43">
        <v>0.39900000000000002</v>
      </c>
      <c r="AO445" s="42">
        <v>1</v>
      </c>
      <c r="AP445" s="18">
        <v>0</v>
      </c>
      <c r="AQ445">
        <v>0.59599999999999997</v>
      </c>
      <c r="AR445" s="40">
        <f>1-AQ445</f>
        <v>0.40400000000000003</v>
      </c>
      <c r="AS445" s="39">
        <f t="shared" si="102"/>
        <v>0.64400000000000002</v>
      </c>
      <c r="AT445" s="40">
        <v>0.35599999999999998</v>
      </c>
      <c r="AU445">
        <v>1</v>
      </c>
      <c r="AV445" s="18">
        <v>0</v>
      </c>
      <c r="AW445" t="s">
        <v>98</v>
      </c>
      <c r="AX445" s="18" t="s">
        <v>98</v>
      </c>
      <c r="AY445" s="18" t="s">
        <v>8</v>
      </c>
      <c r="AZ445">
        <v>0</v>
      </c>
      <c r="BA445">
        <v>0</v>
      </c>
      <c r="BB445">
        <v>1</v>
      </c>
      <c r="BC445">
        <v>0</v>
      </c>
      <c r="BD445">
        <v>0</v>
      </c>
      <c r="BE445">
        <v>0</v>
      </c>
      <c r="BF445" s="18">
        <v>0</v>
      </c>
      <c r="BG445">
        <v>0</v>
      </c>
      <c r="BH445">
        <v>1</v>
      </c>
      <c r="BI445" s="18">
        <v>0</v>
      </c>
      <c r="BJ445" t="s">
        <v>98</v>
      </c>
      <c r="BK445">
        <v>51</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3"/>
        <v>10.636363636363635</v>
      </c>
      <c r="G446" s="7">
        <f t="shared" si="91"/>
        <v>7.42</v>
      </c>
      <c r="H446" s="16">
        <f t="shared" si="92"/>
        <v>8.9599999999999991</v>
      </c>
      <c r="I446" s="11">
        <f t="shared" si="96"/>
        <v>0.27778360252890461</v>
      </c>
      <c r="J446" s="33">
        <f t="shared" si="97"/>
        <v>2.6116407075367106E-2</v>
      </c>
      <c r="K446" s="33">
        <f t="shared" si="98"/>
        <v>38.290106181688223</v>
      </c>
      <c r="L446" s="8">
        <v>0</v>
      </c>
      <c r="M446" s="9">
        <v>1</v>
      </c>
      <c r="N446" s="8">
        <v>0</v>
      </c>
      <c r="O446" s="9">
        <v>0</v>
      </c>
      <c r="P446" s="9">
        <v>1</v>
      </c>
      <c r="Q446" s="9">
        <v>0</v>
      </c>
      <c r="R446" s="9">
        <v>0</v>
      </c>
      <c r="S446" s="8">
        <v>1357</v>
      </c>
      <c r="T446" s="9">
        <v>3</v>
      </c>
      <c r="U446" s="9">
        <f t="shared" si="93"/>
        <v>1353</v>
      </c>
      <c r="V446" s="9">
        <f t="shared" si="94"/>
        <v>10</v>
      </c>
      <c r="W446" s="7">
        <v>12.9</v>
      </c>
      <c r="X446" s="7">
        <f t="shared" si="104"/>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5"/>
        <v>0.65100000000000002</v>
      </c>
      <c r="AN446" s="43">
        <v>0.34200000000000003</v>
      </c>
      <c r="AO446" s="42">
        <v>1</v>
      </c>
      <c r="AP446" s="18">
        <v>0</v>
      </c>
      <c r="AQ446">
        <v>1</v>
      </c>
      <c r="AR446" s="40">
        <v>0</v>
      </c>
      <c r="AS446" s="39">
        <f t="shared" si="102"/>
        <v>0.64400000000000002</v>
      </c>
      <c r="AT446" s="40">
        <v>0.35599999999999998</v>
      </c>
      <c r="AU446">
        <v>1</v>
      </c>
      <c r="AV446" s="18">
        <v>0</v>
      </c>
      <c r="AW446" t="s">
        <v>98</v>
      </c>
      <c r="AX446" s="18" t="s">
        <v>98</v>
      </c>
      <c r="AY446" s="18" t="s">
        <v>8</v>
      </c>
      <c r="AZ446">
        <v>0</v>
      </c>
      <c r="BA446">
        <v>0</v>
      </c>
      <c r="BB446">
        <v>1</v>
      </c>
      <c r="BC446">
        <v>0</v>
      </c>
      <c r="BD446">
        <v>0</v>
      </c>
      <c r="BE446">
        <v>0</v>
      </c>
      <c r="BF446" s="18">
        <v>0</v>
      </c>
      <c r="BG446">
        <v>0</v>
      </c>
      <c r="BH446">
        <v>1</v>
      </c>
      <c r="BI446" s="18">
        <v>0</v>
      </c>
      <c r="BJ446" t="s">
        <v>98</v>
      </c>
      <c r="BK446">
        <v>51</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3"/>
        <v>5.7840909090909092</v>
      </c>
      <c r="G447" s="7">
        <f t="shared" si="91"/>
        <v>4.21</v>
      </c>
      <c r="H447" s="16">
        <f t="shared" si="92"/>
        <v>5.97</v>
      </c>
      <c r="I447" s="11">
        <f t="shared" si="96"/>
        <v>0.1878134035333307</v>
      </c>
      <c r="J447" s="33">
        <f t="shared" si="97"/>
        <v>3.2470686661951083E-2</v>
      </c>
      <c r="K447" s="33">
        <f t="shared" si="98"/>
        <v>30.797008095667803</v>
      </c>
      <c r="L447" s="8">
        <v>0</v>
      </c>
      <c r="M447" s="9">
        <v>1</v>
      </c>
      <c r="N447" s="8">
        <v>0</v>
      </c>
      <c r="O447" s="9">
        <v>0</v>
      </c>
      <c r="P447" s="9">
        <v>1</v>
      </c>
      <c r="Q447" s="9">
        <v>0</v>
      </c>
      <c r="R447" s="9">
        <v>0</v>
      </c>
      <c r="S447" s="8">
        <v>919</v>
      </c>
      <c r="T447" s="9">
        <v>3</v>
      </c>
      <c r="U447" s="9">
        <f t="shared" si="93"/>
        <v>915</v>
      </c>
      <c r="V447" s="9">
        <f t="shared" si="94"/>
        <v>10</v>
      </c>
      <c r="W447" s="7">
        <v>13.6</v>
      </c>
      <c r="X447" s="7">
        <f t="shared" si="104"/>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5"/>
        <v>0.51200000000000001</v>
      </c>
      <c r="AN447" s="43">
        <v>0.48299999999999998</v>
      </c>
      <c r="AO447" s="42">
        <v>1</v>
      </c>
      <c r="AP447" s="18">
        <v>0</v>
      </c>
      <c r="AQ447">
        <v>0</v>
      </c>
      <c r="AR447" s="40">
        <v>1</v>
      </c>
      <c r="AS447" s="39">
        <f t="shared" si="102"/>
        <v>0.64400000000000002</v>
      </c>
      <c r="AT447" s="40">
        <v>0.35599999999999998</v>
      </c>
      <c r="AU447">
        <v>1</v>
      </c>
      <c r="AV447" s="18">
        <v>0</v>
      </c>
      <c r="AW447" t="s">
        <v>98</v>
      </c>
      <c r="AX447" s="18" t="s">
        <v>98</v>
      </c>
      <c r="AY447" s="18" t="s">
        <v>8</v>
      </c>
      <c r="AZ447">
        <v>0</v>
      </c>
      <c r="BA447">
        <v>0</v>
      </c>
      <c r="BB447">
        <v>1</v>
      </c>
      <c r="BC447">
        <v>0</v>
      </c>
      <c r="BD447">
        <v>0</v>
      </c>
      <c r="BE447">
        <v>0</v>
      </c>
      <c r="BF447" s="18">
        <v>0</v>
      </c>
      <c r="BG447">
        <v>0</v>
      </c>
      <c r="BH447">
        <v>1</v>
      </c>
      <c r="BI447" s="18">
        <v>0</v>
      </c>
      <c r="BJ447" t="s">
        <v>98</v>
      </c>
      <c r="BK447">
        <v>51</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3"/>
        <v>11.333333333333334</v>
      </c>
      <c r="G448" s="7">
        <f t="shared" si="91"/>
        <v>6.2</v>
      </c>
      <c r="H448" s="16">
        <f t="shared" si="92"/>
        <v>7.3999999999999995</v>
      </c>
      <c r="I448" s="11">
        <f t="shared" si="96"/>
        <v>0.23189964848373007</v>
      </c>
      <c r="J448" s="33">
        <f t="shared" si="97"/>
        <v>2.0461733689740885E-2</v>
      </c>
      <c r="K448" s="33">
        <f t="shared" si="98"/>
        <v>48.87171415496335</v>
      </c>
      <c r="L448" s="8">
        <v>0</v>
      </c>
      <c r="M448" s="9">
        <v>1</v>
      </c>
      <c r="N448" s="8">
        <v>0</v>
      </c>
      <c r="O448" s="9">
        <v>0</v>
      </c>
      <c r="P448" s="9">
        <v>1</v>
      </c>
      <c r="Q448" s="9">
        <v>0</v>
      </c>
      <c r="R448" s="9">
        <v>0</v>
      </c>
      <c r="S448" s="8">
        <v>2276</v>
      </c>
      <c r="T448" s="9">
        <v>15</v>
      </c>
      <c r="U448" s="9">
        <f t="shared" si="93"/>
        <v>2260</v>
      </c>
      <c r="V448" s="9">
        <f t="shared" si="94"/>
        <v>10</v>
      </c>
      <c r="W448" s="7">
        <v>13.2</v>
      </c>
      <c r="X448" s="7">
        <f t="shared" si="104"/>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5"/>
        <v>0.59399999999999997</v>
      </c>
      <c r="AN448" s="43">
        <v>0.39900000000000002</v>
      </c>
      <c r="AO448" s="42">
        <v>1</v>
      </c>
      <c r="AP448" s="18">
        <v>0</v>
      </c>
      <c r="AQ448">
        <v>0.59599999999999997</v>
      </c>
      <c r="AR448" s="40">
        <f>1-AQ448</f>
        <v>0.40400000000000003</v>
      </c>
      <c r="AS448" s="39">
        <f t="shared" si="102"/>
        <v>0.64400000000000002</v>
      </c>
      <c r="AT448" s="40">
        <v>0.35599999999999998</v>
      </c>
      <c r="AU448">
        <v>1</v>
      </c>
      <c r="AV448" s="18">
        <v>0</v>
      </c>
      <c r="AW448" t="s">
        <v>98</v>
      </c>
      <c r="AX448" s="18" t="s">
        <v>98</v>
      </c>
      <c r="AY448" s="18" t="s">
        <v>8</v>
      </c>
      <c r="AZ448">
        <v>0</v>
      </c>
      <c r="BA448">
        <v>0</v>
      </c>
      <c r="BB448">
        <v>1</v>
      </c>
      <c r="BC448">
        <v>0</v>
      </c>
      <c r="BD448">
        <v>0</v>
      </c>
      <c r="BE448">
        <v>0</v>
      </c>
      <c r="BF448" s="18">
        <v>0</v>
      </c>
      <c r="BG448">
        <v>0</v>
      </c>
      <c r="BH448">
        <v>1</v>
      </c>
      <c r="BI448" s="18">
        <v>0</v>
      </c>
      <c r="BJ448" t="s">
        <v>98</v>
      </c>
      <c r="BK448">
        <v>51</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3"/>
        <v>9.0512820512820511</v>
      </c>
      <c r="G449" s="7">
        <f t="shared" si="91"/>
        <v>6.2799999999999994</v>
      </c>
      <c r="H449" s="16">
        <f t="shared" si="92"/>
        <v>7.84</v>
      </c>
      <c r="I449" s="11">
        <f t="shared" si="96"/>
        <v>0.23986475186127454</v>
      </c>
      <c r="J449" s="33">
        <f t="shared" si="97"/>
        <v>2.6500638307619565E-2</v>
      </c>
      <c r="K449" s="33">
        <f t="shared" si="98"/>
        <v>37.734940132082635</v>
      </c>
      <c r="L449" s="8">
        <v>0</v>
      </c>
      <c r="M449" s="9">
        <v>1</v>
      </c>
      <c r="N449" s="8">
        <v>0</v>
      </c>
      <c r="O449" s="9">
        <v>0</v>
      </c>
      <c r="P449" s="9">
        <v>1</v>
      </c>
      <c r="Q449" s="9">
        <v>0</v>
      </c>
      <c r="R449" s="9">
        <v>0</v>
      </c>
      <c r="S449" s="8">
        <v>1357</v>
      </c>
      <c r="T449" s="9">
        <v>14</v>
      </c>
      <c r="U449" s="9">
        <f t="shared" si="93"/>
        <v>1342</v>
      </c>
      <c r="V449" s="9">
        <f t="shared" si="94"/>
        <v>10</v>
      </c>
      <c r="W449" s="7">
        <v>12.9</v>
      </c>
      <c r="X449" s="7">
        <f t="shared" si="104"/>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5"/>
        <v>0.65100000000000002</v>
      </c>
      <c r="AN449" s="43">
        <v>0.34200000000000003</v>
      </c>
      <c r="AO449" s="42">
        <v>1</v>
      </c>
      <c r="AP449" s="18">
        <v>0</v>
      </c>
      <c r="AQ449">
        <v>1</v>
      </c>
      <c r="AR449" s="40">
        <v>0</v>
      </c>
      <c r="AS449" s="39">
        <f t="shared" si="102"/>
        <v>0.64400000000000002</v>
      </c>
      <c r="AT449" s="40">
        <v>0.35599999999999998</v>
      </c>
      <c r="AU449">
        <v>1</v>
      </c>
      <c r="AV449" s="18">
        <v>0</v>
      </c>
      <c r="AW449" t="s">
        <v>98</v>
      </c>
      <c r="AX449" s="18" t="s">
        <v>98</v>
      </c>
      <c r="AY449" s="18" t="s">
        <v>8</v>
      </c>
      <c r="AZ449">
        <v>0</v>
      </c>
      <c r="BA449">
        <v>0</v>
      </c>
      <c r="BB449">
        <v>1</v>
      </c>
      <c r="BC449">
        <v>0</v>
      </c>
      <c r="BD449">
        <v>0</v>
      </c>
      <c r="BE449">
        <v>0</v>
      </c>
      <c r="BF449" s="18">
        <v>0</v>
      </c>
      <c r="BG449">
        <v>0</v>
      </c>
      <c r="BH449">
        <v>1</v>
      </c>
      <c r="BI449" s="18">
        <v>0</v>
      </c>
      <c r="BJ449" t="s">
        <v>98</v>
      </c>
      <c r="BK449">
        <v>51</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3"/>
        <v>6.6063829787234045</v>
      </c>
      <c r="G450" s="7">
        <f t="shared" ref="G450:G513" si="106">D450-E450</f>
        <v>5.27</v>
      </c>
      <c r="H450" s="16">
        <f t="shared" ref="H450:H513" si="107">D450+E450</f>
        <v>7.15</v>
      </c>
      <c r="I450" s="11">
        <f t="shared" si="96"/>
        <v>0.21460560973649845</v>
      </c>
      <c r="J450" s="33">
        <f t="shared" si="97"/>
        <v>3.2484585048680924E-2</v>
      </c>
      <c r="K450" s="33">
        <f t="shared" si="98"/>
        <v>30.783831731309316</v>
      </c>
      <c r="L450" s="8">
        <v>0</v>
      </c>
      <c r="M450" s="9">
        <v>1</v>
      </c>
      <c r="N450" s="8">
        <v>0</v>
      </c>
      <c r="O450" s="9">
        <v>0</v>
      </c>
      <c r="P450" s="9">
        <v>1</v>
      </c>
      <c r="Q450" s="9">
        <v>0</v>
      </c>
      <c r="R450" s="9">
        <v>0</v>
      </c>
      <c r="S450" s="8">
        <v>919</v>
      </c>
      <c r="T450" s="9">
        <v>14</v>
      </c>
      <c r="U450" s="9">
        <f t="shared" ref="U450:U513" si="108">S450-T450-1</f>
        <v>904</v>
      </c>
      <c r="V450" s="9">
        <f t="shared" ref="V450:V513" si="109">COUNTIF(B:B,B450)</f>
        <v>10</v>
      </c>
      <c r="W450" s="7">
        <v>13.6</v>
      </c>
      <c r="X450" s="7">
        <f t="shared" si="104"/>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5"/>
        <v>0.51200000000000001</v>
      </c>
      <c r="AN450" s="43">
        <v>0.48299999999999998</v>
      </c>
      <c r="AO450" s="42">
        <v>1</v>
      </c>
      <c r="AP450" s="18">
        <v>0</v>
      </c>
      <c r="AQ450">
        <v>0</v>
      </c>
      <c r="AR450" s="40">
        <v>1</v>
      </c>
      <c r="AS450" s="39">
        <f t="shared" si="102"/>
        <v>0.64400000000000002</v>
      </c>
      <c r="AT450" s="40">
        <v>0.35599999999999998</v>
      </c>
      <c r="AU450">
        <v>1</v>
      </c>
      <c r="AV450" s="18">
        <v>0</v>
      </c>
      <c r="AW450" t="s">
        <v>98</v>
      </c>
      <c r="AX450" s="18" t="s">
        <v>98</v>
      </c>
      <c r="AY450" s="18" t="s">
        <v>8</v>
      </c>
      <c r="AZ450">
        <v>0</v>
      </c>
      <c r="BA450">
        <v>0</v>
      </c>
      <c r="BB450">
        <v>1</v>
      </c>
      <c r="BC450">
        <v>0</v>
      </c>
      <c r="BD450">
        <v>0</v>
      </c>
      <c r="BE450">
        <v>0</v>
      </c>
      <c r="BF450" s="18">
        <v>0</v>
      </c>
      <c r="BG450">
        <v>0</v>
      </c>
      <c r="BH450">
        <v>1</v>
      </c>
      <c r="BI450" s="18">
        <v>0</v>
      </c>
      <c r="BJ450" t="s">
        <v>98</v>
      </c>
      <c r="BK450">
        <v>51</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3"/>
        <v>7.1627906976744189</v>
      </c>
      <c r="G451" s="7">
        <f t="shared" si="106"/>
        <v>5.3</v>
      </c>
      <c r="H451" s="16">
        <f t="shared" si="107"/>
        <v>7.0200000000000005</v>
      </c>
      <c r="I451" s="11">
        <f t="shared" si="96"/>
        <v>0.19189297421546586</v>
      </c>
      <c r="J451" s="33">
        <f t="shared" si="97"/>
        <v>2.6790252893717639E-2</v>
      </c>
      <c r="K451" s="33">
        <f t="shared" si="98"/>
        <v>37.327008594028676</v>
      </c>
      <c r="L451" s="8">
        <v>0</v>
      </c>
      <c r="M451" s="9">
        <v>1</v>
      </c>
      <c r="N451" s="8">
        <v>0</v>
      </c>
      <c r="O451" s="9">
        <v>0</v>
      </c>
      <c r="P451" s="9">
        <v>1</v>
      </c>
      <c r="Q451" s="9">
        <v>0</v>
      </c>
      <c r="R451" s="9">
        <v>0</v>
      </c>
      <c r="S451" s="8">
        <v>1357</v>
      </c>
      <c r="T451" s="9">
        <v>14</v>
      </c>
      <c r="U451" s="9">
        <f t="shared" si="108"/>
        <v>1342</v>
      </c>
      <c r="V451" s="9">
        <f t="shared" si="109"/>
        <v>10</v>
      </c>
      <c r="W451" s="7">
        <v>12.9</v>
      </c>
      <c r="X451" s="7">
        <f t="shared" si="104"/>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5"/>
        <v>0.65100000000000002</v>
      </c>
      <c r="AN451" s="43">
        <v>0.34200000000000003</v>
      </c>
      <c r="AO451" s="42">
        <v>1</v>
      </c>
      <c r="AP451" s="18">
        <v>0</v>
      </c>
      <c r="AQ451">
        <v>1</v>
      </c>
      <c r="AR451" s="40">
        <v>0</v>
      </c>
      <c r="AS451" s="39">
        <f t="shared" si="102"/>
        <v>0.64400000000000002</v>
      </c>
      <c r="AT451" s="40">
        <v>0.35599999999999998</v>
      </c>
      <c r="AU451">
        <v>1</v>
      </c>
      <c r="AV451" s="18">
        <v>0</v>
      </c>
      <c r="AW451" t="s">
        <v>98</v>
      </c>
      <c r="AX451" s="18" t="s">
        <v>98</v>
      </c>
      <c r="AY451" s="18" t="s">
        <v>8</v>
      </c>
      <c r="AZ451">
        <v>0</v>
      </c>
      <c r="BA451">
        <v>0</v>
      </c>
      <c r="BB451">
        <v>1</v>
      </c>
      <c r="BC451">
        <v>0</v>
      </c>
      <c r="BD451">
        <v>0</v>
      </c>
      <c r="BE451">
        <v>0</v>
      </c>
      <c r="BF451" s="18">
        <v>0</v>
      </c>
      <c r="BG451">
        <v>0</v>
      </c>
      <c r="BH451">
        <v>1</v>
      </c>
      <c r="BI451" s="18">
        <v>0</v>
      </c>
      <c r="BJ451" t="s">
        <v>98</v>
      </c>
      <c r="BK451">
        <v>51</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3"/>
        <v>4.2153846153846155</v>
      </c>
      <c r="G452" s="7">
        <f t="shared" si="106"/>
        <v>4.1800000000000006</v>
      </c>
      <c r="H452" s="16">
        <f t="shared" si="107"/>
        <v>6.78</v>
      </c>
      <c r="I452" s="11">
        <f t="shared" si="96"/>
        <v>0.13884365792453493</v>
      </c>
      <c r="J452" s="33">
        <f t="shared" si="97"/>
        <v>3.2937364106185293E-2</v>
      </c>
      <c r="K452" s="33">
        <f t="shared" si="98"/>
        <v>30.360656571550315</v>
      </c>
      <c r="L452" s="8">
        <v>0</v>
      </c>
      <c r="M452" s="9">
        <v>1</v>
      </c>
      <c r="N452" s="8">
        <v>0</v>
      </c>
      <c r="O452" s="9">
        <v>0</v>
      </c>
      <c r="P452" s="9">
        <v>1</v>
      </c>
      <c r="Q452" s="9">
        <v>0</v>
      </c>
      <c r="R452" s="9">
        <v>0</v>
      </c>
      <c r="S452" s="8">
        <v>919</v>
      </c>
      <c r="T452" s="9">
        <v>14</v>
      </c>
      <c r="U452" s="9">
        <f t="shared" si="108"/>
        <v>904</v>
      </c>
      <c r="V452" s="9">
        <f t="shared" si="109"/>
        <v>10</v>
      </c>
      <c r="W452" s="7">
        <v>13.6</v>
      </c>
      <c r="X452" s="7">
        <f t="shared" si="104"/>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5"/>
        <v>0.51200000000000001</v>
      </c>
      <c r="AN452" s="43">
        <v>0.48299999999999998</v>
      </c>
      <c r="AO452" s="42">
        <v>1</v>
      </c>
      <c r="AP452" s="18">
        <v>0</v>
      </c>
      <c r="AQ452">
        <v>0</v>
      </c>
      <c r="AR452" s="40">
        <v>1</v>
      </c>
      <c r="AS452" s="39">
        <f t="shared" si="102"/>
        <v>0.64400000000000002</v>
      </c>
      <c r="AT452" s="40">
        <v>0.35599999999999998</v>
      </c>
      <c r="AU452">
        <v>1</v>
      </c>
      <c r="AV452" s="18">
        <v>0</v>
      </c>
      <c r="AW452" t="s">
        <v>98</v>
      </c>
      <c r="AX452" s="18" t="s">
        <v>98</v>
      </c>
      <c r="AY452" s="18" t="s">
        <v>8</v>
      </c>
      <c r="AZ452">
        <v>0</v>
      </c>
      <c r="BA452">
        <v>0</v>
      </c>
      <c r="BB452">
        <v>1</v>
      </c>
      <c r="BC452">
        <v>0</v>
      </c>
      <c r="BD452">
        <v>0</v>
      </c>
      <c r="BE452">
        <v>0</v>
      </c>
      <c r="BF452" s="18">
        <v>0</v>
      </c>
      <c r="BG452">
        <v>0</v>
      </c>
      <c r="BH452">
        <v>1</v>
      </c>
      <c r="BI452" s="18">
        <v>0</v>
      </c>
      <c r="BJ452" t="s">
        <v>98</v>
      </c>
      <c r="BK452">
        <v>51</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3"/>
        <v>5</v>
      </c>
      <c r="G453" s="7">
        <f t="shared" si="106"/>
        <v>4.8</v>
      </c>
      <c r="H453" s="16">
        <f t="shared" si="107"/>
        <v>7.2</v>
      </c>
      <c r="I453" s="11">
        <f t="shared" si="96"/>
        <v>0.16602227504272984</v>
      </c>
      <c r="J453" s="33">
        <f t="shared" si="97"/>
        <v>3.320445500854597E-2</v>
      </c>
      <c r="K453" s="33">
        <f t="shared" si="98"/>
        <v>30.116440692751194</v>
      </c>
      <c r="L453" s="8">
        <v>0</v>
      </c>
      <c r="M453" s="9">
        <v>1</v>
      </c>
      <c r="N453" s="8">
        <v>0</v>
      </c>
      <c r="O453" s="9">
        <v>0</v>
      </c>
      <c r="P453" s="9">
        <v>1</v>
      </c>
      <c r="Q453" s="9">
        <v>0</v>
      </c>
      <c r="R453" s="9">
        <v>0</v>
      </c>
      <c r="S453" s="8">
        <v>897</v>
      </c>
      <c r="T453" s="9">
        <v>14</v>
      </c>
      <c r="U453" s="9">
        <f t="shared" si="108"/>
        <v>882</v>
      </c>
      <c r="V453" s="9">
        <f t="shared" si="109"/>
        <v>10</v>
      </c>
      <c r="W453" s="7">
        <v>13.3</v>
      </c>
      <c r="X453" s="7">
        <f t="shared" si="104"/>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5"/>
        <v>0.56800000000000006</v>
      </c>
      <c r="AN453" s="43">
        <v>0.42399999999999999</v>
      </c>
      <c r="AO453" s="42">
        <v>1</v>
      </c>
      <c r="AP453" s="18">
        <v>0</v>
      </c>
      <c r="AQ453">
        <v>1</v>
      </c>
      <c r="AR453" s="40">
        <v>0</v>
      </c>
      <c r="AS453" s="39">
        <f t="shared" si="102"/>
        <v>0.64400000000000002</v>
      </c>
      <c r="AT453" s="40">
        <v>0.35599999999999998</v>
      </c>
      <c r="AU453">
        <v>1</v>
      </c>
      <c r="AV453" s="18">
        <v>0</v>
      </c>
      <c r="AW453" t="s">
        <v>98</v>
      </c>
      <c r="AX453" s="18" t="s">
        <v>98</v>
      </c>
      <c r="AY453" s="18" t="s">
        <v>8</v>
      </c>
      <c r="AZ453">
        <v>0</v>
      </c>
      <c r="BA453">
        <v>0</v>
      </c>
      <c r="BB453">
        <v>1</v>
      </c>
      <c r="BC453">
        <v>0</v>
      </c>
      <c r="BD453">
        <v>0</v>
      </c>
      <c r="BE453">
        <v>0</v>
      </c>
      <c r="BF453" s="18">
        <v>0</v>
      </c>
      <c r="BG453">
        <v>0</v>
      </c>
      <c r="BH453">
        <v>1</v>
      </c>
      <c r="BI453" s="18">
        <v>0</v>
      </c>
      <c r="BJ453" t="s">
        <v>98</v>
      </c>
      <c r="BK453">
        <v>51</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3"/>
        <v>3.9312499999999999</v>
      </c>
      <c r="G454" s="55">
        <f t="shared" si="106"/>
        <v>4.6899999999999995</v>
      </c>
      <c r="H454" s="56">
        <f t="shared" si="107"/>
        <v>7.8900000000000006</v>
      </c>
      <c r="I454" s="11">
        <f t="shared" si="96"/>
        <v>0.14555646222812504</v>
      </c>
      <c r="J454" s="33">
        <f t="shared" si="97"/>
        <v>3.7025491186804461E-2</v>
      </c>
      <c r="K454" s="33">
        <f t="shared" si="98"/>
        <v>27.008419549512706</v>
      </c>
      <c r="L454" s="59">
        <v>0</v>
      </c>
      <c r="M454" s="60">
        <v>1</v>
      </c>
      <c r="N454" s="59">
        <v>0</v>
      </c>
      <c r="O454" s="60">
        <v>0</v>
      </c>
      <c r="P454" s="60">
        <v>1</v>
      </c>
      <c r="Q454" s="60">
        <v>0</v>
      </c>
      <c r="R454" s="60">
        <v>0</v>
      </c>
      <c r="S454" s="59">
        <v>729</v>
      </c>
      <c r="T454" s="60">
        <v>14</v>
      </c>
      <c r="U454" s="60">
        <f t="shared" si="108"/>
        <v>714</v>
      </c>
      <c r="V454" s="60">
        <f t="shared" si="109"/>
        <v>10</v>
      </c>
      <c r="W454" s="55">
        <v>14</v>
      </c>
      <c r="X454" s="55">
        <f t="shared" si="104"/>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5"/>
        <v>0.43899999999999995</v>
      </c>
      <c r="AN454" s="63">
        <v>0.55800000000000005</v>
      </c>
      <c r="AO454" s="64">
        <v>1</v>
      </c>
      <c r="AP454" s="65">
        <v>0</v>
      </c>
      <c r="AQ454" s="51">
        <v>0</v>
      </c>
      <c r="AR454" s="66">
        <v>1</v>
      </c>
      <c r="AS454" s="68">
        <f t="shared" si="102"/>
        <v>0.64400000000000002</v>
      </c>
      <c r="AT454" s="66">
        <v>0.35599999999999998</v>
      </c>
      <c r="AU454">
        <v>1</v>
      </c>
      <c r="AV454" s="65">
        <v>0</v>
      </c>
      <c r="AW454" s="51" t="s">
        <v>98</v>
      </c>
      <c r="AX454" s="65" t="s">
        <v>98</v>
      </c>
      <c r="AY454" s="65" t="s">
        <v>8</v>
      </c>
      <c r="AZ454">
        <v>0</v>
      </c>
      <c r="BA454">
        <v>0</v>
      </c>
      <c r="BB454">
        <v>1</v>
      </c>
      <c r="BC454">
        <v>0</v>
      </c>
      <c r="BD454">
        <v>0</v>
      </c>
      <c r="BE454">
        <v>0</v>
      </c>
      <c r="BF454" s="65">
        <v>0</v>
      </c>
      <c r="BG454">
        <v>0</v>
      </c>
      <c r="BH454">
        <v>1</v>
      </c>
      <c r="BI454" s="65">
        <v>0</v>
      </c>
      <c r="BJ454" t="s">
        <v>98</v>
      </c>
      <c r="BK454">
        <v>51</v>
      </c>
      <c r="BL454" s="52">
        <v>42.1</v>
      </c>
      <c r="BM454" s="51">
        <v>0</v>
      </c>
      <c r="BN454" s="51">
        <v>0</v>
      </c>
      <c r="BO454" s="51">
        <v>0</v>
      </c>
      <c r="BP454" s="51">
        <v>0</v>
      </c>
      <c r="BQ454" s="51">
        <v>0</v>
      </c>
      <c r="BR454" s="51">
        <v>1</v>
      </c>
      <c r="BS454" s="51">
        <v>0</v>
      </c>
      <c r="BT454" s="65">
        <v>0</v>
      </c>
      <c r="BU454" s="51">
        <v>0</v>
      </c>
      <c r="BV454" s="51">
        <v>0</v>
      </c>
      <c r="BW454" s="51">
        <v>1</v>
      </c>
      <c r="BX454" s="65">
        <v>0</v>
      </c>
      <c r="BY454" s="51">
        <v>0</v>
      </c>
      <c r="BZ454" s="51">
        <v>0</v>
      </c>
      <c r="CA454" s="51">
        <v>0</v>
      </c>
      <c r="CB454" s="51">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0">D455/F455</f>
        <v>0.8207705192629815</v>
      </c>
      <c r="F455" s="7">
        <v>17.91</v>
      </c>
      <c r="G455" s="7">
        <f t="shared" si="106"/>
        <v>13.879229480737017</v>
      </c>
      <c r="H455" s="16">
        <f t="shared" si="107"/>
        <v>15.520770519262982</v>
      </c>
      <c r="I455" s="11">
        <f t="shared" si="96"/>
        <v>0.42346601809461165</v>
      </c>
      <c r="J455" s="33">
        <f t="shared" si="97"/>
        <v>2.3644110446376973E-2</v>
      </c>
      <c r="K455" s="33">
        <f t="shared" si="98"/>
        <v>42.2938305193559</v>
      </c>
      <c r="L455" s="8">
        <v>0</v>
      </c>
      <c r="M455" s="9">
        <v>1</v>
      </c>
      <c r="N455" s="8">
        <v>0</v>
      </c>
      <c r="O455" s="9">
        <v>1</v>
      </c>
      <c r="P455" s="9">
        <v>0</v>
      </c>
      <c r="Q455" s="9">
        <v>0</v>
      </c>
      <c r="R455" s="9">
        <v>0</v>
      </c>
      <c r="S455" s="8">
        <v>1476</v>
      </c>
      <c r="T455" s="9">
        <v>7</v>
      </c>
      <c r="U455" s="9">
        <f t="shared" si="108"/>
        <v>1468</v>
      </c>
      <c r="V455" s="9">
        <f t="shared" si="109"/>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1">1-AR455</f>
        <v>0.63200000000000001</v>
      </c>
      <c r="AR455" s="40">
        <v>0.36799999999999999</v>
      </c>
      <c r="AS455" s="39">
        <f t="shared" si="102"/>
        <v>0.371</v>
      </c>
      <c r="AT455" s="40">
        <v>0.629</v>
      </c>
      <c r="AU455">
        <v>0</v>
      </c>
      <c r="AV455" s="18">
        <v>1</v>
      </c>
      <c r="AW455">
        <v>0</v>
      </c>
      <c r="AX455" s="18">
        <v>1</v>
      </c>
      <c r="AY455" s="18" t="s">
        <v>7</v>
      </c>
      <c r="AZ455">
        <v>0</v>
      </c>
      <c r="BA455">
        <v>0</v>
      </c>
      <c r="BB455">
        <v>0</v>
      </c>
      <c r="BC455">
        <v>0</v>
      </c>
      <c r="BD455">
        <v>0</v>
      </c>
      <c r="BE455">
        <v>0</v>
      </c>
      <c r="BF455" s="18">
        <v>1</v>
      </c>
      <c r="BG455">
        <v>0</v>
      </c>
      <c r="BH455">
        <v>0</v>
      </c>
      <c r="BI455" s="18">
        <v>1</v>
      </c>
      <c r="BJ455" t="s">
        <v>98</v>
      </c>
      <c r="BK455" t="s">
        <v>98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0"/>
        <v>1.2363869314541962</v>
      </c>
      <c r="F456" s="7">
        <v>15.61</v>
      </c>
      <c r="G456" s="7">
        <f t="shared" si="106"/>
        <v>18.063613068545806</v>
      </c>
      <c r="H456" s="16">
        <f t="shared" si="107"/>
        <v>20.536386931454196</v>
      </c>
      <c r="I456" s="11">
        <f t="shared" ref="I456:I519" si="112">IFERROR(F456/SQRT(F456^2+U456), "X")</f>
        <v>0.37730504926893033</v>
      </c>
      <c r="J456" s="33">
        <f t="shared" ref="J456:J519" si="113">IFERROR(SQRT((1-I456^2)/U456), "X")</f>
        <v>2.4170727051180674E-2</v>
      </c>
      <c r="K456" s="33">
        <f t="shared" ref="K456:K519" si="114">IFERROR(1/J456, "X")</f>
        <v>41.372359130221227</v>
      </c>
      <c r="L456" s="8">
        <v>0</v>
      </c>
      <c r="M456" s="9">
        <v>1</v>
      </c>
      <c r="N456" s="8">
        <v>0</v>
      </c>
      <c r="O456" s="9">
        <v>1</v>
      </c>
      <c r="P456" s="9">
        <v>0</v>
      </c>
      <c r="Q456" s="9">
        <v>0</v>
      </c>
      <c r="R456" s="9">
        <v>0</v>
      </c>
      <c r="S456" s="8">
        <v>1476</v>
      </c>
      <c r="T456" s="9">
        <v>7</v>
      </c>
      <c r="U456" s="9">
        <f t="shared" si="108"/>
        <v>1468</v>
      </c>
      <c r="V456" s="9">
        <f t="shared" si="109"/>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1"/>
        <v>0.63200000000000001</v>
      </c>
      <c r="AR456" s="40">
        <v>0.36799999999999999</v>
      </c>
      <c r="AS456" s="39">
        <f t="shared" si="102"/>
        <v>0.371</v>
      </c>
      <c r="AT456" s="40">
        <v>0.629</v>
      </c>
      <c r="AU456">
        <v>0</v>
      </c>
      <c r="AV456" s="18">
        <v>1</v>
      </c>
      <c r="AW456">
        <v>0</v>
      </c>
      <c r="AX456" s="18">
        <v>1</v>
      </c>
      <c r="AY456" s="18" t="s">
        <v>7</v>
      </c>
      <c r="AZ456">
        <v>0</v>
      </c>
      <c r="BA456">
        <v>0</v>
      </c>
      <c r="BB456">
        <v>0</v>
      </c>
      <c r="BC456">
        <v>0</v>
      </c>
      <c r="BD456">
        <v>0</v>
      </c>
      <c r="BE456">
        <v>0</v>
      </c>
      <c r="BF456" s="18">
        <v>1</v>
      </c>
      <c r="BG456">
        <v>0</v>
      </c>
      <c r="BH456">
        <v>0</v>
      </c>
      <c r="BI456" s="18">
        <v>1</v>
      </c>
      <c r="BJ456" t="s">
        <v>98</v>
      </c>
      <c r="BK456" t="s">
        <v>98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0"/>
        <v>0.84074733096085397</v>
      </c>
      <c r="F457" s="7">
        <v>22.48</v>
      </c>
      <c r="G457" s="7">
        <f t="shared" si="106"/>
        <v>18.059252669039143</v>
      </c>
      <c r="H457" s="16">
        <f t="shared" si="107"/>
        <v>19.740747330960854</v>
      </c>
      <c r="I457" s="11">
        <f t="shared" si="112"/>
        <v>0.50605090150970966</v>
      </c>
      <c r="J457" s="33">
        <f t="shared" si="113"/>
        <v>2.2511161099186373E-2</v>
      </c>
      <c r="K457" s="33">
        <f t="shared" si="114"/>
        <v>44.42240875954387</v>
      </c>
      <c r="L457" s="8">
        <v>0</v>
      </c>
      <c r="M457" s="9">
        <v>1</v>
      </c>
      <c r="N457" s="8">
        <v>0</v>
      </c>
      <c r="O457" s="9">
        <v>1</v>
      </c>
      <c r="P457" s="9">
        <v>0</v>
      </c>
      <c r="Q457" s="9">
        <v>0</v>
      </c>
      <c r="R457" s="9">
        <v>0</v>
      </c>
      <c r="S457" s="8">
        <v>1476</v>
      </c>
      <c r="T457" s="9">
        <v>7</v>
      </c>
      <c r="U457" s="9">
        <f t="shared" si="108"/>
        <v>1468</v>
      </c>
      <c r="V457" s="9">
        <f t="shared" si="109"/>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1"/>
        <v>0.63200000000000001</v>
      </c>
      <c r="AR457" s="40">
        <v>0.36799999999999999</v>
      </c>
      <c r="AS457" s="39">
        <f t="shared" si="102"/>
        <v>0.371</v>
      </c>
      <c r="AT457" s="40">
        <v>0.629</v>
      </c>
      <c r="AU457">
        <v>0</v>
      </c>
      <c r="AV457" s="18">
        <v>1</v>
      </c>
      <c r="AW457">
        <v>0</v>
      </c>
      <c r="AX457" s="18">
        <v>1</v>
      </c>
      <c r="AY457" s="18" t="s">
        <v>7</v>
      </c>
      <c r="AZ457">
        <v>0</v>
      </c>
      <c r="BA457">
        <v>0</v>
      </c>
      <c r="BB457">
        <v>0</v>
      </c>
      <c r="BC457">
        <v>0</v>
      </c>
      <c r="BD457">
        <v>0</v>
      </c>
      <c r="BE457">
        <v>0</v>
      </c>
      <c r="BF457" s="18">
        <v>1</v>
      </c>
      <c r="BG457">
        <v>0</v>
      </c>
      <c r="BH457">
        <v>0</v>
      </c>
      <c r="BI457" s="18">
        <v>1</v>
      </c>
      <c r="BJ457" t="s">
        <v>98</v>
      </c>
      <c r="BK457" t="s">
        <v>98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0"/>
        <v>0.58800773694390707</v>
      </c>
      <c r="F458" s="7">
        <v>25.85</v>
      </c>
      <c r="G458" s="7">
        <f t="shared" si="106"/>
        <v>14.611992263056091</v>
      </c>
      <c r="H458" s="16">
        <f t="shared" si="107"/>
        <v>15.788007736943907</v>
      </c>
      <c r="I458" s="11">
        <f t="shared" si="112"/>
        <v>0.55929032276646651</v>
      </c>
      <c r="J458" s="33">
        <f t="shared" si="113"/>
        <v>2.1635989275298514E-2</v>
      </c>
      <c r="K458" s="33">
        <f t="shared" si="114"/>
        <v>46.219287099651368</v>
      </c>
      <c r="L458" s="8">
        <v>0</v>
      </c>
      <c r="M458" s="9">
        <v>1</v>
      </c>
      <c r="N458" s="8">
        <v>0</v>
      </c>
      <c r="O458" s="9">
        <v>1</v>
      </c>
      <c r="P458" s="9">
        <v>0</v>
      </c>
      <c r="Q458" s="9">
        <v>0</v>
      </c>
      <c r="R458" s="9">
        <v>0</v>
      </c>
      <c r="S458" s="8">
        <v>1476</v>
      </c>
      <c r="T458" s="9">
        <v>7</v>
      </c>
      <c r="U458" s="9">
        <f t="shared" si="108"/>
        <v>1468</v>
      </c>
      <c r="V458" s="9">
        <f t="shared" si="109"/>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1"/>
        <v>0.63200000000000001</v>
      </c>
      <c r="AR458" s="40">
        <v>0.36799999999999999</v>
      </c>
      <c r="AS458" s="39">
        <f t="shared" si="102"/>
        <v>0.371</v>
      </c>
      <c r="AT458" s="40">
        <v>0.629</v>
      </c>
      <c r="AU458">
        <v>0</v>
      </c>
      <c r="AV458" s="18">
        <v>1</v>
      </c>
      <c r="AW458">
        <v>0</v>
      </c>
      <c r="AX458" s="18">
        <v>1</v>
      </c>
      <c r="AY458" s="18" t="s">
        <v>7</v>
      </c>
      <c r="AZ458">
        <v>0</v>
      </c>
      <c r="BA458">
        <v>0</v>
      </c>
      <c r="BB458">
        <v>0</v>
      </c>
      <c r="BC458">
        <v>0</v>
      </c>
      <c r="BD458">
        <v>0</v>
      </c>
      <c r="BE458">
        <v>0</v>
      </c>
      <c r="BF458" s="18">
        <v>1</v>
      </c>
      <c r="BG458">
        <v>0</v>
      </c>
      <c r="BH458">
        <v>0</v>
      </c>
      <c r="BI458" s="18">
        <v>1</v>
      </c>
      <c r="BJ458" t="s">
        <v>98</v>
      </c>
      <c r="BK458" t="s">
        <v>98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0"/>
        <v>0.57318806252960686</v>
      </c>
      <c r="F459" s="7">
        <v>21.11</v>
      </c>
      <c r="G459" s="7">
        <f t="shared" si="106"/>
        <v>11.526811937470393</v>
      </c>
      <c r="H459" s="16">
        <f t="shared" si="107"/>
        <v>12.673188062529606</v>
      </c>
      <c r="I459" s="11">
        <f t="shared" si="112"/>
        <v>0.48256854443850716</v>
      </c>
      <c r="J459" s="33">
        <f t="shared" si="113"/>
        <v>2.2859713142515736E-2</v>
      </c>
      <c r="K459" s="33">
        <f t="shared" si="114"/>
        <v>43.745080866309983</v>
      </c>
      <c r="L459" s="8">
        <v>0</v>
      </c>
      <c r="M459" s="9">
        <v>1</v>
      </c>
      <c r="N459" s="8">
        <v>0</v>
      </c>
      <c r="O459" s="9">
        <v>1</v>
      </c>
      <c r="P459" s="9">
        <v>0</v>
      </c>
      <c r="Q459" s="9">
        <v>0</v>
      </c>
      <c r="R459" s="9">
        <v>0</v>
      </c>
      <c r="S459" s="8">
        <v>1476</v>
      </c>
      <c r="T459" s="9">
        <v>7</v>
      </c>
      <c r="U459" s="9">
        <f t="shared" si="108"/>
        <v>1468</v>
      </c>
      <c r="V459" s="9">
        <f t="shared" si="109"/>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1"/>
        <v>0.63200000000000001</v>
      </c>
      <c r="AR459" s="40">
        <v>0.36799999999999999</v>
      </c>
      <c r="AS459" s="39">
        <f t="shared" si="102"/>
        <v>0.371</v>
      </c>
      <c r="AT459" s="40">
        <v>0.629</v>
      </c>
      <c r="AU459">
        <v>0</v>
      </c>
      <c r="AV459" s="18">
        <v>1</v>
      </c>
      <c r="AW459">
        <v>0</v>
      </c>
      <c r="AX459" s="18">
        <v>1</v>
      </c>
      <c r="AY459" s="18" t="s">
        <v>7</v>
      </c>
      <c r="AZ459">
        <v>0</v>
      </c>
      <c r="BA459">
        <v>0</v>
      </c>
      <c r="BB459">
        <v>0</v>
      </c>
      <c r="BC459">
        <v>0</v>
      </c>
      <c r="BD459">
        <v>0</v>
      </c>
      <c r="BE459">
        <v>0</v>
      </c>
      <c r="BF459" s="18">
        <v>1</v>
      </c>
      <c r="BG459">
        <v>0</v>
      </c>
      <c r="BH459">
        <v>0</v>
      </c>
      <c r="BI459" s="18">
        <v>1</v>
      </c>
      <c r="BJ459" t="s">
        <v>98</v>
      </c>
      <c r="BK459" t="s">
        <v>98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0"/>
        <v>1.0976837865055389</v>
      </c>
      <c r="F460" s="7">
        <v>9.93</v>
      </c>
      <c r="G460" s="7">
        <f t="shared" si="106"/>
        <v>9.8023162134944606</v>
      </c>
      <c r="H460" s="16">
        <f t="shared" si="107"/>
        <v>11.99768378650554</v>
      </c>
      <c r="I460" s="11">
        <f t="shared" si="112"/>
        <v>0.25088200291266882</v>
      </c>
      <c r="J460" s="33">
        <f t="shared" si="113"/>
        <v>2.5265055681034123E-2</v>
      </c>
      <c r="K460" s="33">
        <f t="shared" si="114"/>
        <v>39.580360028680886</v>
      </c>
      <c r="L460" s="8">
        <v>0</v>
      </c>
      <c r="M460" s="9">
        <v>1</v>
      </c>
      <c r="N460" s="8">
        <v>0</v>
      </c>
      <c r="O460" s="9">
        <v>1</v>
      </c>
      <c r="P460" s="9">
        <v>0</v>
      </c>
      <c r="Q460" s="9">
        <v>0</v>
      </c>
      <c r="R460" s="9">
        <v>0</v>
      </c>
      <c r="S460" s="8">
        <v>1476</v>
      </c>
      <c r="T460" s="9">
        <v>7</v>
      </c>
      <c r="U460" s="9">
        <f t="shared" si="108"/>
        <v>1468</v>
      </c>
      <c r="V460" s="9">
        <f t="shared" si="109"/>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1"/>
        <v>0.63200000000000001</v>
      </c>
      <c r="AR460" s="40">
        <v>0.36799999999999999</v>
      </c>
      <c r="AS460" s="39">
        <f t="shared" si="102"/>
        <v>0.371</v>
      </c>
      <c r="AT460" s="40">
        <v>0.629</v>
      </c>
      <c r="AU460">
        <v>0</v>
      </c>
      <c r="AV460" s="18">
        <v>1</v>
      </c>
      <c r="AW460">
        <v>0</v>
      </c>
      <c r="AX460" s="18">
        <v>1</v>
      </c>
      <c r="AY460" s="18" t="s">
        <v>7</v>
      </c>
      <c r="AZ460">
        <v>0</v>
      </c>
      <c r="BA460">
        <v>0</v>
      </c>
      <c r="BB460">
        <v>0</v>
      </c>
      <c r="BC460">
        <v>0</v>
      </c>
      <c r="BD460">
        <v>0</v>
      </c>
      <c r="BE460">
        <v>0</v>
      </c>
      <c r="BF460" s="18">
        <v>1</v>
      </c>
      <c r="BG460">
        <v>0</v>
      </c>
      <c r="BH460">
        <v>0</v>
      </c>
      <c r="BI460" s="18">
        <v>1</v>
      </c>
      <c r="BJ460" t="s">
        <v>98</v>
      </c>
      <c r="BK460" t="s">
        <v>98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0"/>
        <v>3.3171912832929782</v>
      </c>
      <c r="F461" s="7">
        <v>4.13</v>
      </c>
      <c r="G461" s="7">
        <f t="shared" si="106"/>
        <v>10.382808716707022</v>
      </c>
      <c r="H461" s="16">
        <f t="shared" si="107"/>
        <v>17.017191283292977</v>
      </c>
      <c r="I461" s="11">
        <f t="shared" si="112"/>
        <v>0.10717130145140812</v>
      </c>
      <c r="J461" s="33">
        <f t="shared" si="113"/>
        <v>2.5949467663779209E-2</v>
      </c>
      <c r="K461" s="33">
        <f t="shared" si="114"/>
        <v>38.536436005422189</v>
      </c>
      <c r="L461" s="8">
        <v>0</v>
      </c>
      <c r="M461" s="9">
        <v>1</v>
      </c>
      <c r="N461" s="8">
        <v>0</v>
      </c>
      <c r="O461" s="9">
        <v>1</v>
      </c>
      <c r="P461" s="9">
        <v>0</v>
      </c>
      <c r="Q461" s="9">
        <v>0</v>
      </c>
      <c r="R461" s="9">
        <v>0</v>
      </c>
      <c r="S461" s="8">
        <v>1476</v>
      </c>
      <c r="T461" s="9">
        <v>7</v>
      </c>
      <c r="U461" s="9">
        <f t="shared" si="108"/>
        <v>1468</v>
      </c>
      <c r="V461" s="9">
        <f t="shared" si="109"/>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1"/>
        <v>0.63200000000000001</v>
      </c>
      <c r="AR461" s="40">
        <v>0.36799999999999999</v>
      </c>
      <c r="AS461" s="39">
        <f t="shared" si="102"/>
        <v>0.371</v>
      </c>
      <c r="AT461" s="40">
        <v>0.629</v>
      </c>
      <c r="AU461">
        <v>0</v>
      </c>
      <c r="AV461" s="18">
        <v>1</v>
      </c>
      <c r="AW461">
        <v>0</v>
      </c>
      <c r="AX461" s="18">
        <v>1</v>
      </c>
      <c r="AY461" s="18" t="s">
        <v>7</v>
      </c>
      <c r="AZ461">
        <v>0</v>
      </c>
      <c r="BA461">
        <v>0</v>
      </c>
      <c r="BB461">
        <v>0</v>
      </c>
      <c r="BC461">
        <v>0</v>
      </c>
      <c r="BD461">
        <v>0</v>
      </c>
      <c r="BE461">
        <v>0</v>
      </c>
      <c r="BF461" s="18">
        <v>1</v>
      </c>
      <c r="BG461">
        <v>0</v>
      </c>
      <c r="BH461">
        <v>0</v>
      </c>
      <c r="BI461" s="18">
        <v>1</v>
      </c>
      <c r="BJ461" t="s">
        <v>98</v>
      </c>
      <c r="BK461" t="s">
        <v>98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0"/>
        <v>5.25</v>
      </c>
      <c r="F462" s="7">
        <v>2.4</v>
      </c>
      <c r="G462" s="7">
        <f t="shared" si="106"/>
        <v>7.35</v>
      </c>
      <c r="H462" s="16">
        <f t="shared" si="107"/>
        <v>17.850000000000001</v>
      </c>
      <c r="I462" s="11">
        <f t="shared" si="112"/>
        <v>6.2516961111875644E-2</v>
      </c>
      <c r="J462" s="33">
        <f t="shared" si="113"/>
        <v>2.6048733796614851E-2</v>
      </c>
      <c r="K462" s="33">
        <f t="shared" si="114"/>
        <v>38.389581920099104</v>
      </c>
      <c r="L462" s="8">
        <v>0</v>
      </c>
      <c r="M462" s="9">
        <v>1</v>
      </c>
      <c r="N462" s="8">
        <v>0</v>
      </c>
      <c r="O462" s="9">
        <v>1</v>
      </c>
      <c r="P462" s="9">
        <v>0</v>
      </c>
      <c r="Q462" s="9">
        <v>0</v>
      </c>
      <c r="R462" s="9">
        <v>0</v>
      </c>
      <c r="S462" s="8">
        <v>1476</v>
      </c>
      <c r="T462" s="9">
        <v>7</v>
      </c>
      <c r="U462" s="9">
        <f t="shared" si="108"/>
        <v>1468</v>
      </c>
      <c r="V462" s="9">
        <f t="shared" si="109"/>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1"/>
        <v>0.63200000000000001</v>
      </c>
      <c r="AR462" s="40">
        <v>0.36799999999999999</v>
      </c>
      <c r="AS462" s="39">
        <f t="shared" si="102"/>
        <v>0.371</v>
      </c>
      <c r="AT462" s="40">
        <v>0.629</v>
      </c>
      <c r="AU462">
        <v>0</v>
      </c>
      <c r="AV462" s="18">
        <v>1</v>
      </c>
      <c r="AW462">
        <v>0</v>
      </c>
      <c r="AX462" s="18">
        <v>1</v>
      </c>
      <c r="AY462" s="18" t="s">
        <v>7</v>
      </c>
      <c r="AZ462">
        <v>0</v>
      </c>
      <c r="BA462">
        <v>0</v>
      </c>
      <c r="BB462">
        <v>0</v>
      </c>
      <c r="BC462">
        <v>0</v>
      </c>
      <c r="BD462">
        <v>0</v>
      </c>
      <c r="BE462">
        <v>0</v>
      </c>
      <c r="BF462" s="18">
        <v>1</v>
      </c>
      <c r="BG462">
        <v>0</v>
      </c>
      <c r="BH462">
        <v>0</v>
      </c>
      <c r="BI462" s="18">
        <v>1</v>
      </c>
      <c r="BJ462" t="s">
        <v>98</v>
      </c>
      <c r="BK462" t="s">
        <v>98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0"/>
        <v>2.5000000000000004</v>
      </c>
      <c r="F463" s="7">
        <v>7.84</v>
      </c>
      <c r="G463" s="7">
        <f t="shared" si="106"/>
        <v>17.100000000000001</v>
      </c>
      <c r="H463" s="16">
        <f t="shared" si="107"/>
        <v>22.1</v>
      </c>
      <c r="I463" s="11">
        <f t="shared" si="112"/>
        <v>0.20046853007196822</v>
      </c>
      <c r="J463" s="33">
        <f t="shared" si="113"/>
        <v>2.5569965570404109E-2</v>
      </c>
      <c r="K463" s="33">
        <f t="shared" si="114"/>
        <v>39.108382733117459</v>
      </c>
      <c r="L463" s="8">
        <v>0</v>
      </c>
      <c r="M463" s="9">
        <v>1</v>
      </c>
      <c r="N463" s="8">
        <v>0</v>
      </c>
      <c r="O463" s="9">
        <v>1</v>
      </c>
      <c r="P463" s="9">
        <v>0</v>
      </c>
      <c r="Q463" s="9">
        <v>0</v>
      </c>
      <c r="R463" s="9">
        <v>0</v>
      </c>
      <c r="S463" s="8">
        <v>1476</v>
      </c>
      <c r="T463" s="9">
        <v>7</v>
      </c>
      <c r="U463" s="9">
        <f t="shared" si="108"/>
        <v>1468</v>
      </c>
      <c r="V463" s="9">
        <f t="shared" si="109"/>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1"/>
        <v>0.63200000000000001</v>
      </c>
      <c r="AR463" s="40">
        <v>0.36799999999999999</v>
      </c>
      <c r="AS463" s="39">
        <f t="shared" si="102"/>
        <v>0.371</v>
      </c>
      <c r="AT463" s="40">
        <v>0.629</v>
      </c>
      <c r="AU463">
        <v>0</v>
      </c>
      <c r="AV463" s="18">
        <v>1</v>
      </c>
      <c r="AW463">
        <v>0</v>
      </c>
      <c r="AX463" s="18">
        <v>1</v>
      </c>
      <c r="AY463" s="18" t="s">
        <v>7</v>
      </c>
      <c r="AZ463">
        <v>0</v>
      </c>
      <c r="BA463">
        <v>0</v>
      </c>
      <c r="BB463">
        <v>0</v>
      </c>
      <c r="BC463">
        <v>0</v>
      </c>
      <c r="BD463">
        <v>0</v>
      </c>
      <c r="BE463">
        <v>0</v>
      </c>
      <c r="BF463" s="18">
        <v>1</v>
      </c>
      <c r="BG463">
        <v>0</v>
      </c>
      <c r="BH463">
        <v>0</v>
      </c>
      <c r="BI463" s="18">
        <v>1</v>
      </c>
      <c r="BJ463" t="s">
        <v>98</v>
      </c>
      <c r="BK463" t="s">
        <v>98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0"/>
        <v>2.4281984334203655</v>
      </c>
      <c r="F464" s="7">
        <v>7.66</v>
      </c>
      <c r="G464" s="7">
        <f t="shared" si="106"/>
        <v>16.171801566579635</v>
      </c>
      <c r="H464" s="16">
        <f t="shared" si="107"/>
        <v>21.028198433420368</v>
      </c>
      <c r="I464" s="11">
        <f t="shared" si="112"/>
        <v>0.19604482709698576</v>
      </c>
      <c r="J464" s="33">
        <f t="shared" si="113"/>
        <v>2.5593319464358451E-2</v>
      </c>
      <c r="K464" s="33">
        <f t="shared" si="114"/>
        <v>39.072696349241113</v>
      </c>
      <c r="L464" s="8">
        <v>0</v>
      </c>
      <c r="M464" s="9">
        <v>1</v>
      </c>
      <c r="N464" s="8">
        <v>0</v>
      </c>
      <c r="O464" s="9">
        <v>1</v>
      </c>
      <c r="P464" s="9">
        <v>0</v>
      </c>
      <c r="Q464" s="9">
        <v>0</v>
      </c>
      <c r="R464" s="9">
        <v>0</v>
      </c>
      <c r="S464" s="8">
        <v>1476</v>
      </c>
      <c r="T464" s="9">
        <v>7</v>
      </c>
      <c r="U464" s="9">
        <f t="shared" si="108"/>
        <v>1468</v>
      </c>
      <c r="V464" s="9">
        <f t="shared" si="109"/>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1"/>
        <v>0.63200000000000001</v>
      </c>
      <c r="AR464" s="40">
        <v>0.36799999999999999</v>
      </c>
      <c r="AS464" s="39">
        <f t="shared" si="102"/>
        <v>0.371</v>
      </c>
      <c r="AT464" s="40">
        <v>0.629</v>
      </c>
      <c r="AU464">
        <v>0</v>
      </c>
      <c r="AV464" s="18">
        <v>1</v>
      </c>
      <c r="AW464">
        <v>0</v>
      </c>
      <c r="AX464" s="18">
        <v>1</v>
      </c>
      <c r="AY464" s="18" t="s">
        <v>7</v>
      </c>
      <c r="AZ464">
        <v>0</v>
      </c>
      <c r="BA464">
        <v>0</v>
      </c>
      <c r="BB464">
        <v>0</v>
      </c>
      <c r="BC464">
        <v>0</v>
      </c>
      <c r="BD464">
        <v>0</v>
      </c>
      <c r="BE464">
        <v>0</v>
      </c>
      <c r="BF464" s="18">
        <v>1</v>
      </c>
      <c r="BG464">
        <v>0</v>
      </c>
      <c r="BH464">
        <v>0</v>
      </c>
      <c r="BI464" s="18">
        <v>1</v>
      </c>
      <c r="BJ464" t="s">
        <v>98</v>
      </c>
      <c r="BK464" t="s">
        <v>98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0"/>
        <v>1.9814814814814812</v>
      </c>
      <c r="F465" s="7">
        <v>5.4</v>
      </c>
      <c r="G465" s="7">
        <f t="shared" si="106"/>
        <v>8.7185185185185183</v>
      </c>
      <c r="H465" s="16">
        <f t="shared" si="107"/>
        <v>12.68148148148148</v>
      </c>
      <c r="I465" s="11">
        <f t="shared" si="112"/>
        <v>0.13955957945972247</v>
      </c>
      <c r="J465" s="33">
        <f t="shared" si="113"/>
        <v>2.5844366566615273E-2</v>
      </c>
      <c r="K465" s="33">
        <f t="shared" si="114"/>
        <v>38.693151848873725</v>
      </c>
      <c r="L465" s="8">
        <v>0</v>
      </c>
      <c r="M465" s="9">
        <v>1</v>
      </c>
      <c r="N465" s="8">
        <v>0</v>
      </c>
      <c r="O465" s="9">
        <v>1</v>
      </c>
      <c r="P465" s="9">
        <v>0</v>
      </c>
      <c r="Q465" s="9">
        <v>0</v>
      </c>
      <c r="R465" s="9">
        <v>0</v>
      </c>
      <c r="S465" s="8">
        <v>1476</v>
      </c>
      <c r="T465" s="9">
        <v>7</v>
      </c>
      <c r="U465" s="9">
        <f t="shared" si="108"/>
        <v>1468</v>
      </c>
      <c r="V465" s="9">
        <f t="shared" si="109"/>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1"/>
        <v>0.63200000000000001</v>
      </c>
      <c r="AR465" s="40">
        <v>0.36799999999999999</v>
      </c>
      <c r="AS465" s="39">
        <f t="shared" si="102"/>
        <v>0.371</v>
      </c>
      <c r="AT465" s="40">
        <v>0.629</v>
      </c>
      <c r="AU465">
        <v>0</v>
      </c>
      <c r="AV465" s="18">
        <v>1</v>
      </c>
      <c r="AW465">
        <v>0</v>
      </c>
      <c r="AX465" s="18">
        <v>1</v>
      </c>
      <c r="AY465" s="18" t="s">
        <v>7</v>
      </c>
      <c r="AZ465">
        <v>0</v>
      </c>
      <c r="BA465">
        <v>0</v>
      </c>
      <c r="BB465">
        <v>0</v>
      </c>
      <c r="BC465">
        <v>0</v>
      </c>
      <c r="BD465">
        <v>0</v>
      </c>
      <c r="BE465">
        <v>0</v>
      </c>
      <c r="BF465" s="18">
        <v>1</v>
      </c>
      <c r="BG465">
        <v>0</v>
      </c>
      <c r="BH465">
        <v>0</v>
      </c>
      <c r="BI465" s="18">
        <v>1</v>
      </c>
      <c r="BJ465" t="s">
        <v>98</v>
      </c>
      <c r="BK465" t="s">
        <v>98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0"/>
        <v>4.7179487179487181</v>
      </c>
      <c r="F466" s="55">
        <v>1.95</v>
      </c>
      <c r="G466" s="55">
        <f t="shared" si="106"/>
        <v>4.4820512820512812</v>
      </c>
      <c r="H466" s="56">
        <f t="shared" si="107"/>
        <v>13.917948717948718</v>
      </c>
      <c r="I466" s="11">
        <f t="shared" si="112"/>
        <v>5.0828798421125441E-2</v>
      </c>
      <c r="J466" s="33">
        <f t="shared" si="113"/>
        <v>2.606605047237202E-2</v>
      </c>
      <c r="K466" s="33">
        <f t="shared" si="114"/>
        <v>38.36407825036332</v>
      </c>
      <c r="L466" s="59">
        <v>0</v>
      </c>
      <c r="M466" s="60">
        <v>1</v>
      </c>
      <c r="N466" s="59">
        <v>0</v>
      </c>
      <c r="O466" s="60">
        <v>1</v>
      </c>
      <c r="P466" s="60">
        <v>0</v>
      </c>
      <c r="Q466" s="60">
        <v>0</v>
      </c>
      <c r="R466" s="60">
        <v>0</v>
      </c>
      <c r="S466" s="59">
        <v>1476</v>
      </c>
      <c r="T466" s="60">
        <v>7</v>
      </c>
      <c r="U466" s="60">
        <f t="shared" si="108"/>
        <v>1468</v>
      </c>
      <c r="V466" s="60">
        <f t="shared" si="109"/>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1"/>
        <v>0.63200000000000001</v>
      </c>
      <c r="AR466" s="66">
        <v>0.36799999999999999</v>
      </c>
      <c r="AS466" s="68">
        <f t="shared" si="102"/>
        <v>0.371</v>
      </c>
      <c r="AT466" s="66">
        <v>0.629</v>
      </c>
      <c r="AU466">
        <v>0</v>
      </c>
      <c r="AV466" s="65">
        <v>1</v>
      </c>
      <c r="AW466" s="51">
        <v>0</v>
      </c>
      <c r="AX466" s="65">
        <v>1</v>
      </c>
      <c r="AY466" s="65" t="s">
        <v>7</v>
      </c>
      <c r="AZ466">
        <v>0</v>
      </c>
      <c r="BA466">
        <v>0</v>
      </c>
      <c r="BB466">
        <v>0</v>
      </c>
      <c r="BC466">
        <v>0</v>
      </c>
      <c r="BD466">
        <v>0</v>
      </c>
      <c r="BE466">
        <v>0</v>
      </c>
      <c r="BF466" s="65">
        <v>1</v>
      </c>
      <c r="BG466">
        <v>0</v>
      </c>
      <c r="BH466">
        <v>0</v>
      </c>
      <c r="BI466" s="65">
        <v>1</v>
      </c>
      <c r="BJ466" t="s">
        <v>98</v>
      </c>
      <c r="BK466" t="s">
        <v>98</v>
      </c>
      <c r="BL466" s="52">
        <v>37</v>
      </c>
      <c r="BM466" s="51">
        <v>0</v>
      </c>
      <c r="BN466" s="51">
        <v>0</v>
      </c>
      <c r="BO466" s="51">
        <v>0</v>
      </c>
      <c r="BP466" s="51">
        <v>0</v>
      </c>
      <c r="BQ466" s="51">
        <v>0</v>
      </c>
      <c r="BR466" s="51">
        <v>0</v>
      </c>
      <c r="BS466" s="51">
        <v>0</v>
      </c>
      <c r="BT466" s="65">
        <v>1</v>
      </c>
      <c r="BU466" s="51">
        <v>0</v>
      </c>
      <c r="BV466" s="51">
        <v>1</v>
      </c>
      <c r="BW466" s="51">
        <v>0</v>
      </c>
      <c r="BX466" s="65">
        <v>0</v>
      </c>
      <c r="BY466" s="51">
        <v>1</v>
      </c>
      <c r="BZ466" s="51">
        <v>0</v>
      </c>
      <c r="CA466" s="51">
        <v>0</v>
      </c>
      <c r="CB466" s="51">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0"/>
        <v>0.83776595744680848</v>
      </c>
      <c r="F467" s="7">
        <v>7.52</v>
      </c>
      <c r="G467" s="7">
        <f t="shared" si="106"/>
        <v>5.4622340425531917</v>
      </c>
      <c r="H467" s="16">
        <f t="shared" si="107"/>
        <v>7.137765957446808</v>
      </c>
      <c r="I467" s="11">
        <f t="shared" si="112"/>
        <v>0.22951264688149664</v>
      </c>
      <c r="J467" s="33">
        <f t="shared" si="113"/>
        <v>3.0520298787433064E-2</v>
      </c>
      <c r="K467" s="33">
        <f t="shared" si="114"/>
        <v>32.765078971368283</v>
      </c>
      <c r="L467" s="8">
        <v>1</v>
      </c>
      <c r="M467" s="9">
        <v>0</v>
      </c>
      <c r="N467" s="8">
        <v>1</v>
      </c>
      <c r="O467" s="9">
        <v>0</v>
      </c>
      <c r="P467" s="9">
        <v>0</v>
      </c>
      <c r="Q467" s="9">
        <v>0</v>
      </c>
      <c r="R467" s="9">
        <v>0</v>
      </c>
      <c r="S467" s="8">
        <v>1023</v>
      </c>
      <c r="T467" s="9">
        <v>5</v>
      </c>
      <c r="U467" s="9">
        <f t="shared" si="108"/>
        <v>1017</v>
      </c>
      <c r="V467" s="9">
        <f t="shared" si="109"/>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v>0</v>
      </c>
      <c r="BF467" s="18">
        <v>0</v>
      </c>
      <c r="BG467">
        <v>0</v>
      </c>
      <c r="BH467">
        <v>1</v>
      </c>
      <c r="BI467" s="18">
        <v>0</v>
      </c>
      <c r="BJ467">
        <v>818</v>
      </c>
      <c r="BK467">
        <v>95</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0"/>
        <v>0.8276797829036634</v>
      </c>
      <c r="F468" s="7">
        <v>7.37</v>
      </c>
      <c r="G468" s="7">
        <f t="shared" si="106"/>
        <v>5.2723202170963361</v>
      </c>
      <c r="H468" s="16">
        <f t="shared" si="107"/>
        <v>6.9276797829036632</v>
      </c>
      <c r="I468" s="11">
        <f t="shared" si="112"/>
        <v>0.2252741171820597</v>
      </c>
      <c r="J468" s="33">
        <f t="shared" si="113"/>
        <v>3.0566365967715021E-2</v>
      </c>
      <c r="K468" s="33">
        <f t="shared" si="114"/>
        <v>32.715698066830242</v>
      </c>
      <c r="L468" s="8">
        <v>1</v>
      </c>
      <c r="M468" s="9">
        <v>0</v>
      </c>
      <c r="N468" s="8">
        <v>1</v>
      </c>
      <c r="O468" s="9">
        <v>0</v>
      </c>
      <c r="P468" s="9">
        <v>0</v>
      </c>
      <c r="Q468" s="9">
        <v>0</v>
      </c>
      <c r="R468" s="9">
        <v>0</v>
      </c>
      <c r="S468" s="8">
        <v>1023</v>
      </c>
      <c r="T468" s="9">
        <v>6</v>
      </c>
      <c r="U468" s="9">
        <f t="shared" si="108"/>
        <v>1016</v>
      </c>
      <c r="V468" s="9">
        <f t="shared" si="109"/>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v>0</v>
      </c>
      <c r="BF468" s="18">
        <v>0</v>
      </c>
      <c r="BG468">
        <v>0</v>
      </c>
      <c r="BH468">
        <v>1</v>
      </c>
      <c r="BI468" s="18">
        <v>0</v>
      </c>
      <c r="BJ468">
        <v>818</v>
      </c>
      <c r="BK468">
        <v>95</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0"/>
        <v>0.8904109589041096</v>
      </c>
      <c r="F469" s="7">
        <v>7.3</v>
      </c>
      <c r="G469" s="7">
        <f t="shared" si="106"/>
        <v>5.6095890410958908</v>
      </c>
      <c r="H469" s="16">
        <f t="shared" si="107"/>
        <v>7.3904109589041092</v>
      </c>
      <c r="I469" s="11">
        <f t="shared" si="112"/>
        <v>0.22742757354036125</v>
      </c>
      <c r="J469" s="33">
        <f t="shared" si="113"/>
        <v>3.1154462128816611E-2</v>
      </c>
      <c r="K469" s="33">
        <f t="shared" si="114"/>
        <v>32.098130786698469</v>
      </c>
      <c r="L469" s="8">
        <v>1</v>
      </c>
      <c r="M469" s="9">
        <v>0</v>
      </c>
      <c r="N469" s="8">
        <v>1</v>
      </c>
      <c r="O469" s="9">
        <v>0</v>
      </c>
      <c r="P469" s="9">
        <v>0</v>
      </c>
      <c r="Q469" s="9">
        <v>0</v>
      </c>
      <c r="R469" s="9">
        <v>0</v>
      </c>
      <c r="S469" s="8">
        <v>986</v>
      </c>
      <c r="T469" s="9">
        <v>8</v>
      </c>
      <c r="U469" s="9">
        <f t="shared" si="108"/>
        <v>977</v>
      </c>
      <c r="V469" s="9">
        <f t="shared" si="109"/>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v>0</v>
      </c>
      <c r="BF469" s="18">
        <v>0</v>
      </c>
      <c r="BG469">
        <v>0</v>
      </c>
      <c r="BH469">
        <v>1</v>
      </c>
      <c r="BI469" s="18">
        <v>0</v>
      </c>
      <c r="BJ469">
        <v>818</v>
      </c>
      <c r="BK469">
        <v>95</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0"/>
        <v>0.86838534599728634</v>
      </c>
      <c r="F470" s="7">
        <v>7.37</v>
      </c>
      <c r="G470" s="7">
        <f t="shared" si="106"/>
        <v>5.5316146540027145</v>
      </c>
      <c r="H470" s="16">
        <f t="shared" si="107"/>
        <v>7.2683853459972863</v>
      </c>
      <c r="I470" s="11">
        <f t="shared" si="112"/>
        <v>0.12618462893964844</v>
      </c>
      <c r="J470" s="33">
        <f t="shared" si="113"/>
        <v>1.7121387915827468E-2</v>
      </c>
      <c r="K470" s="33">
        <f t="shared" si="114"/>
        <v>58.406479948718022</v>
      </c>
      <c r="L470" s="8">
        <v>1</v>
      </c>
      <c r="M470" s="9">
        <v>0</v>
      </c>
      <c r="N470" s="8">
        <v>1</v>
      </c>
      <c r="O470" s="9">
        <v>0</v>
      </c>
      <c r="P470" s="9">
        <v>0</v>
      </c>
      <c r="Q470" s="9">
        <v>0</v>
      </c>
      <c r="R470" s="9">
        <v>0</v>
      </c>
      <c r="S470" s="8">
        <v>3364</v>
      </c>
      <c r="T470" s="9">
        <v>6</v>
      </c>
      <c r="U470" s="9">
        <f t="shared" si="108"/>
        <v>3357</v>
      </c>
      <c r="V470" s="9">
        <f t="shared" si="109"/>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v>0</v>
      </c>
      <c r="BF470" s="18">
        <v>0</v>
      </c>
      <c r="BG470">
        <v>0</v>
      </c>
      <c r="BH470">
        <v>1</v>
      </c>
      <c r="BI470" s="18">
        <v>0</v>
      </c>
      <c r="BJ470">
        <v>818</v>
      </c>
      <c r="BK470">
        <v>95</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0"/>
        <v>1.4625850340136055</v>
      </c>
      <c r="F471" s="7">
        <v>2.94</v>
      </c>
      <c r="G471" s="7">
        <f t="shared" si="106"/>
        <v>2.8374149659863943</v>
      </c>
      <c r="H471" s="16">
        <f t="shared" si="107"/>
        <v>5.7625850340136058</v>
      </c>
      <c r="I471" s="11">
        <f t="shared" si="112"/>
        <v>5.0677276605177769E-2</v>
      </c>
      <c r="J471" s="33">
        <f t="shared" si="113"/>
        <v>1.7237168913325773E-2</v>
      </c>
      <c r="K471" s="33">
        <f t="shared" si="114"/>
        <v>58.014167235253836</v>
      </c>
      <c r="L471" s="8">
        <v>1</v>
      </c>
      <c r="M471" s="9">
        <v>0</v>
      </c>
      <c r="N471" s="8">
        <v>1</v>
      </c>
      <c r="O471" s="9">
        <v>0</v>
      </c>
      <c r="P471" s="9">
        <v>0</v>
      </c>
      <c r="Q471" s="9">
        <v>0</v>
      </c>
      <c r="R471" s="9">
        <v>0</v>
      </c>
      <c r="S471" s="8">
        <v>3364</v>
      </c>
      <c r="T471" s="9">
        <v>6</v>
      </c>
      <c r="U471" s="9">
        <f t="shared" si="108"/>
        <v>3357</v>
      </c>
      <c r="V471" s="9">
        <f t="shared" si="109"/>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v>0</v>
      </c>
      <c r="BF471" s="18">
        <v>0</v>
      </c>
      <c r="BG471">
        <v>0</v>
      </c>
      <c r="BH471">
        <v>1</v>
      </c>
      <c r="BI471" s="18">
        <v>0</v>
      </c>
      <c r="BJ471">
        <v>818</v>
      </c>
      <c r="BK471">
        <v>95</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0"/>
        <v>1.1854103343465046</v>
      </c>
      <c r="F472" s="7">
        <v>6.58</v>
      </c>
      <c r="G472" s="7">
        <f t="shared" si="106"/>
        <v>6.6145896656534955</v>
      </c>
      <c r="H472" s="16">
        <f t="shared" si="107"/>
        <v>8.9854103343465042</v>
      </c>
      <c r="I472" s="11">
        <f t="shared" si="112"/>
        <v>0.112841150584339</v>
      </c>
      <c r="J472" s="33">
        <f t="shared" si="113"/>
        <v>1.714911103105456E-2</v>
      </c>
      <c r="K472" s="33">
        <f t="shared" si="114"/>
        <v>58.3120605020951</v>
      </c>
      <c r="L472" s="8">
        <v>1</v>
      </c>
      <c r="M472" s="9">
        <v>0</v>
      </c>
      <c r="N472" s="8">
        <v>1</v>
      </c>
      <c r="O472" s="9">
        <v>0</v>
      </c>
      <c r="P472" s="9">
        <v>0</v>
      </c>
      <c r="Q472" s="9">
        <v>0</v>
      </c>
      <c r="R472" s="9">
        <v>0</v>
      </c>
      <c r="S472" s="8">
        <v>3364</v>
      </c>
      <c r="T472" s="9">
        <v>6</v>
      </c>
      <c r="U472" s="9">
        <f t="shared" si="108"/>
        <v>3357</v>
      </c>
      <c r="V472" s="9">
        <f t="shared" si="109"/>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v>0</v>
      </c>
      <c r="BF472" s="18">
        <v>0</v>
      </c>
      <c r="BG472">
        <v>0</v>
      </c>
      <c r="BH472">
        <v>1</v>
      </c>
      <c r="BI472" s="18">
        <v>0</v>
      </c>
      <c r="BJ472">
        <v>818</v>
      </c>
      <c r="BK472">
        <v>95</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0"/>
        <v>1.2804878048780488</v>
      </c>
      <c r="F473" s="7">
        <v>8.1999999999999993</v>
      </c>
      <c r="G473" s="7">
        <f t="shared" si="106"/>
        <v>9.2195121951219505</v>
      </c>
      <c r="H473" s="16">
        <f t="shared" si="107"/>
        <v>11.780487804878049</v>
      </c>
      <c r="I473" s="11">
        <f t="shared" si="112"/>
        <v>0.20660483785702163</v>
      </c>
      <c r="J473" s="33">
        <f t="shared" si="113"/>
        <v>2.5195711933783126E-2</v>
      </c>
      <c r="K473" s="33">
        <f t="shared" si="114"/>
        <v>39.689293266572541</v>
      </c>
      <c r="L473" s="8">
        <v>1</v>
      </c>
      <c r="M473" s="9">
        <v>0</v>
      </c>
      <c r="N473" s="8">
        <v>1</v>
      </c>
      <c r="O473" s="9">
        <v>0</v>
      </c>
      <c r="P473" s="9">
        <v>0</v>
      </c>
      <c r="Q473" s="9">
        <v>0</v>
      </c>
      <c r="R473" s="9">
        <v>0</v>
      </c>
      <c r="S473" s="8">
        <v>1515</v>
      </c>
      <c r="T473" s="9">
        <v>6</v>
      </c>
      <c r="U473" s="9">
        <f t="shared" si="108"/>
        <v>1508</v>
      </c>
      <c r="V473" s="9">
        <f t="shared" si="109"/>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v>0</v>
      </c>
      <c r="BF473" s="18">
        <v>0</v>
      </c>
      <c r="BG473">
        <v>0</v>
      </c>
      <c r="BH473">
        <v>1</v>
      </c>
      <c r="BI473" s="18">
        <v>0</v>
      </c>
      <c r="BJ473">
        <v>818</v>
      </c>
      <c r="BK473">
        <v>95</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0"/>
        <v>2.8253968253968256</v>
      </c>
      <c r="F474" s="7">
        <v>3.15</v>
      </c>
      <c r="G474" s="7">
        <f t="shared" si="106"/>
        <v>6.0746031746031743</v>
      </c>
      <c r="H474" s="16">
        <f t="shared" si="107"/>
        <v>11.725396825396826</v>
      </c>
      <c r="I474" s="11">
        <f t="shared" si="112"/>
        <v>8.0851066780717365E-2</v>
      </c>
      <c r="J474" s="33">
        <f t="shared" si="113"/>
        <v>2.5667005327211861E-2</v>
      </c>
      <c r="K474" s="33">
        <f t="shared" si="114"/>
        <v>38.960524893794741</v>
      </c>
      <c r="L474" s="8">
        <v>1</v>
      </c>
      <c r="M474" s="9">
        <v>0</v>
      </c>
      <c r="N474" s="8">
        <v>1</v>
      </c>
      <c r="O474" s="9">
        <v>0</v>
      </c>
      <c r="P474" s="9">
        <v>0</v>
      </c>
      <c r="Q474" s="9">
        <v>0</v>
      </c>
      <c r="R474" s="9">
        <v>0</v>
      </c>
      <c r="S474" s="8">
        <v>1515</v>
      </c>
      <c r="T474" s="9">
        <v>6</v>
      </c>
      <c r="U474" s="9">
        <f t="shared" si="108"/>
        <v>1508</v>
      </c>
      <c r="V474" s="9">
        <f t="shared" si="109"/>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v>0</v>
      </c>
      <c r="BF474" s="18">
        <v>0</v>
      </c>
      <c r="BG474">
        <v>0</v>
      </c>
      <c r="BH474">
        <v>1</v>
      </c>
      <c r="BI474" s="18">
        <v>0</v>
      </c>
      <c r="BJ474">
        <v>818</v>
      </c>
      <c r="BK474">
        <v>95</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0"/>
        <v>1.4516129032258063</v>
      </c>
      <c r="F475" s="7">
        <v>8.06</v>
      </c>
      <c r="G475" s="7">
        <f t="shared" si="106"/>
        <v>10.248387096774193</v>
      </c>
      <c r="H475" s="16">
        <f t="shared" si="107"/>
        <v>13.151612903225805</v>
      </c>
      <c r="I475" s="11">
        <f t="shared" si="112"/>
        <v>0.20322433235021214</v>
      </c>
      <c r="J475" s="33">
        <f t="shared" si="113"/>
        <v>2.5213937016155347E-2</v>
      </c>
      <c r="K475" s="33">
        <f t="shared" si="114"/>
        <v>39.66060513910498</v>
      </c>
      <c r="L475" s="8">
        <v>1</v>
      </c>
      <c r="M475" s="9">
        <v>0</v>
      </c>
      <c r="N475" s="8">
        <v>1</v>
      </c>
      <c r="O475" s="9">
        <v>0</v>
      </c>
      <c r="P475" s="9">
        <v>0</v>
      </c>
      <c r="Q475" s="9">
        <v>0</v>
      </c>
      <c r="R475" s="9">
        <v>0</v>
      </c>
      <c r="S475" s="8">
        <v>1515</v>
      </c>
      <c r="T475" s="9">
        <v>6</v>
      </c>
      <c r="U475" s="9">
        <f t="shared" si="108"/>
        <v>1508</v>
      </c>
      <c r="V475" s="9">
        <f t="shared" si="109"/>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v>0</v>
      </c>
      <c r="BF475" s="18">
        <v>0</v>
      </c>
      <c r="BG475">
        <v>0</v>
      </c>
      <c r="BH475">
        <v>1</v>
      </c>
      <c r="BI475" s="18">
        <v>0</v>
      </c>
      <c r="BJ475">
        <v>818</v>
      </c>
      <c r="BK475">
        <v>95</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0"/>
        <v>1.5025906735751295</v>
      </c>
      <c r="F476" s="7">
        <v>1.93</v>
      </c>
      <c r="G476" s="7">
        <f t="shared" si="106"/>
        <v>1.3974093264248704</v>
      </c>
      <c r="H476" s="16">
        <f t="shared" si="107"/>
        <v>4.4025906735751299</v>
      </c>
      <c r="I476" s="11">
        <f t="shared" si="112"/>
        <v>4.4245520473194209E-2</v>
      </c>
      <c r="J476" s="33">
        <f t="shared" si="113"/>
        <v>2.2925140141551403E-2</v>
      </c>
      <c r="K476" s="33">
        <f t="shared" si="114"/>
        <v>43.620234983319385</v>
      </c>
      <c r="L476" s="8">
        <v>1</v>
      </c>
      <c r="M476" s="9">
        <v>0</v>
      </c>
      <c r="N476" s="8">
        <v>1</v>
      </c>
      <c r="O476" s="9">
        <v>0</v>
      </c>
      <c r="P476" s="9">
        <v>0</v>
      </c>
      <c r="Q476" s="9">
        <v>0</v>
      </c>
      <c r="R476" s="9">
        <v>0</v>
      </c>
      <c r="S476" s="8">
        <v>1906</v>
      </c>
      <c r="T476" s="9">
        <v>6</v>
      </c>
      <c r="U476" s="9">
        <f t="shared" si="108"/>
        <v>1899</v>
      </c>
      <c r="V476" s="9">
        <f t="shared" si="109"/>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v>0</v>
      </c>
      <c r="BF476" s="18">
        <v>0</v>
      </c>
      <c r="BG476">
        <v>0</v>
      </c>
      <c r="BH476">
        <v>1</v>
      </c>
      <c r="BI476" s="18">
        <v>0</v>
      </c>
      <c r="BJ476">
        <v>818</v>
      </c>
      <c r="BK476">
        <v>95</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0"/>
        <v>1.8978102189781021</v>
      </c>
      <c r="F477" s="7">
        <v>1.37</v>
      </c>
      <c r="G477" s="7">
        <f t="shared" si="106"/>
        <v>0.702189781021898</v>
      </c>
      <c r="H477" s="16">
        <f t="shared" si="107"/>
        <v>4.4978102189781026</v>
      </c>
      <c r="I477" s="11">
        <f t="shared" si="112"/>
        <v>3.1422705174053607E-2</v>
      </c>
      <c r="J477" s="33">
        <f t="shared" si="113"/>
        <v>2.2936281148944235E-2</v>
      </c>
      <c r="K477" s="33">
        <f t="shared" si="114"/>
        <v>43.599047007933557</v>
      </c>
      <c r="L477" s="8">
        <v>1</v>
      </c>
      <c r="M477" s="9">
        <v>0</v>
      </c>
      <c r="N477" s="8">
        <v>1</v>
      </c>
      <c r="O477" s="9">
        <v>0</v>
      </c>
      <c r="P477" s="9">
        <v>0</v>
      </c>
      <c r="Q477" s="9">
        <v>0</v>
      </c>
      <c r="R477" s="9">
        <v>0</v>
      </c>
      <c r="S477" s="8">
        <v>1906</v>
      </c>
      <c r="T477" s="9">
        <v>6</v>
      </c>
      <c r="U477" s="9">
        <f t="shared" si="108"/>
        <v>1899</v>
      </c>
      <c r="V477" s="9">
        <f t="shared" si="109"/>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v>0</v>
      </c>
      <c r="BF477" s="18">
        <v>0</v>
      </c>
      <c r="BG477">
        <v>0</v>
      </c>
      <c r="BH477">
        <v>1</v>
      </c>
      <c r="BI477" s="18">
        <v>0</v>
      </c>
      <c r="BJ477">
        <v>818</v>
      </c>
      <c r="BK477">
        <v>95</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0"/>
        <v>3.8461538461538458</v>
      </c>
      <c r="F478" s="7">
        <v>-0.26</v>
      </c>
      <c r="G478" s="7">
        <f t="shared" si="106"/>
        <v>-4.8461538461538458</v>
      </c>
      <c r="H478" s="16">
        <f t="shared" si="107"/>
        <v>2.8461538461538458</v>
      </c>
      <c r="I478" s="11">
        <f t="shared" si="112"/>
        <v>-5.966273195313905E-3</v>
      </c>
      <c r="J478" s="33">
        <f t="shared" si="113"/>
        <v>2.294720459736117E-2</v>
      </c>
      <c r="K478" s="33">
        <f t="shared" si="114"/>
        <v>43.578292761419654</v>
      </c>
      <c r="L478" s="8">
        <v>1</v>
      </c>
      <c r="M478" s="9">
        <v>0</v>
      </c>
      <c r="N478" s="8">
        <v>1</v>
      </c>
      <c r="O478" s="9">
        <v>0</v>
      </c>
      <c r="P478" s="9">
        <v>0</v>
      </c>
      <c r="Q478" s="9">
        <v>0</v>
      </c>
      <c r="R478" s="9">
        <v>0</v>
      </c>
      <c r="S478" s="8">
        <v>1906</v>
      </c>
      <c r="T478" s="9">
        <v>6</v>
      </c>
      <c r="U478" s="9">
        <f t="shared" si="108"/>
        <v>1899</v>
      </c>
      <c r="V478" s="9">
        <f t="shared" si="109"/>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v>0</v>
      </c>
      <c r="BF478" s="18">
        <v>0</v>
      </c>
      <c r="BG478">
        <v>0</v>
      </c>
      <c r="BH478">
        <v>1</v>
      </c>
      <c r="BI478" s="18">
        <v>0</v>
      </c>
      <c r="BJ478">
        <v>818</v>
      </c>
      <c r="BK478">
        <v>95</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0"/>
        <v>1.9509754877438719</v>
      </c>
      <c r="F479" s="7">
        <v>1.9990000000000001</v>
      </c>
      <c r="G479" s="7">
        <f t="shared" si="106"/>
        <v>1.949024512256128</v>
      </c>
      <c r="H479" s="16">
        <f t="shared" si="107"/>
        <v>5.850975487743872</v>
      </c>
      <c r="I479" s="11">
        <f t="shared" si="112"/>
        <v>6.2621945271200061E-2</v>
      </c>
      <c r="J479" s="33">
        <f t="shared" si="113"/>
        <v>3.132663595357682E-2</v>
      </c>
      <c r="K479" s="33">
        <f t="shared" si="114"/>
        <v>31.921716761477601</v>
      </c>
      <c r="L479" s="8">
        <v>1</v>
      </c>
      <c r="M479" s="9">
        <v>0</v>
      </c>
      <c r="N479" s="8">
        <v>1</v>
      </c>
      <c r="O479" s="9">
        <v>0</v>
      </c>
      <c r="P479" s="9">
        <v>0</v>
      </c>
      <c r="Q479" s="9">
        <v>0</v>
      </c>
      <c r="R479" s="9">
        <v>0</v>
      </c>
      <c r="S479" s="8">
        <v>1023</v>
      </c>
      <c r="T479" s="9">
        <v>7</v>
      </c>
      <c r="U479" s="9">
        <f t="shared" si="108"/>
        <v>1015</v>
      </c>
      <c r="V479" s="9">
        <f t="shared" si="109"/>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v>0</v>
      </c>
      <c r="BF479" s="18">
        <v>0</v>
      </c>
      <c r="BG479">
        <v>0</v>
      </c>
      <c r="BH479">
        <v>1</v>
      </c>
      <c r="BI479" s="18">
        <v>0</v>
      </c>
      <c r="BJ479">
        <v>818</v>
      </c>
      <c r="BK479">
        <v>95</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0"/>
        <v>1.1297709923664123</v>
      </c>
      <c r="F480" s="7">
        <v>6.55</v>
      </c>
      <c r="G480" s="7">
        <f t="shared" si="106"/>
        <v>6.2702290076335885</v>
      </c>
      <c r="H480" s="16">
        <f t="shared" si="107"/>
        <v>8.5297709923664122</v>
      </c>
      <c r="I480" s="11">
        <f t="shared" si="112"/>
        <v>0.20138099312014243</v>
      </c>
      <c r="J480" s="33">
        <f t="shared" si="113"/>
        <v>3.0745189789334722E-2</v>
      </c>
      <c r="K480" s="33">
        <f t="shared" si="114"/>
        <v>32.52541314111167</v>
      </c>
      <c r="L480" s="8">
        <v>1</v>
      </c>
      <c r="M480" s="9">
        <v>0</v>
      </c>
      <c r="N480" s="8">
        <v>1</v>
      </c>
      <c r="O480" s="9">
        <v>0</v>
      </c>
      <c r="P480" s="9">
        <v>0</v>
      </c>
      <c r="Q480" s="9">
        <v>0</v>
      </c>
      <c r="R480" s="9">
        <v>0</v>
      </c>
      <c r="S480" s="8">
        <v>1023</v>
      </c>
      <c r="T480" s="9">
        <v>7</v>
      </c>
      <c r="U480" s="9">
        <f t="shared" si="108"/>
        <v>1015</v>
      </c>
      <c r="V480" s="9">
        <f t="shared" si="109"/>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v>0</v>
      </c>
      <c r="BF480" s="18">
        <v>0</v>
      </c>
      <c r="BG480">
        <v>0</v>
      </c>
      <c r="BH480">
        <v>1</v>
      </c>
      <c r="BI480" s="18">
        <v>0</v>
      </c>
      <c r="BJ480">
        <v>818</v>
      </c>
      <c r="BK480">
        <v>95</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0"/>
        <v>3.333333333333333</v>
      </c>
      <c r="F481" s="7">
        <v>1.8</v>
      </c>
      <c r="G481" s="7">
        <f t="shared" si="106"/>
        <v>2.666666666666667</v>
      </c>
      <c r="H481" s="16">
        <f t="shared" si="107"/>
        <v>9.3333333333333321</v>
      </c>
      <c r="I481" s="11">
        <f t="shared" si="112"/>
        <v>6.9683742661882223E-2</v>
      </c>
      <c r="J481" s="33">
        <f t="shared" si="113"/>
        <v>3.8713190367712341E-2</v>
      </c>
      <c r="K481" s="33">
        <f t="shared" si="114"/>
        <v>25.830989140952386</v>
      </c>
      <c r="L481" s="8">
        <v>1</v>
      </c>
      <c r="M481" s="9">
        <v>0</v>
      </c>
      <c r="N481" s="8">
        <v>1</v>
      </c>
      <c r="O481" s="9">
        <v>0</v>
      </c>
      <c r="P481" s="9">
        <v>0</v>
      </c>
      <c r="Q481" s="9">
        <v>0</v>
      </c>
      <c r="R481" s="9">
        <v>0</v>
      </c>
      <c r="S481" s="8">
        <v>672</v>
      </c>
      <c r="T481" s="9">
        <v>7</v>
      </c>
      <c r="U481" s="9">
        <f t="shared" si="108"/>
        <v>664</v>
      </c>
      <c r="V481" s="9">
        <f t="shared" si="109"/>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v>0</v>
      </c>
      <c r="BF481" s="18">
        <v>0</v>
      </c>
      <c r="BG481">
        <v>0</v>
      </c>
      <c r="BH481">
        <v>1</v>
      </c>
      <c r="BI481" s="18">
        <v>0</v>
      </c>
      <c r="BJ481">
        <v>818</v>
      </c>
      <c r="BK481">
        <v>95</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0"/>
        <v>1.4631043256997456</v>
      </c>
      <c r="F482" s="55">
        <v>7.86</v>
      </c>
      <c r="G482" s="55">
        <f t="shared" si="106"/>
        <v>10.036895674300254</v>
      </c>
      <c r="H482" s="56">
        <f t="shared" si="107"/>
        <v>12.963104325699746</v>
      </c>
      <c r="I482" s="11">
        <f t="shared" si="112"/>
        <v>0.29175624950447748</v>
      </c>
      <c r="J482" s="33">
        <f t="shared" si="113"/>
        <v>3.7119115713037845E-2</v>
      </c>
      <c r="K482" s="33">
        <f t="shared" si="114"/>
        <v>26.940296954562324</v>
      </c>
      <c r="L482" s="59">
        <v>1</v>
      </c>
      <c r="M482" s="60">
        <v>0</v>
      </c>
      <c r="N482" s="59">
        <v>1</v>
      </c>
      <c r="O482" s="60">
        <v>0</v>
      </c>
      <c r="P482" s="60">
        <v>0</v>
      </c>
      <c r="Q482" s="60">
        <v>0</v>
      </c>
      <c r="R482" s="60">
        <v>0</v>
      </c>
      <c r="S482" s="59">
        <v>672</v>
      </c>
      <c r="T482" s="60">
        <v>7</v>
      </c>
      <c r="U482" s="60">
        <f t="shared" si="108"/>
        <v>664</v>
      </c>
      <c r="V482" s="60">
        <f t="shared" si="109"/>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v>0</v>
      </c>
      <c r="BF482" s="65">
        <v>0</v>
      </c>
      <c r="BG482">
        <v>0</v>
      </c>
      <c r="BH482">
        <v>1</v>
      </c>
      <c r="BI482" s="65">
        <v>0</v>
      </c>
      <c r="BJ482">
        <v>818</v>
      </c>
      <c r="BK482">
        <v>95</v>
      </c>
      <c r="BL482" s="52">
        <v>35</v>
      </c>
      <c r="BM482" s="51">
        <v>0</v>
      </c>
      <c r="BN482" s="51">
        <v>0</v>
      </c>
      <c r="BO482" s="51">
        <v>0</v>
      </c>
      <c r="BP482" s="51">
        <v>0</v>
      </c>
      <c r="BQ482" s="51">
        <v>0</v>
      </c>
      <c r="BR482" s="51">
        <v>1</v>
      </c>
      <c r="BS482" s="51">
        <v>0</v>
      </c>
      <c r="BT482" s="65">
        <v>0</v>
      </c>
      <c r="BU482" s="51">
        <v>0</v>
      </c>
      <c r="BV482" s="51">
        <v>0</v>
      </c>
      <c r="BW482" s="51">
        <v>1</v>
      </c>
      <c r="BX482" s="65">
        <v>0</v>
      </c>
      <c r="BY482" s="51">
        <v>0</v>
      </c>
      <c r="BZ482" s="51">
        <v>0</v>
      </c>
      <c r="CA482" s="51">
        <v>0</v>
      </c>
      <c r="CB482" s="51">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5">D483/E483</f>
        <v>16.974358974358974</v>
      </c>
      <c r="G483" s="7">
        <f t="shared" si="106"/>
        <v>6.23</v>
      </c>
      <c r="H483" s="16">
        <f t="shared" si="107"/>
        <v>7.01</v>
      </c>
      <c r="I483" s="11">
        <f t="shared" si="112"/>
        <v>0.7442826674266283</v>
      </c>
      <c r="J483" s="33">
        <f t="shared" si="113"/>
        <v>4.3847468322716771E-2</v>
      </c>
      <c r="K483" s="33">
        <f t="shared" si="114"/>
        <v>22.806333826163318</v>
      </c>
      <c r="L483" s="8">
        <v>1</v>
      </c>
      <c r="M483" s="9">
        <v>0</v>
      </c>
      <c r="N483" s="8">
        <v>1</v>
      </c>
      <c r="O483" s="9">
        <v>0</v>
      </c>
      <c r="P483" s="9">
        <v>0</v>
      </c>
      <c r="Q483" s="9">
        <v>0</v>
      </c>
      <c r="R483" s="9">
        <v>0</v>
      </c>
      <c r="S483" s="8">
        <v>237</v>
      </c>
      <c r="T483" s="9">
        <v>4</v>
      </c>
      <c r="U483" s="9">
        <f t="shared" si="108"/>
        <v>232</v>
      </c>
      <c r="V483" s="9">
        <f t="shared" si="109"/>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6">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v>0</v>
      </c>
      <c r="BF483" s="18">
        <v>0</v>
      </c>
      <c r="BG483">
        <v>1</v>
      </c>
      <c r="BH483">
        <v>0</v>
      </c>
      <c r="BI483" s="18">
        <v>0</v>
      </c>
      <c r="BJ483">
        <v>12659</v>
      </c>
      <c r="BK483">
        <v>13107</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5"/>
        <v>8.9819819819819813</v>
      </c>
      <c r="G484" s="7">
        <f t="shared" si="106"/>
        <v>8.8600000000000012</v>
      </c>
      <c r="H484" s="16">
        <f t="shared" si="107"/>
        <v>11.08</v>
      </c>
      <c r="I484" s="11">
        <f t="shared" si="112"/>
        <v>0.51040909554348857</v>
      </c>
      <c r="J484" s="33">
        <f t="shared" si="113"/>
        <v>5.6825887267128616E-2</v>
      </c>
      <c r="K484" s="33">
        <f t="shared" si="114"/>
        <v>17.597613483783789</v>
      </c>
      <c r="L484" s="8">
        <v>1</v>
      </c>
      <c r="M484" s="9">
        <v>0</v>
      </c>
      <c r="N484" s="8">
        <v>1</v>
      </c>
      <c r="O484" s="9">
        <v>0</v>
      </c>
      <c r="P484" s="9">
        <v>0</v>
      </c>
      <c r="Q484" s="9">
        <v>0</v>
      </c>
      <c r="R484" s="9">
        <v>0</v>
      </c>
      <c r="S484" s="8">
        <v>237</v>
      </c>
      <c r="T484" s="9">
        <v>7</v>
      </c>
      <c r="U484" s="9">
        <f t="shared" si="108"/>
        <v>229</v>
      </c>
      <c r="V484" s="9">
        <f t="shared" si="109"/>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6"/>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v>0</v>
      </c>
      <c r="BF484" s="18">
        <v>0</v>
      </c>
      <c r="BG484">
        <v>1</v>
      </c>
      <c r="BH484">
        <v>0</v>
      </c>
      <c r="BI484" s="18">
        <v>0</v>
      </c>
      <c r="BJ484">
        <v>12659</v>
      </c>
      <c r="BK484">
        <v>13107</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5"/>
        <v>8.5373134328358198</v>
      </c>
      <c r="G485" s="7">
        <f t="shared" si="106"/>
        <v>5.05</v>
      </c>
      <c r="H485" s="16">
        <f t="shared" si="107"/>
        <v>6.39</v>
      </c>
      <c r="I485" s="11">
        <f t="shared" si="112"/>
        <v>0.49217600558469293</v>
      </c>
      <c r="J485" s="33">
        <f t="shared" si="113"/>
        <v>5.7649986668137115E-2</v>
      </c>
      <c r="K485" s="33">
        <f t="shared" si="114"/>
        <v>17.346057784132938</v>
      </c>
      <c r="L485" s="8">
        <v>1</v>
      </c>
      <c r="M485" s="9">
        <v>0</v>
      </c>
      <c r="N485" s="8">
        <v>1</v>
      </c>
      <c r="O485" s="9">
        <v>0</v>
      </c>
      <c r="P485" s="9">
        <v>0</v>
      </c>
      <c r="Q485" s="9">
        <v>0</v>
      </c>
      <c r="R485" s="9">
        <v>0</v>
      </c>
      <c r="S485" s="8">
        <v>237</v>
      </c>
      <c r="T485" s="9">
        <v>8</v>
      </c>
      <c r="U485" s="9">
        <f t="shared" si="108"/>
        <v>228</v>
      </c>
      <c r="V485" s="9">
        <f t="shared" si="109"/>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6"/>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v>0</v>
      </c>
      <c r="BF485" s="18">
        <v>0</v>
      </c>
      <c r="BG485">
        <v>1</v>
      </c>
      <c r="BH485">
        <v>0</v>
      </c>
      <c r="BI485" s="18">
        <v>0</v>
      </c>
      <c r="BJ485">
        <v>12659</v>
      </c>
      <c r="BK485">
        <v>13107</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5"/>
        <v>7.5428571428571436</v>
      </c>
      <c r="G486" s="7">
        <f t="shared" si="106"/>
        <v>4.58</v>
      </c>
      <c r="H486" s="16">
        <f t="shared" si="107"/>
        <v>5.98</v>
      </c>
      <c r="I486" s="11">
        <f t="shared" si="112"/>
        <v>0.44688286452391052</v>
      </c>
      <c r="J486" s="33">
        <f t="shared" si="113"/>
        <v>5.924583431188208E-2</v>
      </c>
      <c r="K486" s="33">
        <f t="shared" si="114"/>
        <v>16.87882382980375</v>
      </c>
      <c r="L486" s="8">
        <v>1</v>
      </c>
      <c r="M486" s="9">
        <v>0</v>
      </c>
      <c r="N486" s="8">
        <v>1</v>
      </c>
      <c r="O486" s="9">
        <v>0</v>
      </c>
      <c r="P486" s="9">
        <v>0</v>
      </c>
      <c r="Q486" s="9">
        <v>0</v>
      </c>
      <c r="R486" s="9">
        <v>0</v>
      </c>
      <c r="S486" s="8">
        <v>237</v>
      </c>
      <c r="T486" s="9">
        <v>8</v>
      </c>
      <c r="U486" s="9">
        <f t="shared" si="108"/>
        <v>228</v>
      </c>
      <c r="V486" s="9">
        <f t="shared" si="109"/>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6"/>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v>0</v>
      </c>
      <c r="BF486" s="18">
        <v>0</v>
      </c>
      <c r="BG486">
        <v>1</v>
      </c>
      <c r="BH486">
        <v>0</v>
      </c>
      <c r="BI486" s="18">
        <v>0</v>
      </c>
      <c r="BJ486">
        <v>12659</v>
      </c>
      <c r="BK486">
        <v>13107</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5"/>
        <v>6.4676258992805762</v>
      </c>
      <c r="G487" s="7">
        <f t="shared" si="106"/>
        <v>7.6000000000000005</v>
      </c>
      <c r="H487" s="16">
        <f t="shared" si="107"/>
        <v>10.38</v>
      </c>
      <c r="I487" s="11">
        <f t="shared" si="112"/>
        <v>0.39373101472301469</v>
      </c>
      <c r="J487" s="33">
        <f t="shared" si="113"/>
        <v>6.0877209172968898E-2</v>
      </c>
      <c r="K487" s="33">
        <f t="shared" si="114"/>
        <v>16.426508599609502</v>
      </c>
      <c r="L487" s="8">
        <v>1</v>
      </c>
      <c r="M487" s="9">
        <v>0</v>
      </c>
      <c r="N487" s="8">
        <v>1</v>
      </c>
      <c r="O487" s="9">
        <v>0</v>
      </c>
      <c r="P487" s="9">
        <v>0</v>
      </c>
      <c r="Q487" s="9">
        <v>0</v>
      </c>
      <c r="R487" s="9">
        <v>0</v>
      </c>
      <c r="S487" s="8">
        <v>237</v>
      </c>
      <c r="T487" s="9">
        <v>8</v>
      </c>
      <c r="U487" s="9">
        <f t="shared" si="108"/>
        <v>228</v>
      </c>
      <c r="V487" s="9">
        <f t="shared" si="109"/>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6"/>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v>0</v>
      </c>
      <c r="BF487" s="18">
        <v>0</v>
      </c>
      <c r="BG487">
        <v>1</v>
      </c>
      <c r="BH487">
        <v>0</v>
      </c>
      <c r="BI487" s="18">
        <v>0</v>
      </c>
      <c r="BJ487">
        <v>12659</v>
      </c>
      <c r="BK487">
        <v>13107</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5"/>
        <v>4.4333333333333336</v>
      </c>
      <c r="G488" s="55">
        <f t="shared" si="106"/>
        <v>6.1800000000000006</v>
      </c>
      <c r="H488" s="56">
        <f t="shared" si="107"/>
        <v>9.7800000000000011</v>
      </c>
      <c r="I488" s="11">
        <f t="shared" si="112"/>
        <v>0.28171328190061568</v>
      </c>
      <c r="J488" s="33">
        <f t="shared" si="113"/>
        <v>6.3544349300890743E-2</v>
      </c>
      <c r="K488" s="33">
        <f t="shared" si="114"/>
        <v>15.737040523695823</v>
      </c>
      <c r="L488" s="59">
        <v>1</v>
      </c>
      <c r="M488" s="60">
        <v>0</v>
      </c>
      <c r="N488" s="59">
        <v>1</v>
      </c>
      <c r="O488" s="60">
        <v>0</v>
      </c>
      <c r="P488" s="60">
        <v>0</v>
      </c>
      <c r="Q488" s="60">
        <v>0</v>
      </c>
      <c r="R488" s="60">
        <v>0</v>
      </c>
      <c r="S488" s="59">
        <v>237</v>
      </c>
      <c r="T488" s="60">
        <v>8</v>
      </c>
      <c r="U488" s="60">
        <f t="shared" si="108"/>
        <v>228</v>
      </c>
      <c r="V488" s="60">
        <f t="shared" si="109"/>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6"/>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v>0</v>
      </c>
      <c r="BF488" s="65">
        <v>0</v>
      </c>
      <c r="BG488">
        <v>1</v>
      </c>
      <c r="BH488">
        <v>0</v>
      </c>
      <c r="BI488" s="65">
        <v>0</v>
      </c>
      <c r="BJ488">
        <v>12659</v>
      </c>
      <c r="BK488">
        <v>13107</v>
      </c>
      <c r="BL488" s="52">
        <v>40.193300000000001</v>
      </c>
      <c r="BM488" s="51">
        <v>0</v>
      </c>
      <c r="BN488" s="51">
        <v>0</v>
      </c>
      <c r="BO488" s="51">
        <v>0</v>
      </c>
      <c r="BP488" s="51">
        <v>0</v>
      </c>
      <c r="BQ488" s="51">
        <v>1</v>
      </c>
      <c r="BR488" s="51">
        <v>0</v>
      </c>
      <c r="BS488" s="51">
        <v>0</v>
      </c>
      <c r="BT488" s="65">
        <v>0</v>
      </c>
      <c r="BU488" s="51">
        <v>0</v>
      </c>
      <c r="BV488" s="51">
        <v>1</v>
      </c>
      <c r="BW488" s="51">
        <v>0</v>
      </c>
      <c r="BX488" s="65">
        <v>0</v>
      </c>
      <c r="BY488" s="51">
        <v>0</v>
      </c>
      <c r="BZ488" s="51">
        <v>0</v>
      </c>
      <c r="CA488" s="51">
        <v>0</v>
      </c>
      <c r="CB488" s="51">
        <v>1</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v>
      </c>
      <c r="F489" s="7">
        <v>40</v>
      </c>
      <c r="G489" s="7">
        <f t="shared" si="106"/>
        <v>7.7905375144159184</v>
      </c>
      <c r="H489" s="16">
        <f t="shared" si="107"/>
        <v>8.1900522587449398</v>
      </c>
      <c r="I489" s="11">
        <f t="shared" si="112"/>
        <v>0.18815249919273908</v>
      </c>
      <c r="J489" s="33">
        <f t="shared" si="113"/>
        <v>4.7038124798184765E-3</v>
      </c>
      <c r="K489" s="33">
        <f t="shared" si="114"/>
        <v>212.59350883787585</v>
      </c>
      <c r="L489" s="8">
        <v>0</v>
      </c>
      <c r="M489" s="9">
        <v>1</v>
      </c>
      <c r="N489" s="8">
        <v>0</v>
      </c>
      <c r="O489" s="9">
        <v>0</v>
      </c>
      <c r="P489" s="9">
        <v>1</v>
      </c>
      <c r="Q489" s="9">
        <v>0</v>
      </c>
      <c r="R489" s="9">
        <v>0</v>
      </c>
      <c r="S489" s="8">
        <v>43611</v>
      </c>
      <c r="T489" s="9">
        <v>14</v>
      </c>
      <c r="U489" s="9">
        <f t="shared" si="108"/>
        <v>43596</v>
      </c>
      <c r="V489" s="9">
        <f t="shared" si="109"/>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7">1-AR489</f>
        <v>0.42900000000000005</v>
      </c>
      <c r="AR489" s="40">
        <v>0.57099999999999995</v>
      </c>
      <c r="AS489">
        <v>0.61499999999999999</v>
      </c>
      <c r="AT489" s="40">
        <f t="shared" ref="AT489:AT504" si="118">1-AS489</f>
        <v>0.38500000000000001</v>
      </c>
      <c r="AU489">
        <v>0</v>
      </c>
      <c r="AV489" s="18">
        <v>1</v>
      </c>
      <c r="AW489">
        <f t="shared" ref="AW489:AW504" si="119">1-AX489</f>
        <v>0.47399999999999998</v>
      </c>
      <c r="AX489" s="18">
        <v>0.52600000000000002</v>
      </c>
      <c r="AY489" s="18" t="s">
        <v>28</v>
      </c>
      <c r="AZ489">
        <v>0</v>
      </c>
      <c r="BA489">
        <v>1</v>
      </c>
      <c r="BB489">
        <v>0</v>
      </c>
      <c r="BC489">
        <v>0</v>
      </c>
      <c r="BD489">
        <v>0</v>
      </c>
      <c r="BE489">
        <v>0</v>
      </c>
      <c r="BF489" s="18">
        <v>0</v>
      </c>
      <c r="BG489">
        <v>0</v>
      </c>
      <c r="BH489">
        <v>1</v>
      </c>
      <c r="BI489" s="18">
        <v>0</v>
      </c>
      <c r="BJ489">
        <v>2572</v>
      </c>
      <c r="BK489">
        <v>214</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52.307692307692307</v>
      </c>
      <c r="G490" s="7">
        <f t="shared" si="106"/>
        <v>14.606567212966638</v>
      </c>
      <c r="H490" s="16">
        <f t="shared" si="107"/>
        <v>15.175938648554542</v>
      </c>
      <c r="I490" s="11">
        <f t="shared" si="112"/>
        <v>0.24301025035175566</v>
      </c>
      <c r="J490" s="33">
        <f t="shared" si="113"/>
        <v>4.6457841979012111E-3</v>
      </c>
      <c r="K490" s="33">
        <f t="shared" si="114"/>
        <v>215.24891329471612</v>
      </c>
      <c r="L490" s="8">
        <v>0</v>
      </c>
      <c r="M490" s="9">
        <v>1</v>
      </c>
      <c r="N490" s="8">
        <v>0</v>
      </c>
      <c r="O490" s="9">
        <v>0</v>
      </c>
      <c r="P490" s="9">
        <v>1</v>
      </c>
      <c r="Q490" s="9">
        <v>0</v>
      </c>
      <c r="R490" s="9">
        <v>0</v>
      </c>
      <c r="S490" s="8">
        <v>43611</v>
      </c>
      <c r="T490" s="9">
        <v>14</v>
      </c>
      <c r="U490" s="9">
        <f t="shared" si="108"/>
        <v>43596</v>
      </c>
      <c r="V490" s="9">
        <f t="shared" si="109"/>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7"/>
        <v>0.42900000000000005</v>
      </c>
      <c r="AR490" s="40">
        <v>0.57099999999999995</v>
      </c>
      <c r="AS490">
        <v>0.61499999999999999</v>
      </c>
      <c r="AT490" s="40">
        <f t="shared" si="118"/>
        <v>0.38500000000000001</v>
      </c>
      <c r="AU490">
        <v>0</v>
      </c>
      <c r="AV490" s="18">
        <v>1</v>
      </c>
      <c r="AW490">
        <f t="shared" si="119"/>
        <v>0.47399999999999998</v>
      </c>
      <c r="AX490" s="18">
        <v>0.52600000000000002</v>
      </c>
      <c r="AY490" s="18" t="s">
        <v>28</v>
      </c>
      <c r="AZ490">
        <v>0</v>
      </c>
      <c r="BA490">
        <v>1</v>
      </c>
      <c r="BB490">
        <v>0</v>
      </c>
      <c r="BC490">
        <v>0</v>
      </c>
      <c r="BD490">
        <v>0</v>
      </c>
      <c r="BE490">
        <v>0</v>
      </c>
      <c r="BF490" s="18">
        <v>0</v>
      </c>
      <c r="BG490">
        <v>0</v>
      </c>
      <c r="BH490">
        <v>1</v>
      </c>
      <c r="BI490" s="18">
        <v>0</v>
      </c>
      <c r="BJ490">
        <v>2572</v>
      </c>
      <c r="BK490">
        <v>214</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0.1327826177443332</v>
      </c>
      <c r="F491" s="7">
        <v>61.666666666666657</v>
      </c>
      <c r="G491" s="7">
        <f t="shared" si="106"/>
        <v>8.0554788098228798</v>
      </c>
      <c r="H491" s="16">
        <f t="shared" si="107"/>
        <v>8.3210440453115453</v>
      </c>
      <c r="I491" s="11">
        <f t="shared" si="112"/>
        <v>0.28325102065209717</v>
      </c>
      <c r="J491" s="33">
        <f t="shared" si="113"/>
        <v>4.5932597943583323E-3</v>
      </c>
      <c r="K491" s="33">
        <f t="shared" si="114"/>
        <v>217.71030700859751</v>
      </c>
      <c r="L491" s="8">
        <v>0</v>
      </c>
      <c r="M491" s="9">
        <v>1</v>
      </c>
      <c r="N491" s="8">
        <v>0</v>
      </c>
      <c r="O491" s="9">
        <v>0</v>
      </c>
      <c r="P491" s="9">
        <v>1</v>
      </c>
      <c r="Q491" s="9">
        <v>0</v>
      </c>
      <c r="R491" s="9">
        <v>0</v>
      </c>
      <c r="S491" s="8">
        <v>43611</v>
      </c>
      <c r="T491" s="9">
        <v>15</v>
      </c>
      <c r="U491" s="9">
        <f t="shared" si="108"/>
        <v>43595</v>
      </c>
      <c r="V491" s="9">
        <f t="shared" si="109"/>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7"/>
        <v>0.42900000000000005</v>
      </c>
      <c r="AR491" s="40">
        <v>0.57099999999999995</v>
      </c>
      <c r="AS491">
        <v>0.61499999999999999</v>
      </c>
      <c r="AT491" s="40">
        <f t="shared" si="118"/>
        <v>0.38500000000000001</v>
      </c>
      <c r="AU491">
        <v>0</v>
      </c>
      <c r="AV491" s="18">
        <v>1</v>
      </c>
      <c r="AW491">
        <f t="shared" si="119"/>
        <v>0.47399999999999998</v>
      </c>
      <c r="AX491" s="18">
        <v>0.52600000000000002</v>
      </c>
      <c r="AY491" s="18" t="s">
        <v>28</v>
      </c>
      <c r="AZ491">
        <v>0</v>
      </c>
      <c r="BA491">
        <v>1</v>
      </c>
      <c r="BB491">
        <v>0</v>
      </c>
      <c r="BC491">
        <v>0</v>
      </c>
      <c r="BD491">
        <v>0</v>
      </c>
      <c r="BE491">
        <v>0</v>
      </c>
      <c r="BF491" s="18">
        <v>0</v>
      </c>
      <c r="BG491">
        <v>0</v>
      </c>
      <c r="BH491">
        <v>1</v>
      </c>
      <c r="BI491" s="18">
        <v>0</v>
      </c>
      <c r="BJ491">
        <v>2572</v>
      </c>
      <c r="BK491">
        <v>214</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14.891252930760571</v>
      </c>
      <c r="E492" s="14">
        <v>0.1942337338794857</v>
      </c>
      <c r="F492" s="7">
        <v>76.666666666666671</v>
      </c>
      <c r="G492" s="7">
        <f t="shared" si="106"/>
        <v>14.697019196881085</v>
      </c>
      <c r="H492" s="16">
        <f t="shared" si="107"/>
        <v>15.085486664640056</v>
      </c>
      <c r="I492" s="11">
        <f t="shared" si="112"/>
        <v>0.34468583278159914</v>
      </c>
      <c r="J492" s="33">
        <f t="shared" si="113"/>
        <v>4.4959021667165108E-3</v>
      </c>
      <c r="K492" s="33">
        <f t="shared" si="114"/>
        <v>222.42476880459552</v>
      </c>
      <c r="L492" s="8">
        <v>0</v>
      </c>
      <c r="M492" s="9">
        <v>1</v>
      </c>
      <c r="N492" s="8">
        <v>0</v>
      </c>
      <c r="O492" s="9">
        <v>0</v>
      </c>
      <c r="P492" s="9">
        <v>1</v>
      </c>
      <c r="Q492" s="9">
        <v>0</v>
      </c>
      <c r="R492" s="9">
        <v>0</v>
      </c>
      <c r="S492" s="8">
        <v>43611</v>
      </c>
      <c r="T492" s="9">
        <v>15</v>
      </c>
      <c r="U492" s="9">
        <f t="shared" si="108"/>
        <v>43595</v>
      </c>
      <c r="V492" s="9">
        <f t="shared" si="109"/>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7"/>
        <v>0.42900000000000005</v>
      </c>
      <c r="AR492" s="40">
        <v>0.57099999999999995</v>
      </c>
      <c r="AS492">
        <v>0.61499999999999999</v>
      </c>
      <c r="AT492" s="40">
        <f t="shared" si="118"/>
        <v>0.38500000000000001</v>
      </c>
      <c r="AU492">
        <v>0</v>
      </c>
      <c r="AV492" s="18">
        <v>1</v>
      </c>
      <c r="AW492">
        <f t="shared" si="119"/>
        <v>0.47399999999999998</v>
      </c>
      <c r="AX492" s="18">
        <v>0.52600000000000002</v>
      </c>
      <c r="AY492" s="18" t="s">
        <v>28</v>
      </c>
      <c r="AZ492">
        <v>0</v>
      </c>
      <c r="BA492">
        <v>1</v>
      </c>
      <c r="BB492">
        <v>0</v>
      </c>
      <c r="BC492">
        <v>0</v>
      </c>
      <c r="BD492">
        <v>0</v>
      </c>
      <c r="BE492">
        <v>0</v>
      </c>
      <c r="BF492" s="18">
        <v>0</v>
      </c>
      <c r="BG492">
        <v>0</v>
      </c>
      <c r="BH492">
        <v>1</v>
      </c>
      <c r="BI492" s="18">
        <v>0</v>
      </c>
      <c r="BJ492">
        <v>2572</v>
      </c>
      <c r="BK492">
        <v>214</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0.13317158144300709</v>
      </c>
      <c r="F493" s="7">
        <v>60</v>
      </c>
      <c r="G493" s="7">
        <f t="shared" si="106"/>
        <v>7.8571233051374216</v>
      </c>
      <c r="H493" s="16">
        <f t="shared" si="107"/>
        <v>8.1234664680234356</v>
      </c>
      <c r="I493" s="11">
        <f t="shared" si="112"/>
        <v>0.2761899403727695</v>
      </c>
      <c r="J493" s="33">
        <f t="shared" si="113"/>
        <v>4.603165672879491E-3</v>
      </c>
      <c r="K493" s="33">
        <f t="shared" si="114"/>
        <v>217.2418007658747</v>
      </c>
      <c r="L493" s="8">
        <v>0</v>
      </c>
      <c r="M493" s="9">
        <v>1</v>
      </c>
      <c r="N493" s="8">
        <v>0</v>
      </c>
      <c r="O493" s="9">
        <v>0</v>
      </c>
      <c r="P493" s="9">
        <v>1</v>
      </c>
      <c r="Q493" s="9">
        <v>0</v>
      </c>
      <c r="R493" s="9">
        <v>0</v>
      </c>
      <c r="S493" s="8">
        <v>43611</v>
      </c>
      <c r="T493" s="9">
        <v>16</v>
      </c>
      <c r="U493" s="9">
        <f t="shared" si="108"/>
        <v>43594</v>
      </c>
      <c r="V493" s="9">
        <f t="shared" si="109"/>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7"/>
        <v>0.42900000000000005</v>
      </c>
      <c r="AR493" s="40">
        <v>0.57099999999999995</v>
      </c>
      <c r="AS493">
        <v>0.61499999999999999</v>
      </c>
      <c r="AT493" s="40">
        <f t="shared" si="118"/>
        <v>0.38500000000000001</v>
      </c>
      <c r="AU493">
        <v>0</v>
      </c>
      <c r="AV493" s="18">
        <v>1</v>
      </c>
      <c r="AW493">
        <f t="shared" si="119"/>
        <v>0.47399999999999998</v>
      </c>
      <c r="AX493" s="18">
        <v>0.52600000000000002</v>
      </c>
      <c r="AY493" s="18" t="s">
        <v>28</v>
      </c>
      <c r="AZ493">
        <v>0</v>
      </c>
      <c r="BA493">
        <v>1</v>
      </c>
      <c r="BB493">
        <v>0</v>
      </c>
      <c r="BC493">
        <v>0</v>
      </c>
      <c r="BD493">
        <v>0</v>
      </c>
      <c r="BE493">
        <v>0</v>
      </c>
      <c r="BF493" s="18">
        <v>0</v>
      </c>
      <c r="BG493">
        <v>0</v>
      </c>
      <c r="BH493">
        <v>1</v>
      </c>
      <c r="BI493" s="18">
        <v>0</v>
      </c>
      <c r="BJ493">
        <v>2572</v>
      </c>
      <c r="BK493">
        <v>214</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0.19709011231889009</v>
      </c>
      <c r="F494" s="7">
        <v>75.555555555555571</v>
      </c>
      <c r="G494" s="7">
        <f t="shared" si="106"/>
        <v>14.694162818441701</v>
      </c>
      <c r="H494" s="16">
        <f t="shared" si="107"/>
        <v>15.08834304307948</v>
      </c>
      <c r="I494" s="11">
        <f t="shared" si="112"/>
        <v>0.34027599068456138</v>
      </c>
      <c r="J494" s="33">
        <f t="shared" si="113"/>
        <v>4.5036528178838998E-3</v>
      </c>
      <c r="K494" s="33">
        <f t="shared" si="114"/>
        <v>222.04198246121979</v>
      </c>
      <c r="L494" s="8">
        <v>0</v>
      </c>
      <c r="M494" s="9">
        <v>1</v>
      </c>
      <c r="N494" s="8">
        <v>0</v>
      </c>
      <c r="O494" s="9">
        <v>0</v>
      </c>
      <c r="P494" s="9">
        <v>1</v>
      </c>
      <c r="Q494" s="9">
        <v>0</v>
      </c>
      <c r="R494" s="9">
        <v>0</v>
      </c>
      <c r="S494" s="8">
        <v>43611</v>
      </c>
      <c r="T494" s="9">
        <v>16</v>
      </c>
      <c r="U494" s="9">
        <f t="shared" si="108"/>
        <v>43594</v>
      </c>
      <c r="V494" s="9">
        <f t="shared" si="109"/>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7"/>
        <v>0.42900000000000005</v>
      </c>
      <c r="AR494" s="40">
        <v>0.57099999999999995</v>
      </c>
      <c r="AS494">
        <v>0.61499999999999999</v>
      </c>
      <c r="AT494" s="40">
        <f t="shared" si="118"/>
        <v>0.38500000000000001</v>
      </c>
      <c r="AU494">
        <v>0</v>
      </c>
      <c r="AV494" s="18">
        <v>1</v>
      </c>
      <c r="AW494">
        <f t="shared" si="119"/>
        <v>0.47399999999999998</v>
      </c>
      <c r="AX494" s="18">
        <v>0.52600000000000002</v>
      </c>
      <c r="AY494" s="18" t="s">
        <v>28</v>
      </c>
      <c r="AZ494">
        <v>0</v>
      </c>
      <c r="BA494">
        <v>1</v>
      </c>
      <c r="BB494">
        <v>0</v>
      </c>
      <c r="BC494">
        <v>0</v>
      </c>
      <c r="BD494">
        <v>0</v>
      </c>
      <c r="BE494">
        <v>0</v>
      </c>
      <c r="BF494" s="18">
        <v>0</v>
      </c>
      <c r="BG494">
        <v>0</v>
      </c>
      <c r="BH494">
        <v>1</v>
      </c>
      <c r="BI494" s="18">
        <v>0</v>
      </c>
      <c r="BJ494">
        <v>2572</v>
      </c>
      <c r="BK494">
        <v>214</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0.13317158144300709</v>
      </c>
      <c r="F495" s="7">
        <v>60</v>
      </c>
      <c r="G495" s="7">
        <f t="shared" si="106"/>
        <v>7.8571233051374216</v>
      </c>
      <c r="H495" s="16">
        <f t="shared" si="107"/>
        <v>8.1234664680234356</v>
      </c>
      <c r="I495" s="11">
        <f t="shared" si="112"/>
        <v>0.27619286653212893</v>
      </c>
      <c r="J495" s="33">
        <f t="shared" si="113"/>
        <v>4.6032144422021486E-3</v>
      </c>
      <c r="K495" s="33">
        <f t="shared" si="114"/>
        <v>217.23949917084599</v>
      </c>
      <c r="L495" s="8">
        <v>0</v>
      </c>
      <c r="M495" s="9">
        <v>1</v>
      </c>
      <c r="N495" s="8">
        <v>0</v>
      </c>
      <c r="O495" s="9">
        <v>0</v>
      </c>
      <c r="P495" s="9">
        <v>1</v>
      </c>
      <c r="Q495" s="9">
        <v>0</v>
      </c>
      <c r="R495" s="9">
        <v>0</v>
      </c>
      <c r="S495" s="8">
        <v>43611</v>
      </c>
      <c r="T495" s="9">
        <v>17</v>
      </c>
      <c r="U495" s="9">
        <f t="shared" si="108"/>
        <v>43593</v>
      </c>
      <c r="V495" s="9">
        <f t="shared" si="109"/>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7"/>
        <v>0.42900000000000005</v>
      </c>
      <c r="AR495" s="40">
        <v>0.57099999999999995</v>
      </c>
      <c r="AS495">
        <v>0.61499999999999999</v>
      </c>
      <c r="AT495" s="40">
        <f t="shared" si="118"/>
        <v>0.38500000000000001</v>
      </c>
      <c r="AU495">
        <v>0</v>
      </c>
      <c r="AV495" s="18">
        <v>1</v>
      </c>
      <c r="AW495">
        <f t="shared" si="119"/>
        <v>0.47399999999999998</v>
      </c>
      <c r="AX495" s="18">
        <v>0.52600000000000002</v>
      </c>
      <c r="AY495" s="18" t="s">
        <v>28</v>
      </c>
      <c r="AZ495">
        <v>0</v>
      </c>
      <c r="BA495">
        <v>1</v>
      </c>
      <c r="BB495">
        <v>0</v>
      </c>
      <c r="BC495">
        <v>0</v>
      </c>
      <c r="BD495">
        <v>0</v>
      </c>
      <c r="BE495">
        <v>0</v>
      </c>
      <c r="BF495" s="18">
        <v>0</v>
      </c>
      <c r="BG495">
        <v>0</v>
      </c>
      <c r="BH495">
        <v>1</v>
      </c>
      <c r="BI495" s="18">
        <v>0</v>
      </c>
      <c r="BJ495">
        <v>2572</v>
      </c>
      <c r="BK495">
        <v>214</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v>
      </c>
      <c r="E496" s="14">
        <v>0.19417475045278171</v>
      </c>
      <c r="F496" s="7">
        <v>74.444444444444457</v>
      </c>
      <c r="G496" s="7">
        <f t="shared" si="106"/>
        <v>14.261056672143189</v>
      </c>
      <c r="H496" s="16">
        <f t="shared" si="107"/>
        <v>14.649406173048751</v>
      </c>
      <c r="I496" s="11">
        <f t="shared" si="112"/>
        <v>0.33584348060361058</v>
      </c>
      <c r="J496" s="33">
        <f t="shared" si="113"/>
        <v>4.5113303364664112E-3</v>
      </c>
      <c r="K496" s="33">
        <f t="shared" si="114"/>
        <v>221.66410469140459</v>
      </c>
      <c r="L496" s="8">
        <v>0</v>
      </c>
      <c r="M496" s="9">
        <v>1</v>
      </c>
      <c r="N496" s="8">
        <v>0</v>
      </c>
      <c r="O496" s="9">
        <v>0</v>
      </c>
      <c r="P496" s="9">
        <v>1</v>
      </c>
      <c r="Q496" s="9">
        <v>0</v>
      </c>
      <c r="R496" s="9">
        <v>0</v>
      </c>
      <c r="S496" s="8">
        <v>43611</v>
      </c>
      <c r="T496" s="9">
        <v>17</v>
      </c>
      <c r="U496" s="9">
        <f t="shared" si="108"/>
        <v>43593</v>
      </c>
      <c r="V496" s="9">
        <f t="shared" si="109"/>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7"/>
        <v>0.42900000000000005</v>
      </c>
      <c r="AR496" s="40">
        <v>0.57099999999999995</v>
      </c>
      <c r="AS496">
        <v>0.61499999999999999</v>
      </c>
      <c r="AT496" s="40">
        <f t="shared" si="118"/>
        <v>0.38500000000000001</v>
      </c>
      <c r="AU496">
        <v>0</v>
      </c>
      <c r="AV496" s="18">
        <v>1</v>
      </c>
      <c r="AW496">
        <f t="shared" si="119"/>
        <v>0.47399999999999998</v>
      </c>
      <c r="AX496" s="18">
        <v>0.52600000000000002</v>
      </c>
      <c r="AY496" s="18" t="s">
        <v>28</v>
      </c>
      <c r="AZ496">
        <v>0</v>
      </c>
      <c r="BA496">
        <v>1</v>
      </c>
      <c r="BB496">
        <v>0</v>
      </c>
      <c r="BC496">
        <v>0</v>
      </c>
      <c r="BD496">
        <v>0</v>
      </c>
      <c r="BE496">
        <v>0</v>
      </c>
      <c r="BF496" s="18">
        <v>0</v>
      </c>
      <c r="BG496">
        <v>0</v>
      </c>
      <c r="BH496">
        <v>1</v>
      </c>
      <c r="BI496" s="18">
        <v>0</v>
      </c>
      <c r="BJ496">
        <v>2572</v>
      </c>
      <c r="BK496">
        <v>214</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27.857142857142861</v>
      </c>
      <c r="G497" s="7">
        <f t="shared" si="106"/>
        <v>8.2729310791607968</v>
      </c>
      <c r="H497" s="16">
        <f t="shared" si="107"/>
        <v>8.8890004148429842</v>
      </c>
      <c r="I497" s="11">
        <f t="shared" si="112"/>
        <v>0.13839588612814366</v>
      </c>
      <c r="J497" s="33">
        <f t="shared" si="113"/>
        <v>4.9680574507538749E-3</v>
      </c>
      <c r="K497" s="33">
        <f t="shared" si="114"/>
        <v>201.28591706367155</v>
      </c>
      <c r="L497" s="8">
        <v>0</v>
      </c>
      <c r="M497" s="9">
        <v>1</v>
      </c>
      <c r="N497" s="8">
        <v>0</v>
      </c>
      <c r="O497" s="9">
        <v>0</v>
      </c>
      <c r="P497" s="9">
        <v>1</v>
      </c>
      <c r="Q497" s="9">
        <v>0</v>
      </c>
      <c r="R497" s="9">
        <v>0</v>
      </c>
      <c r="S497" s="8">
        <v>39756</v>
      </c>
      <c r="T497" s="9">
        <v>15</v>
      </c>
      <c r="U497" s="9">
        <f t="shared" si="108"/>
        <v>39740</v>
      </c>
      <c r="V497" s="9">
        <f t="shared" si="109"/>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7"/>
        <v>0.42900000000000005</v>
      </c>
      <c r="AR497" s="40">
        <v>0.57099999999999995</v>
      </c>
      <c r="AS497">
        <v>0.61499999999999999</v>
      </c>
      <c r="AT497" s="40">
        <f t="shared" si="118"/>
        <v>0.38500000000000001</v>
      </c>
      <c r="AU497">
        <v>0</v>
      </c>
      <c r="AV497" s="18">
        <v>1</v>
      </c>
      <c r="AW497">
        <f t="shared" si="119"/>
        <v>0.47399999999999998</v>
      </c>
      <c r="AX497" s="18">
        <v>0.52600000000000002</v>
      </c>
      <c r="AY497" s="18" t="s">
        <v>28</v>
      </c>
      <c r="AZ497">
        <v>0</v>
      </c>
      <c r="BA497">
        <v>1</v>
      </c>
      <c r="BB497">
        <v>0</v>
      </c>
      <c r="BC497">
        <v>0</v>
      </c>
      <c r="BD497">
        <v>0</v>
      </c>
      <c r="BE497">
        <v>0</v>
      </c>
      <c r="BF497" s="18">
        <v>0</v>
      </c>
      <c r="BG497">
        <v>0</v>
      </c>
      <c r="BH497">
        <v>1</v>
      </c>
      <c r="BI497" s="18">
        <v>0</v>
      </c>
      <c r="BJ497">
        <v>2572</v>
      </c>
      <c r="BK497">
        <v>214</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v>
      </c>
      <c r="E498" s="14">
        <v>0.35105562026304499</v>
      </c>
      <c r="F498" s="7">
        <v>41.17647058823529</v>
      </c>
      <c r="G498" s="7">
        <f t="shared" si="106"/>
        <v>14.104175802332925</v>
      </c>
      <c r="H498" s="16">
        <f t="shared" si="107"/>
        <v>14.806287042859015</v>
      </c>
      <c r="I498" s="11">
        <f t="shared" si="112"/>
        <v>0.20228459842864593</v>
      </c>
      <c r="J498" s="33">
        <f t="shared" si="113"/>
        <v>4.912625961838544E-3</v>
      </c>
      <c r="K498" s="33">
        <f t="shared" si="114"/>
        <v>203.55712154111387</v>
      </c>
      <c r="L498" s="8">
        <v>0</v>
      </c>
      <c r="M498" s="9">
        <v>1</v>
      </c>
      <c r="N498" s="8">
        <v>0</v>
      </c>
      <c r="O498" s="9">
        <v>0</v>
      </c>
      <c r="P498" s="9">
        <v>1</v>
      </c>
      <c r="Q498" s="9">
        <v>0</v>
      </c>
      <c r="R498" s="9">
        <v>0</v>
      </c>
      <c r="S498" s="8">
        <v>39756</v>
      </c>
      <c r="T498" s="9">
        <v>15</v>
      </c>
      <c r="U498" s="9">
        <f t="shared" si="108"/>
        <v>39740</v>
      </c>
      <c r="V498" s="9">
        <f t="shared" si="109"/>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7"/>
        <v>0.42900000000000005</v>
      </c>
      <c r="AR498" s="40">
        <v>0.57099999999999995</v>
      </c>
      <c r="AS498">
        <v>0.61499999999999999</v>
      </c>
      <c r="AT498" s="40">
        <f t="shared" si="118"/>
        <v>0.38500000000000001</v>
      </c>
      <c r="AU498">
        <v>0</v>
      </c>
      <c r="AV498" s="18">
        <v>1</v>
      </c>
      <c r="AW498">
        <f t="shared" si="119"/>
        <v>0.47399999999999998</v>
      </c>
      <c r="AX498" s="18">
        <v>0.52600000000000002</v>
      </c>
      <c r="AY498" s="18" t="s">
        <v>28</v>
      </c>
      <c r="AZ498">
        <v>0</v>
      </c>
      <c r="BA498">
        <v>1</v>
      </c>
      <c r="BB498">
        <v>0</v>
      </c>
      <c r="BC498">
        <v>0</v>
      </c>
      <c r="BD498">
        <v>0</v>
      </c>
      <c r="BE498">
        <v>0</v>
      </c>
      <c r="BF498" s="18">
        <v>0</v>
      </c>
      <c r="BG498">
        <v>0</v>
      </c>
      <c r="BH498">
        <v>1</v>
      </c>
      <c r="BI498" s="18">
        <v>0</v>
      </c>
      <c r="BJ498">
        <v>2572</v>
      </c>
      <c r="BK498">
        <v>214</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6"/>
        <v>6.4300771512491384</v>
      </c>
      <c r="H499" s="16">
        <f t="shared" si="107"/>
        <v>8.7520494558668815</v>
      </c>
      <c r="I499" s="11">
        <f t="shared" si="112"/>
        <v>0.10494498983487337</v>
      </c>
      <c r="J499" s="33">
        <f t="shared" si="113"/>
        <v>1.6050410210039456E-2</v>
      </c>
      <c r="K499" s="33">
        <f t="shared" si="114"/>
        <v>62.303703576031019</v>
      </c>
      <c r="L499" s="8">
        <v>0</v>
      </c>
      <c r="M499" s="9">
        <v>1</v>
      </c>
      <c r="N499" s="8">
        <v>0</v>
      </c>
      <c r="O499" s="9">
        <v>0</v>
      </c>
      <c r="P499" s="9">
        <v>1</v>
      </c>
      <c r="Q499" s="9">
        <v>0</v>
      </c>
      <c r="R499" s="9">
        <v>0</v>
      </c>
      <c r="S499" s="8">
        <v>3855</v>
      </c>
      <c r="T499" s="9">
        <v>15</v>
      </c>
      <c r="U499" s="9">
        <f t="shared" si="108"/>
        <v>3839</v>
      </c>
      <c r="V499" s="9">
        <f t="shared" si="109"/>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7"/>
        <v>0.42900000000000005</v>
      </c>
      <c r="AR499" s="40">
        <v>0.57099999999999995</v>
      </c>
      <c r="AS499">
        <v>0.61499999999999999</v>
      </c>
      <c r="AT499" s="40">
        <f t="shared" si="118"/>
        <v>0.38500000000000001</v>
      </c>
      <c r="AU499">
        <v>0</v>
      </c>
      <c r="AV499" s="18">
        <v>1</v>
      </c>
      <c r="AW499">
        <f t="shared" si="119"/>
        <v>0.47399999999999998</v>
      </c>
      <c r="AX499" s="18">
        <v>0.52600000000000002</v>
      </c>
      <c r="AY499" s="18" t="s">
        <v>28</v>
      </c>
      <c r="AZ499">
        <v>0</v>
      </c>
      <c r="BA499">
        <v>1</v>
      </c>
      <c r="BB499">
        <v>0</v>
      </c>
      <c r="BC499">
        <v>0</v>
      </c>
      <c r="BD499">
        <v>0</v>
      </c>
      <c r="BE499">
        <v>0</v>
      </c>
      <c r="BF499" s="18">
        <v>0</v>
      </c>
      <c r="BG499">
        <v>0</v>
      </c>
      <c r="BH499">
        <v>1</v>
      </c>
      <c r="BI499" s="18">
        <v>0</v>
      </c>
      <c r="BJ499">
        <v>2572</v>
      </c>
      <c r="BK499">
        <v>214</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v>
      </c>
      <c r="E500" s="14">
        <v>0.88061473979453819</v>
      </c>
      <c r="F500" s="7">
        <v>17.89473684210526</v>
      </c>
      <c r="G500" s="7">
        <f t="shared" si="106"/>
        <v>14.877754288107722</v>
      </c>
      <c r="H500" s="16">
        <f t="shared" si="107"/>
        <v>16.6389837676968</v>
      </c>
      <c r="I500" s="11">
        <f t="shared" si="112"/>
        <v>0.277472077484269</v>
      </c>
      <c r="J500" s="33">
        <f t="shared" si="113"/>
        <v>1.5505792565297388E-2</v>
      </c>
      <c r="K500" s="33">
        <f t="shared" si="114"/>
        <v>64.492027465789903</v>
      </c>
      <c r="L500" s="8">
        <v>0</v>
      </c>
      <c r="M500" s="9">
        <v>1</v>
      </c>
      <c r="N500" s="8">
        <v>0</v>
      </c>
      <c r="O500" s="9">
        <v>0</v>
      </c>
      <c r="P500" s="9">
        <v>1</v>
      </c>
      <c r="Q500" s="9">
        <v>0</v>
      </c>
      <c r="R500" s="9">
        <v>0</v>
      </c>
      <c r="S500" s="8">
        <v>3855</v>
      </c>
      <c r="T500" s="9">
        <v>15</v>
      </c>
      <c r="U500" s="9">
        <f t="shared" si="108"/>
        <v>3839</v>
      </c>
      <c r="V500" s="9">
        <f t="shared" si="109"/>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7"/>
        <v>0.42900000000000005</v>
      </c>
      <c r="AR500" s="40">
        <v>0.57099999999999995</v>
      </c>
      <c r="AS500">
        <v>0.61499999999999999</v>
      </c>
      <c r="AT500" s="40">
        <f t="shared" si="118"/>
        <v>0.38500000000000001</v>
      </c>
      <c r="AU500">
        <v>0</v>
      </c>
      <c r="AV500" s="18">
        <v>1</v>
      </c>
      <c r="AW500">
        <f t="shared" si="119"/>
        <v>0.47399999999999998</v>
      </c>
      <c r="AX500" s="18">
        <v>0.52600000000000002</v>
      </c>
      <c r="AY500" s="18" t="s">
        <v>28</v>
      </c>
      <c r="AZ500">
        <v>0</v>
      </c>
      <c r="BA500">
        <v>1</v>
      </c>
      <c r="BB500">
        <v>0</v>
      </c>
      <c r="BC500">
        <v>0</v>
      </c>
      <c r="BD500">
        <v>0</v>
      </c>
      <c r="BE500">
        <v>0</v>
      </c>
      <c r="BF500" s="18">
        <v>0</v>
      </c>
      <c r="BG500">
        <v>0</v>
      </c>
      <c r="BH500">
        <v>1</v>
      </c>
      <c r="BI500" s="18">
        <v>0</v>
      </c>
      <c r="BJ500">
        <v>2572</v>
      </c>
      <c r="BK500">
        <v>214</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v>
      </c>
      <c r="F501" s="7">
        <v>40</v>
      </c>
      <c r="G501" s="7">
        <f t="shared" si="106"/>
        <v>7.7905375144159184</v>
      </c>
      <c r="H501" s="16">
        <f t="shared" si="107"/>
        <v>8.1900522587449398</v>
      </c>
      <c r="I501" s="11">
        <f t="shared" si="112"/>
        <v>0.28075187769348076</v>
      </c>
      <c r="J501" s="33">
        <f t="shared" si="113"/>
        <v>7.0187969423370199E-3</v>
      </c>
      <c r="K501" s="33">
        <f t="shared" si="114"/>
        <v>142.47455913249917</v>
      </c>
      <c r="L501" s="8">
        <v>0</v>
      </c>
      <c r="M501" s="9">
        <v>1</v>
      </c>
      <c r="N501" s="8">
        <v>0</v>
      </c>
      <c r="O501" s="9">
        <v>0</v>
      </c>
      <c r="P501" s="9">
        <v>1</v>
      </c>
      <c r="Q501" s="9">
        <v>0</v>
      </c>
      <c r="R501" s="9">
        <v>0</v>
      </c>
      <c r="S501" s="8">
        <v>18716</v>
      </c>
      <c r="T501" s="9">
        <v>16</v>
      </c>
      <c r="U501" s="9">
        <f t="shared" si="108"/>
        <v>18699</v>
      </c>
      <c r="V501" s="9">
        <f t="shared" si="109"/>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8"/>
        <v>0.38500000000000001</v>
      </c>
      <c r="AU501">
        <v>0</v>
      </c>
      <c r="AV501" s="18">
        <v>1</v>
      </c>
      <c r="AW501">
        <f t="shared" si="119"/>
        <v>0.47399999999999998</v>
      </c>
      <c r="AX501" s="18">
        <v>0.52600000000000002</v>
      </c>
      <c r="AY501" s="18" t="s">
        <v>28</v>
      </c>
      <c r="AZ501">
        <v>0</v>
      </c>
      <c r="BA501">
        <v>1</v>
      </c>
      <c r="BB501">
        <v>0</v>
      </c>
      <c r="BC501">
        <v>0</v>
      </c>
      <c r="BD501">
        <v>0</v>
      </c>
      <c r="BE501">
        <v>0</v>
      </c>
      <c r="BF501" s="18">
        <v>0</v>
      </c>
      <c r="BG501">
        <v>0</v>
      </c>
      <c r="BH501">
        <v>1</v>
      </c>
      <c r="BI501" s="18">
        <v>0</v>
      </c>
      <c r="BJ501">
        <v>2572</v>
      </c>
      <c r="BK501">
        <v>214</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52.307692307692307</v>
      </c>
      <c r="G502" s="7">
        <f t="shared" si="106"/>
        <v>14.606567212966638</v>
      </c>
      <c r="H502" s="16">
        <f t="shared" si="107"/>
        <v>15.175938648554542</v>
      </c>
      <c r="I502" s="11">
        <f t="shared" si="112"/>
        <v>0.35727518878461623</v>
      </c>
      <c r="J502" s="33">
        <f t="shared" si="113"/>
        <v>6.8302609620588409E-3</v>
      </c>
      <c r="K502" s="33">
        <f t="shared" si="114"/>
        <v>146.40729037365662</v>
      </c>
      <c r="L502" s="8">
        <v>0</v>
      </c>
      <c r="M502" s="9">
        <v>1</v>
      </c>
      <c r="N502" s="8">
        <v>0</v>
      </c>
      <c r="O502" s="9">
        <v>0</v>
      </c>
      <c r="P502" s="9">
        <v>1</v>
      </c>
      <c r="Q502" s="9">
        <v>0</v>
      </c>
      <c r="R502" s="9">
        <v>0</v>
      </c>
      <c r="S502" s="8">
        <v>18716</v>
      </c>
      <c r="T502" s="9">
        <v>16</v>
      </c>
      <c r="U502" s="9">
        <f t="shared" si="108"/>
        <v>18699</v>
      </c>
      <c r="V502" s="9">
        <f t="shared" si="109"/>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8"/>
        <v>0.38500000000000001</v>
      </c>
      <c r="AU502">
        <v>0</v>
      </c>
      <c r="AV502" s="18">
        <v>1</v>
      </c>
      <c r="AW502">
        <f t="shared" si="119"/>
        <v>0.47399999999999998</v>
      </c>
      <c r="AX502" s="18">
        <v>0.52600000000000002</v>
      </c>
      <c r="AY502" s="18" t="s">
        <v>28</v>
      </c>
      <c r="AZ502">
        <v>0</v>
      </c>
      <c r="BA502">
        <v>1</v>
      </c>
      <c r="BB502">
        <v>0</v>
      </c>
      <c r="BC502">
        <v>0</v>
      </c>
      <c r="BD502">
        <v>0</v>
      </c>
      <c r="BE502">
        <v>0</v>
      </c>
      <c r="BF502" s="18">
        <v>0</v>
      </c>
      <c r="BG502">
        <v>0</v>
      </c>
      <c r="BH502">
        <v>1</v>
      </c>
      <c r="BI502" s="18">
        <v>0</v>
      </c>
      <c r="BJ502">
        <v>2572</v>
      </c>
      <c r="BK502">
        <v>214</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0.1770434903257776</v>
      </c>
      <c r="F503" s="7">
        <v>46.25</v>
      </c>
      <c r="G503" s="7">
        <f t="shared" si="106"/>
        <v>8.0112179372414349</v>
      </c>
      <c r="H503" s="16">
        <f t="shared" si="107"/>
        <v>8.3653049178929901</v>
      </c>
      <c r="I503" s="11">
        <f t="shared" si="112"/>
        <v>0.28136402135764199</v>
      </c>
      <c r="J503" s="33">
        <f t="shared" si="113"/>
        <v>6.0835464077327985E-3</v>
      </c>
      <c r="K503" s="33">
        <f t="shared" si="114"/>
        <v>164.37780415859072</v>
      </c>
      <c r="L503" s="8">
        <v>0</v>
      </c>
      <c r="M503" s="9">
        <v>1</v>
      </c>
      <c r="N503" s="8">
        <v>0</v>
      </c>
      <c r="O503" s="9">
        <v>0</v>
      </c>
      <c r="P503" s="9">
        <v>1</v>
      </c>
      <c r="Q503" s="9">
        <v>0</v>
      </c>
      <c r="R503" s="9">
        <v>0</v>
      </c>
      <c r="S503" s="8">
        <v>24898</v>
      </c>
      <c r="T503" s="9">
        <v>16</v>
      </c>
      <c r="U503" s="9">
        <f t="shared" si="108"/>
        <v>24881</v>
      </c>
      <c r="V503" s="9">
        <f t="shared" si="109"/>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8"/>
        <v>0.38500000000000001</v>
      </c>
      <c r="AU503">
        <v>0</v>
      </c>
      <c r="AV503" s="18">
        <v>1</v>
      </c>
      <c r="AW503">
        <f t="shared" si="119"/>
        <v>0.47399999999999998</v>
      </c>
      <c r="AX503" s="18">
        <v>0.52600000000000002</v>
      </c>
      <c r="AY503" s="18" t="s">
        <v>28</v>
      </c>
      <c r="AZ503">
        <v>0</v>
      </c>
      <c r="BA503">
        <v>1</v>
      </c>
      <c r="BB503">
        <v>0</v>
      </c>
      <c r="BC503">
        <v>0</v>
      </c>
      <c r="BD503">
        <v>0</v>
      </c>
      <c r="BE503">
        <v>0</v>
      </c>
      <c r="BF503" s="18">
        <v>0</v>
      </c>
      <c r="BG503">
        <v>0</v>
      </c>
      <c r="BH503">
        <v>1</v>
      </c>
      <c r="BI503" s="18">
        <v>0</v>
      </c>
      <c r="BJ503">
        <v>2572</v>
      </c>
      <c r="BK503">
        <v>214</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14.891252930760571</v>
      </c>
      <c r="E504" s="14">
        <v>0.25897831183931419</v>
      </c>
      <c r="F504" s="7">
        <v>57.499999999999993</v>
      </c>
      <c r="G504" s="7">
        <f t="shared" si="106"/>
        <v>14.632274618921256</v>
      </c>
      <c r="H504" s="16">
        <f t="shared" si="107"/>
        <v>15.150231242599885</v>
      </c>
      <c r="I504" s="11">
        <f t="shared" si="112"/>
        <v>0.34248494936346119</v>
      </c>
      <c r="J504" s="33">
        <f t="shared" si="113"/>
        <v>5.9562599889297612E-3</v>
      </c>
      <c r="K504" s="33">
        <f t="shared" si="114"/>
        <v>167.89058937296036</v>
      </c>
      <c r="L504" s="8">
        <v>0</v>
      </c>
      <c r="M504" s="9">
        <v>1</v>
      </c>
      <c r="N504" s="8">
        <v>0</v>
      </c>
      <c r="O504" s="9">
        <v>0</v>
      </c>
      <c r="P504" s="9">
        <v>1</v>
      </c>
      <c r="Q504" s="9">
        <v>0</v>
      </c>
      <c r="R504" s="9">
        <v>0</v>
      </c>
      <c r="S504" s="8">
        <v>24898</v>
      </c>
      <c r="T504" s="9">
        <v>16</v>
      </c>
      <c r="U504" s="9">
        <f t="shared" si="108"/>
        <v>24881</v>
      </c>
      <c r="V504" s="9">
        <f t="shared" si="109"/>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8"/>
        <v>0.38500000000000001</v>
      </c>
      <c r="AU504">
        <v>0</v>
      </c>
      <c r="AV504" s="18">
        <v>1</v>
      </c>
      <c r="AW504">
        <f t="shared" si="119"/>
        <v>0.47399999999999998</v>
      </c>
      <c r="AX504" s="18">
        <v>0.52600000000000002</v>
      </c>
      <c r="AY504" s="18" t="s">
        <v>28</v>
      </c>
      <c r="AZ504">
        <v>0</v>
      </c>
      <c r="BA504">
        <v>1</v>
      </c>
      <c r="BB504">
        <v>0</v>
      </c>
      <c r="BC504">
        <v>0</v>
      </c>
      <c r="BD504">
        <v>0</v>
      </c>
      <c r="BE504">
        <v>0</v>
      </c>
      <c r="BF504" s="18">
        <v>0</v>
      </c>
      <c r="BG504">
        <v>0</v>
      </c>
      <c r="BH504">
        <v>1</v>
      </c>
      <c r="BI504" s="18">
        <v>0</v>
      </c>
      <c r="BJ504">
        <v>2572</v>
      </c>
      <c r="BK504">
        <v>214</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20">D505/E505</f>
        <v>22.416666666666668</v>
      </c>
      <c r="G505" s="98">
        <f t="shared" si="106"/>
        <v>7.71</v>
      </c>
      <c r="H505" s="99">
        <f t="shared" si="107"/>
        <v>8.43</v>
      </c>
      <c r="I505" s="11">
        <f t="shared" si="112"/>
        <v>0.13448371164683043</v>
      </c>
      <c r="J505" s="33">
        <f t="shared" si="113"/>
        <v>5.9992733820147404E-3</v>
      </c>
      <c r="K505" s="33">
        <f t="shared" si="114"/>
        <v>166.68685294420925</v>
      </c>
      <c r="L505" s="101">
        <v>1</v>
      </c>
      <c r="M505" s="102">
        <v>0</v>
      </c>
      <c r="N505" s="101">
        <v>0</v>
      </c>
      <c r="O505" s="102">
        <v>0</v>
      </c>
      <c r="P505" s="102">
        <v>1</v>
      </c>
      <c r="Q505" s="102">
        <v>0</v>
      </c>
      <c r="R505" s="102">
        <v>0</v>
      </c>
      <c r="S505" s="101">
        <v>27356</v>
      </c>
      <c r="T505" s="102">
        <v>73</v>
      </c>
      <c r="U505" s="102">
        <f t="shared" si="108"/>
        <v>27282</v>
      </c>
      <c r="V505" s="102">
        <f t="shared" si="109"/>
        <v>24</v>
      </c>
      <c r="W505" s="98">
        <v>5</v>
      </c>
      <c r="X505" s="98">
        <f t="shared" ref="X505:X528" si="121">BL505-W505-6</f>
        <v>23.878999999999998</v>
      </c>
      <c r="Y505" s="102">
        <v>1</v>
      </c>
      <c r="Z505" s="102">
        <v>0</v>
      </c>
      <c r="AA505" s="102">
        <v>1</v>
      </c>
      <c r="AB505" s="102">
        <v>0</v>
      </c>
      <c r="AC505" s="102">
        <v>0</v>
      </c>
      <c r="AD505" s="102">
        <v>0</v>
      </c>
      <c r="AE505" s="101">
        <v>0</v>
      </c>
      <c r="AF505" s="102">
        <v>1</v>
      </c>
      <c r="AG505" s="103">
        <v>0</v>
      </c>
      <c r="AH505" s="102">
        <v>0</v>
      </c>
      <c r="AI505" s="103">
        <v>1</v>
      </c>
      <c r="AJ505" s="104">
        <v>1983</v>
      </c>
      <c r="AK505" s="100">
        <f t="shared" ref="AK505:AK528" si="122">1-SUM(AL505:AN505)</f>
        <v>0.28200000000000003</v>
      </c>
      <c r="AL505" s="100">
        <v>0.1472</v>
      </c>
      <c r="AM505" s="100">
        <v>0.43049999999999999</v>
      </c>
      <c r="AN505" s="105">
        <v>0.14030000000000001</v>
      </c>
      <c r="AO505" s="106">
        <f t="shared" ref="AO505:AO528" si="123">1-AP505</f>
        <v>0.54134831999999999</v>
      </c>
      <c r="AP505" s="107">
        <f>(0.6116*AW505+0.39*AX505)</f>
        <v>0.45865168000000001</v>
      </c>
      <c r="AQ505" s="94">
        <v>1</v>
      </c>
      <c r="AR505" s="108">
        <v>0</v>
      </c>
      <c r="AS505" s="94" t="s">
        <v>98</v>
      </c>
      <c r="AT505" s="108" t="s">
        <v>98</v>
      </c>
      <c r="AU505">
        <v>0</v>
      </c>
      <c r="AV505" s="107">
        <v>1</v>
      </c>
      <c r="AW505" s="94">
        <v>0.30980000000000002</v>
      </c>
      <c r="AX505" s="107">
        <f t="shared" ref="AX505:AX528" si="124">1-AW505</f>
        <v>0.69019999999999992</v>
      </c>
      <c r="AY505" s="107" t="s">
        <v>12</v>
      </c>
      <c r="AZ505">
        <v>0</v>
      </c>
      <c r="BA505">
        <v>0</v>
      </c>
      <c r="BB505">
        <v>0</v>
      </c>
      <c r="BC505">
        <v>0</v>
      </c>
      <c r="BD505">
        <v>0</v>
      </c>
      <c r="BE505">
        <v>1</v>
      </c>
      <c r="BF505" s="107">
        <v>0</v>
      </c>
      <c r="BG505">
        <v>0</v>
      </c>
      <c r="BH505">
        <v>1</v>
      </c>
      <c r="BI505" s="107">
        <v>0</v>
      </c>
      <c r="BJ505">
        <v>329</v>
      </c>
      <c r="BK505">
        <v>27</v>
      </c>
      <c r="BL505" s="95">
        <v>34.878999999999998</v>
      </c>
      <c r="BM505" s="94">
        <v>0</v>
      </c>
      <c r="BN505" s="94">
        <v>0</v>
      </c>
      <c r="BO505" s="94">
        <v>0</v>
      </c>
      <c r="BP505" s="94">
        <v>0</v>
      </c>
      <c r="BQ505" s="94">
        <v>0</v>
      </c>
      <c r="BR505" s="94">
        <v>0</v>
      </c>
      <c r="BS505" s="94">
        <v>1</v>
      </c>
      <c r="BT505" s="107">
        <v>0</v>
      </c>
      <c r="BU505" s="94">
        <v>0</v>
      </c>
      <c r="BV505" s="94">
        <v>0</v>
      </c>
      <c r="BW505" s="94">
        <v>0</v>
      </c>
      <c r="BX505" s="107">
        <v>1</v>
      </c>
      <c r="BY505" s="94">
        <v>0</v>
      </c>
      <c r="BZ505" s="94">
        <v>0</v>
      </c>
      <c r="CA505" s="94">
        <v>0</v>
      </c>
      <c r="CB505" s="94">
        <v>0</v>
      </c>
      <c r="CC505" s="107">
        <v>0</v>
      </c>
      <c r="CD505" s="94">
        <v>1</v>
      </c>
      <c r="CE505" s="94">
        <v>0</v>
      </c>
      <c r="CF505" s="94">
        <v>0</v>
      </c>
      <c r="CG505" s="94">
        <v>0</v>
      </c>
      <c r="CH505" s="94">
        <v>1</v>
      </c>
      <c r="CI505" s="94">
        <v>0</v>
      </c>
      <c r="CJ505" s="94">
        <v>0</v>
      </c>
      <c r="CK505" s="94">
        <v>0</v>
      </c>
      <c r="CL505" s="94">
        <v>1</v>
      </c>
      <c r="CM505" s="94">
        <v>1</v>
      </c>
      <c r="CN505" s="107">
        <v>1</v>
      </c>
      <c r="CO505">
        <v>0.14599999999999999</v>
      </c>
      <c r="CP505">
        <v>118</v>
      </c>
      <c r="CQ505">
        <v>1</v>
      </c>
      <c r="CR505">
        <v>0</v>
      </c>
      <c r="CS505">
        <v>10</v>
      </c>
      <c r="CT505" s="109"/>
      <c r="CY505" s="109"/>
    </row>
    <row r="506" spans="1:103" x14ac:dyDescent="0.25">
      <c r="A506">
        <v>505</v>
      </c>
      <c r="B506">
        <v>34</v>
      </c>
      <c r="C506" s="25" t="s">
        <v>321</v>
      </c>
      <c r="D506" s="12">
        <v>5.0999999999999996</v>
      </c>
      <c r="E506" s="14">
        <v>0.47</v>
      </c>
      <c r="F506" s="7">
        <f t="shared" si="120"/>
        <v>10.851063829787234</v>
      </c>
      <c r="G506" s="7">
        <f t="shared" si="106"/>
        <v>4.63</v>
      </c>
      <c r="H506" s="16">
        <f t="shared" si="107"/>
        <v>5.5699999999999994</v>
      </c>
      <c r="I506" s="11">
        <f t="shared" si="112"/>
        <v>6.6744826887680936E-2</v>
      </c>
      <c r="J506" s="33">
        <f t="shared" si="113"/>
        <v>6.1509938504333405E-3</v>
      </c>
      <c r="K506" s="33">
        <f t="shared" si="114"/>
        <v>162.5753535633188</v>
      </c>
      <c r="L506" s="8">
        <v>1</v>
      </c>
      <c r="M506" s="9">
        <v>0</v>
      </c>
      <c r="N506" s="8">
        <v>0</v>
      </c>
      <c r="O506" s="9">
        <v>0</v>
      </c>
      <c r="P506" s="9">
        <v>1</v>
      </c>
      <c r="Q506" s="9">
        <v>0</v>
      </c>
      <c r="R506" s="9">
        <v>0</v>
      </c>
      <c r="S506" s="8">
        <v>26387</v>
      </c>
      <c r="T506" s="9">
        <v>73</v>
      </c>
      <c r="U506" s="9">
        <f t="shared" si="108"/>
        <v>26313</v>
      </c>
      <c r="V506" s="9">
        <f t="shared" si="109"/>
        <v>24</v>
      </c>
      <c r="W506" s="7">
        <v>5</v>
      </c>
      <c r="X506" s="7">
        <f t="shared" si="121"/>
        <v>25.769599999999997</v>
      </c>
      <c r="Y506" s="9">
        <v>1</v>
      </c>
      <c r="Z506" s="9">
        <v>0</v>
      </c>
      <c r="AA506" s="9">
        <v>1</v>
      </c>
      <c r="AB506" s="9">
        <v>0</v>
      </c>
      <c r="AC506" s="9">
        <v>0</v>
      </c>
      <c r="AD506" s="9">
        <v>0</v>
      </c>
      <c r="AE506" s="8">
        <v>0</v>
      </c>
      <c r="AF506" s="9">
        <v>1</v>
      </c>
      <c r="AG506" s="30">
        <v>0</v>
      </c>
      <c r="AH506" s="9">
        <v>0</v>
      </c>
      <c r="AI506" s="30">
        <v>1</v>
      </c>
      <c r="AJ506" s="21">
        <v>1993</v>
      </c>
      <c r="AK506" s="33">
        <f t="shared" si="122"/>
        <v>0.19130000000000003</v>
      </c>
      <c r="AL506" s="33">
        <v>0.1027</v>
      </c>
      <c r="AM506" s="33">
        <v>0.4718</v>
      </c>
      <c r="AN506" s="43">
        <v>0.23419999999999999</v>
      </c>
      <c r="AO506" s="42">
        <f t="shared" si="123"/>
        <v>0.52929399999999993</v>
      </c>
      <c r="AP506" s="18">
        <f>(0.622*AW506+0.4104*AX506)</f>
        <v>0.47070600000000001</v>
      </c>
      <c r="AQ506">
        <v>1</v>
      </c>
      <c r="AR506" s="40">
        <v>0</v>
      </c>
      <c r="AS506" t="s">
        <v>98</v>
      </c>
      <c r="AT506" s="40" t="s">
        <v>98</v>
      </c>
      <c r="AU506">
        <v>0</v>
      </c>
      <c r="AV506" s="18">
        <v>1</v>
      </c>
      <c r="AW506">
        <v>0.28499999999999998</v>
      </c>
      <c r="AX506" s="18">
        <f t="shared" si="124"/>
        <v>0.71500000000000008</v>
      </c>
      <c r="AY506" s="18" t="s">
        <v>12</v>
      </c>
      <c r="AZ506">
        <v>0</v>
      </c>
      <c r="BA506">
        <v>0</v>
      </c>
      <c r="BB506">
        <v>0</v>
      </c>
      <c r="BC506">
        <v>0</v>
      </c>
      <c r="BD506">
        <v>0</v>
      </c>
      <c r="BE506">
        <v>1</v>
      </c>
      <c r="BF506" s="18">
        <v>0</v>
      </c>
      <c r="BG506">
        <v>0</v>
      </c>
      <c r="BH506">
        <v>1</v>
      </c>
      <c r="BI506" s="18">
        <v>0</v>
      </c>
      <c r="BJ506">
        <v>386</v>
      </c>
      <c r="BK506">
        <v>221</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20"/>
        <v>10</v>
      </c>
      <c r="G507" s="7">
        <f t="shared" si="106"/>
        <v>5.04</v>
      </c>
      <c r="H507" s="16">
        <f t="shared" si="107"/>
        <v>6.1599999999999993</v>
      </c>
      <c r="I507" s="11">
        <f t="shared" si="112"/>
        <v>6.0499488705856599E-2</v>
      </c>
      <c r="J507" s="33">
        <f t="shared" si="113"/>
        <v>6.0499488705856603E-3</v>
      </c>
      <c r="K507" s="33">
        <f t="shared" si="114"/>
        <v>165.29065309327083</v>
      </c>
      <c r="L507" s="8">
        <v>1</v>
      </c>
      <c r="M507" s="9">
        <v>0</v>
      </c>
      <c r="N507" s="8">
        <v>0</v>
      </c>
      <c r="O507" s="9">
        <v>0</v>
      </c>
      <c r="P507" s="9">
        <v>1</v>
      </c>
      <c r="Q507" s="9">
        <v>0</v>
      </c>
      <c r="R507" s="9">
        <v>0</v>
      </c>
      <c r="S507" s="8">
        <v>27295</v>
      </c>
      <c r="T507" s="9">
        <v>73</v>
      </c>
      <c r="U507" s="9">
        <f t="shared" si="108"/>
        <v>27221</v>
      </c>
      <c r="V507" s="9">
        <f t="shared" si="109"/>
        <v>24</v>
      </c>
      <c r="W507" s="7">
        <v>5</v>
      </c>
      <c r="X507" s="7">
        <f t="shared" si="121"/>
        <v>26.110999999999997</v>
      </c>
      <c r="Y507" s="9">
        <v>1</v>
      </c>
      <c r="Z507" s="9">
        <v>0</v>
      </c>
      <c r="AA507" s="9">
        <v>1</v>
      </c>
      <c r="AB507" s="9">
        <v>0</v>
      </c>
      <c r="AC507" s="9">
        <v>0</v>
      </c>
      <c r="AD507" s="9">
        <v>0</v>
      </c>
      <c r="AE507" s="8">
        <v>0</v>
      </c>
      <c r="AF507" s="9">
        <v>1</v>
      </c>
      <c r="AG507" s="30">
        <v>0</v>
      </c>
      <c r="AH507" s="9">
        <v>0</v>
      </c>
      <c r="AI507" s="30">
        <v>1</v>
      </c>
      <c r="AJ507" s="21">
        <v>1999</v>
      </c>
      <c r="AK507" s="33">
        <f t="shared" si="122"/>
        <v>0.16289999999999993</v>
      </c>
      <c r="AL507" s="33">
        <v>9.69E-2</v>
      </c>
      <c r="AM507" s="33">
        <v>0.49940000000000001</v>
      </c>
      <c r="AN507" s="43">
        <v>0.24079999999999999</v>
      </c>
      <c r="AO507" s="42">
        <f t="shared" si="123"/>
        <v>0.53514991000000001</v>
      </c>
      <c r="AP507" s="18">
        <f>(0.5965*AW507+0.4124*AX507)</f>
        <v>0.46485008999999999</v>
      </c>
      <c r="AQ507">
        <v>1</v>
      </c>
      <c r="AR507" s="40">
        <v>0</v>
      </c>
      <c r="AS507" t="s">
        <v>98</v>
      </c>
      <c r="AT507" s="40" t="s">
        <v>98</v>
      </c>
      <c r="AU507">
        <v>0</v>
      </c>
      <c r="AV507" s="18">
        <v>1</v>
      </c>
      <c r="AW507">
        <v>0.28489999999999999</v>
      </c>
      <c r="AX507" s="18">
        <f t="shared" si="124"/>
        <v>0.71510000000000007</v>
      </c>
      <c r="AY507" s="18" t="s">
        <v>12</v>
      </c>
      <c r="AZ507">
        <v>0</v>
      </c>
      <c r="BA507">
        <v>0</v>
      </c>
      <c r="BB507">
        <v>0</v>
      </c>
      <c r="BC507">
        <v>0</v>
      </c>
      <c r="BD507">
        <v>0</v>
      </c>
      <c r="BE507">
        <v>1</v>
      </c>
      <c r="BF507" s="18">
        <v>0</v>
      </c>
      <c r="BG507">
        <v>0</v>
      </c>
      <c r="BH507">
        <v>1</v>
      </c>
      <c r="BI507" s="18">
        <v>0</v>
      </c>
      <c r="BJ507">
        <v>480</v>
      </c>
      <c r="BK507">
        <v>347</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20"/>
        <v>13.153846153846153</v>
      </c>
      <c r="G508" s="7">
        <f t="shared" si="106"/>
        <v>3.16</v>
      </c>
      <c r="H508" s="16">
        <f t="shared" si="107"/>
        <v>3.6799999999999997</v>
      </c>
      <c r="I508" s="11">
        <f t="shared" si="112"/>
        <v>7.9385621078379501E-2</v>
      </c>
      <c r="J508" s="33">
        <f t="shared" si="113"/>
        <v>6.0351641755493181E-3</v>
      </c>
      <c r="K508" s="33">
        <f t="shared" si="114"/>
        <v>165.69557528382904</v>
      </c>
      <c r="L508" s="8">
        <v>1</v>
      </c>
      <c r="M508" s="9">
        <v>0</v>
      </c>
      <c r="N508" s="8">
        <v>0</v>
      </c>
      <c r="O508" s="9">
        <v>0</v>
      </c>
      <c r="P508" s="9">
        <v>1</v>
      </c>
      <c r="Q508" s="9">
        <v>0</v>
      </c>
      <c r="R508" s="9">
        <v>0</v>
      </c>
      <c r="S508" s="8">
        <v>27356</v>
      </c>
      <c r="T508" s="9">
        <v>73</v>
      </c>
      <c r="U508" s="9">
        <f t="shared" si="108"/>
        <v>27282</v>
      </c>
      <c r="V508" s="9">
        <f t="shared" si="109"/>
        <v>24</v>
      </c>
      <c r="W508" s="7">
        <v>8</v>
      </c>
      <c r="X508" s="7">
        <f t="shared" si="121"/>
        <v>20.878999999999998</v>
      </c>
      <c r="Y508" s="9">
        <v>1</v>
      </c>
      <c r="Z508" s="9">
        <v>0</v>
      </c>
      <c r="AA508" s="9">
        <v>1</v>
      </c>
      <c r="AB508" s="9">
        <v>0</v>
      </c>
      <c r="AC508" s="9">
        <v>0</v>
      </c>
      <c r="AD508" s="9">
        <v>0</v>
      </c>
      <c r="AE508" s="8">
        <v>0</v>
      </c>
      <c r="AF508" s="9">
        <v>1</v>
      </c>
      <c r="AG508" s="30">
        <v>0</v>
      </c>
      <c r="AH508" s="9">
        <v>0</v>
      </c>
      <c r="AI508" s="30">
        <v>1</v>
      </c>
      <c r="AJ508" s="21">
        <v>1983</v>
      </c>
      <c r="AK508" s="33">
        <f t="shared" si="122"/>
        <v>0.28200000000000003</v>
      </c>
      <c r="AL508" s="33">
        <v>0.1472</v>
      </c>
      <c r="AM508" s="33">
        <v>0.43049999999999999</v>
      </c>
      <c r="AN508" s="43">
        <v>0.14030000000000001</v>
      </c>
      <c r="AO508" s="42">
        <f t="shared" si="123"/>
        <v>0.54134831999999999</v>
      </c>
      <c r="AP508" s="18">
        <v>0.45865168000000001</v>
      </c>
      <c r="AQ508">
        <v>1</v>
      </c>
      <c r="AR508" s="40">
        <v>0</v>
      </c>
      <c r="AS508" t="s">
        <v>98</v>
      </c>
      <c r="AT508" s="40" t="s">
        <v>98</v>
      </c>
      <c r="AU508">
        <v>0</v>
      </c>
      <c r="AV508" s="18">
        <v>1</v>
      </c>
      <c r="AW508">
        <v>0.30980000000000002</v>
      </c>
      <c r="AX508" s="18">
        <f t="shared" si="124"/>
        <v>0.69019999999999992</v>
      </c>
      <c r="AY508" s="18" t="s">
        <v>12</v>
      </c>
      <c r="AZ508">
        <v>0</v>
      </c>
      <c r="BA508">
        <v>0</v>
      </c>
      <c r="BB508">
        <v>0</v>
      </c>
      <c r="BC508">
        <v>0</v>
      </c>
      <c r="BD508">
        <v>0</v>
      </c>
      <c r="BE508">
        <v>1</v>
      </c>
      <c r="BF508" s="18">
        <v>0</v>
      </c>
      <c r="BG508">
        <v>0</v>
      </c>
      <c r="BH508">
        <v>1</v>
      </c>
      <c r="BI508" s="18">
        <v>0</v>
      </c>
      <c r="BJ508">
        <v>329</v>
      </c>
      <c r="BK508">
        <v>27</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20"/>
        <v>9.8125</v>
      </c>
      <c r="G509" s="7">
        <f t="shared" si="106"/>
        <v>2.8200000000000003</v>
      </c>
      <c r="H509" s="16">
        <f t="shared" si="107"/>
        <v>3.46</v>
      </c>
      <c r="I509" s="11">
        <f t="shared" si="112"/>
        <v>6.0381145354891051E-2</v>
      </c>
      <c r="J509" s="33">
        <f t="shared" si="113"/>
        <v>6.1534925202436745E-3</v>
      </c>
      <c r="K509" s="33">
        <f t="shared" si="114"/>
        <v>162.50933867396668</v>
      </c>
      <c r="L509" s="8">
        <v>1</v>
      </c>
      <c r="M509" s="9">
        <v>0</v>
      </c>
      <c r="N509" s="8">
        <v>0</v>
      </c>
      <c r="O509" s="9">
        <v>0</v>
      </c>
      <c r="P509" s="9">
        <v>1</v>
      </c>
      <c r="Q509" s="9">
        <v>0</v>
      </c>
      <c r="R509" s="9">
        <v>0</v>
      </c>
      <c r="S509" s="8">
        <v>26387</v>
      </c>
      <c r="T509" s="9">
        <v>73</v>
      </c>
      <c r="U509" s="9">
        <f t="shared" si="108"/>
        <v>26313</v>
      </c>
      <c r="V509" s="9">
        <f t="shared" si="109"/>
        <v>24</v>
      </c>
      <c r="W509" s="7">
        <v>8</v>
      </c>
      <c r="X509" s="7">
        <f t="shared" si="121"/>
        <v>22.769599999999997</v>
      </c>
      <c r="Y509" s="9">
        <v>1</v>
      </c>
      <c r="Z509" s="9">
        <v>0</v>
      </c>
      <c r="AA509" s="9">
        <v>1</v>
      </c>
      <c r="AB509" s="9">
        <v>0</v>
      </c>
      <c r="AC509" s="9">
        <v>0</v>
      </c>
      <c r="AD509" s="9">
        <v>0</v>
      </c>
      <c r="AE509" s="8">
        <v>0</v>
      </c>
      <c r="AF509" s="9">
        <v>1</v>
      </c>
      <c r="AG509" s="30">
        <v>0</v>
      </c>
      <c r="AH509" s="9">
        <v>0</v>
      </c>
      <c r="AI509" s="30">
        <v>1</v>
      </c>
      <c r="AJ509" s="21">
        <v>1993</v>
      </c>
      <c r="AK509" s="33">
        <f t="shared" si="122"/>
        <v>0.19130000000000003</v>
      </c>
      <c r="AL509" s="33">
        <v>0.1027</v>
      </c>
      <c r="AM509" s="33">
        <v>0.4718</v>
      </c>
      <c r="AN509" s="43">
        <v>0.23419999999999999</v>
      </c>
      <c r="AO509" s="42">
        <f t="shared" si="123"/>
        <v>0.52929399999999993</v>
      </c>
      <c r="AP509" s="18">
        <v>0.47070600000000001</v>
      </c>
      <c r="AQ509">
        <v>1</v>
      </c>
      <c r="AR509" s="40">
        <v>0</v>
      </c>
      <c r="AS509" t="s">
        <v>98</v>
      </c>
      <c r="AT509" s="40" t="s">
        <v>98</v>
      </c>
      <c r="AU509">
        <v>0</v>
      </c>
      <c r="AV509" s="18">
        <v>1</v>
      </c>
      <c r="AW509">
        <v>0.28499999999999998</v>
      </c>
      <c r="AX509" s="18">
        <f t="shared" si="124"/>
        <v>0.71500000000000008</v>
      </c>
      <c r="AY509" s="18" t="s">
        <v>12</v>
      </c>
      <c r="AZ509">
        <v>0</v>
      </c>
      <c r="BA509">
        <v>0</v>
      </c>
      <c r="BB509">
        <v>0</v>
      </c>
      <c r="BC509">
        <v>0</v>
      </c>
      <c r="BD509">
        <v>0</v>
      </c>
      <c r="BE509">
        <v>1</v>
      </c>
      <c r="BF509" s="18">
        <v>0</v>
      </c>
      <c r="BG509">
        <v>0</v>
      </c>
      <c r="BH509">
        <v>1</v>
      </c>
      <c r="BI509" s="18">
        <v>0</v>
      </c>
      <c r="BJ509">
        <v>386</v>
      </c>
      <c r="BK509">
        <v>221</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20"/>
        <v>9.8055555555555554</v>
      </c>
      <c r="G510" s="7">
        <f t="shared" si="106"/>
        <v>3.17</v>
      </c>
      <c r="H510" s="16">
        <f t="shared" si="107"/>
        <v>3.8899999999999997</v>
      </c>
      <c r="I510" s="11">
        <f t="shared" si="112"/>
        <v>5.9327291198186465E-2</v>
      </c>
      <c r="J510" s="33">
        <f t="shared" si="113"/>
        <v>6.0503753063306312E-3</v>
      </c>
      <c r="K510" s="33">
        <f t="shared" si="114"/>
        <v>165.27900326343055</v>
      </c>
      <c r="L510" s="8">
        <v>1</v>
      </c>
      <c r="M510" s="9">
        <v>0</v>
      </c>
      <c r="N510" s="8">
        <v>0</v>
      </c>
      <c r="O510" s="9">
        <v>0</v>
      </c>
      <c r="P510" s="9">
        <v>1</v>
      </c>
      <c r="Q510" s="9">
        <v>0</v>
      </c>
      <c r="R510" s="9">
        <v>0</v>
      </c>
      <c r="S510" s="8">
        <v>27295</v>
      </c>
      <c r="T510" s="9">
        <v>73</v>
      </c>
      <c r="U510" s="9">
        <f t="shared" si="108"/>
        <v>27221</v>
      </c>
      <c r="V510" s="9">
        <f t="shared" si="109"/>
        <v>24</v>
      </c>
      <c r="W510" s="7">
        <v>8</v>
      </c>
      <c r="X510" s="7">
        <f t="shared" si="121"/>
        <v>23.110999999999997</v>
      </c>
      <c r="Y510" s="9">
        <v>1</v>
      </c>
      <c r="Z510" s="9">
        <v>0</v>
      </c>
      <c r="AA510" s="9">
        <v>1</v>
      </c>
      <c r="AB510" s="9">
        <v>0</v>
      </c>
      <c r="AC510" s="9">
        <v>0</v>
      </c>
      <c r="AD510" s="9">
        <v>0</v>
      </c>
      <c r="AE510" s="8">
        <v>0</v>
      </c>
      <c r="AF510" s="9">
        <v>1</v>
      </c>
      <c r="AG510" s="30">
        <v>0</v>
      </c>
      <c r="AH510" s="9">
        <v>0</v>
      </c>
      <c r="AI510" s="30">
        <v>1</v>
      </c>
      <c r="AJ510" s="21">
        <v>1999</v>
      </c>
      <c r="AK510" s="33">
        <f t="shared" si="122"/>
        <v>0.16289999999999993</v>
      </c>
      <c r="AL510" s="33">
        <v>9.69E-2</v>
      </c>
      <c r="AM510" s="33">
        <v>0.49940000000000001</v>
      </c>
      <c r="AN510" s="43">
        <v>0.24079999999999999</v>
      </c>
      <c r="AO510" s="42">
        <f t="shared" si="123"/>
        <v>0.53514991000000001</v>
      </c>
      <c r="AP510" s="18">
        <v>0.46485008999999999</v>
      </c>
      <c r="AQ510">
        <v>1</v>
      </c>
      <c r="AR510" s="40">
        <v>0</v>
      </c>
      <c r="AS510" t="s">
        <v>98</v>
      </c>
      <c r="AT510" s="40" t="s">
        <v>98</v>
      </c>
      <c r="AU510">
        <v>0</v>
      </c>
      <c r="AV510" s="18">
        <v>1</v>
      </c>
      <c r="AW510">
        <v>0.28489999999999999</v>
      </c>
      <c r="AX510" s="18">
        <f t="shared" si="124"/>
        <v>0.71510000000000007</v>
      </c>
      <c r="AY510" s="18" t="s">
        <v>12</v>
      </c>
      <c r="AZ510">
        <v>0</v>
      </c>
      <c r="BA510">
        <v>0</v>
      </c>
      <c r="BB510">
        <v>0</v>
      </c>
      <c r="BC510">
        <v>0</v>
      </c>
      <c r="BD510">
        <v>0</v>
      </c>
      <c r="BE510">
        <v>1</v>
      </c>
      <c r="BF510" s="18">
        <v>0</v>
      </c>
      <c r="BG510">
        <v>0</v>
      </c>
      <c r="BH510">
        <v>1</v>
      </c>
      <c r="BI510" s="18">
        <v>0</v>
      </c>
      <c r="BJ510">
        <v>480</v>
      </c>
      <c r="BK510">
        <v>347</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20"/>
        <v>33.333333333333336</v>
      </c>
      <c r="G511" s="7">
        <f t="shared" si="106"/>
        <v>5.82</v>
      </c>
      <c r="H511" s="16">
        <f t="shared" si="107"/>
        <v>6.18</v>
      </c>
      <c r="I511" s="11">
        <f t="shared" si="112"/>
        <v>0.1978209368545675</v>
      </c>
      <c r="J511" s="33">
        <f t="shared" si="113"/>
        <v>5.9346281056370243E-3</v>
      </c>
      <c r="K511" s="33">
        <f t="shared" si="114"/>
        <v>168.50255520647485</v>
      </c>
      <c r="L511" s="8">
        <v>1</v>
      </c>
      <c r="M511" s="9">
        <v>0</v>
      </c>
      <c r="N511" s="8">
        <v>0</v>
      </c>
      <c r="O511" s="9">
        <v>0</v>
      </c>
      <c r="P511" s="9">
        <v>1</v>
      </c>
      <c r="Q511" s="9">
        <v>0</v>
      </c>
      <c r="R511" s="9">
        <v>0</v>
      </c>
      <c r="S511" s="8">
        <v>27356</v>
      </c>
      <c r="T511" s="9">
        <v>73</v>
      </c>
      <c r="U511" s="9">
        <f t="shared" si="108"/>
        <v>27282</v>
      </c>
      <c r="V511" s="9">
        <f t="shared" si="109"/>
        <v>24</v>
      </c>
      <c r="W511" s="7">
        <v>12</v>
      </c>
      <c r="X511" s="7">
        <f t="shared" si="121"/>
        <v>16.878999999999998</v>
      </c>
      <c r="Y511" s="9">
        <v>1</v>
      </c>
      <c r="Z511" s="9">
        <v>0</v>
      </c>
      <c r="AA511" s="9">
        <v>1</v>
      </c>
      <c r="AB511" s="9">
        <v>0</v>
      </c>
      <c r="AC511" s="9">
        <v>0</v>
      </c>
      <c r="AD511" s="9">
        <v>0</v>
      </c>
      <c r="AE511" s="8">
        <v>0</v>
      </c>
      <c r="AF511" s="9">
        <v>1</v>
      </c>
      <c r="AG511" s="30">
        <v>0</v>
      </c>
      <c r="AH511" s="9">
        <v>0</v>
      </c>
      <c r="AI511" s="30">
        <v>1</v>
      </c>
      <c r="AJ511" s="21">
        <v>1983</v>
      </c>
      <c r="AK511" s="33">
        <f t="shared" si="122"/>
        <v>0.28200000000000003</v>
      </c>
      <c r="AL511" s="33">
        <v>0.1472</v>
      </c>
      <c r="AM511" s="33">
        <v>0.43049999999999999</v>
      </c>
      <c r="AN511" s="43">
        <v>0.14030000000000001</v>
      </c>
      <c r="AO511" s="42">
        <f t="shared" si="123"/>
        <v>0.54134831999999999</v>
      </c>
      <c r="AP511" s="18">
        <v>0.45865168000000001</v>
      </c>
      <c r="AQ511">
        <v>1</v>
      </c>
      <c r="AR511" s="40">
        <v>0</v>
      </c>
      <c r="AS511" t="s">
        <v>98</v>
      </c>
      <c r="AT511" s="40" t="s">
        <v>98</v>
      </c>
      <c r="AU511">
        <v>0</v>
      </c>
      <c r="AV511" s="18">
        <v>1</v>
      </c>
      <c r="AW511">
        <v>0.30980000000000002</v>
      </c>
      <c r="AX511" s="18">
        <f t="shared" si="124"/>
        <v>0.69019999999999992</v>
      </c>
      <c r="AY511" s="18" t="s">
        <v>12</v>
      </c>
      <c r="AZ511">
        <v>0</v>
      </c>
      <c r="BA511">
        <v>0</v>
      </c>
      <c r="BB511">
        <v>0</v>
      </c>
      <c r="BC511">
        <v>0</v>
      </c>
      <c r="BD511">
        <v>0</v>
      </c>
      <c r="BE511">
        <v>1</v>
      </c>
      <c r="BF511" s="18">
        <v>0</v>
      </c>
      <c r="BG511">
        <v>0</v>
      </c>
      <c r="BH511">
        <v>1</v>
      </c>
      <c r="BI511" s="18">
        <v>0</v>
      </c>
      <c r="BJ511">
        <v>329</v>
      </c>
      <c r="BK511">
        <v>27</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20"/>
        <v>26.849999999999998</v>
      </c>
      <c r="G512" s="7">
        <f t="shared" si="106"/>
        <v>5.17</v>
      </c>
      <c r="H512" s="16">
        <f t="shared" si="107"/>
        <v>5.57</v>
      </c>
      <c r="I512" s="11">
        <f t="shared" si="112"/>
        <v>0.16330134352703748</v>
      </c>
      <c r="J512" s="33">
        <f t="shared" si="113"/>
        <v>6.0819867235395713E-3</v>
      </c>
      <c r="K512" s="33">
        <f t="shared" si="114"/>
        <v>164.41995773019772</v>
      </c>
      <c r="L512" s="8">
        <v>1</v>
      </c>
      <c r="M512" s="9">
        <v>0</v>
      </c>
      <c r="N512" s="8">
        <v>0</v>
      </c>
      <c r="O512" s="9">
        <v>0</v>
      </c>
      <c r="P512" s="9">
        <v>1</v>
      </c>
      <c r="Q512" s="9">
        <v>0</v>
      </c>
      <c r="R512" s="9">
        <v>0</v>
      </c>
      <c r="S512" s="8">
        <v>26387</v>
      </c>
      <c r="T512" s="9">
        <v>73</v>
      </c>
      <c r="U512" s="9">
        <f t="shared" si="108"/>
        <v>26313</v>
      </c>
      <c r="V512" s="9">
        <f t="shared" si="109"/>
        <v>24</v>
      </c>
      <c r="W512" s="7">
        <v>12</v>
      </c>
      <c r="X512" s="7">
        <f t="shared" si="121"/>
        <v>18.769599999999997</v>
      </c>
      <c r="Y512" s="9">
        <v>1</v>
      </c>
      <c r="Z512" s="9">
        <v>0</v>
      </c>
      <c r="AA512" s="9">
        <v>1</v>
      </c>
      <c r="AB512" s="9">
        <v>0</v>
      </c>
      <c r="AC512" s="9">
        <v>0</v>
      </c>
      <c r="AD512" s="9">
        <v>0</v>
      </c>
      <c r="AE512" s="8">
        <v>0</v>
      </c>
      <c r="AF512" s="9">
        <v>1</v>
      </c>
      <c r="AG512" s="30">
        <v>0</v>
      </c>
      <c r="AH512" s="9">
        <v>0</v>
      </c>
      <c r="AI512" s="30">
        <v>1</v>
      </c>
      <c r="AJ512" s="21">
        <v>1993</v>
      </c>
      <c r="AK512" s="33">
        <f t="shared" si="122"/>
        <v>0.19130000000000003</v>
      </c>
      <c r="AL512" s="33">
        <v>0.1027</v>
      </c>
      <c r="AM512" s="33">
        <v>0.4718</v>
      </c>
      <c r="AN512" s="43">
        <v>0.23419999999999999</v>
      </c>
      <c r="AO512" s="42">
        <f t="shared" si="123"/>
        <v>0.52929399999999993</v>
      </c>
      <c r="AP512" s="18">
        <v>0.47070600000000001</v>
      </c>
      <c r="AQ512">
        <v>1</v>
      </c>
      <c r="AR512" s="40">
        <v>0</v>
      </c>
      <c r="AS512" t="s">
        <v>98</v>
      </c>
      <c r="AT512" s="40" t="s">
        <v>98</v>
      </c>
      <c r="AU512">
        <v>0</v>
      </c>
      <c r="AV512" s="18">
        <v>1</v>
      </c>
      <c r="AW512">
        <v>0.28499999999999998</v>
      </c>
      <c r="AX512" s="18">
        <f t="shared" si="124"/>
        <v>0.71500000000000008</v>
      </c>
      <c r="AY512" s="18" t="s">
        <v>12</v>
      </c>
      <c r="AZ512">
        <v>0</v>
      </c>
      <c r="BA512">
        <v>0</v>
      </c>
      <c r="BB512">
        <v>0</v>
      </c>
      <c r="BC512">
        <v>0</v>
      </c>
      <c r="BD512">
        <v>0</v>
      </c>
      <c r="BE512">
        <v>1</v>
      </c>
      <c r="BF512" s="18">
        <v>0</v>
      </c>
      <c r="BG512">
        <v>0</v>
      </c>
      <c r="BH512">
        <v>1</v>
      </c>
      <c r="BI512" s="18">
        <v>0</v>
      </c>
      <c r="BJ512">
        <v>386</v>
      </c>
      <c r="BK512">
        <v>221</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20"/>
        <v>29.142857142857146</v>
      </c>
      <c r="G513" s="7">
        <f t="shared" si="106"/>
        <v>5.91</v>
      </c>
      <c r="H513" s="16">
        <f t="shared" si="107"/>
        <v>6.33</v>
      </c>
      <c r="I513" s="11">
        <f t="shared" si="112"/>
        <v>0.17394363957968195</v>
      </c>
      <c r="J513" s="33">
        <f t="shared" si="113"/>
        <v>5.9686542993028112E-3</v>
      </c>
      <c r="K513" s="33">
        <f t="shared" si="114"/>
        <v>167.54195332050114</v>
      </c>
      <c r="L513" s="8">
        <v>1</v>
      </c>
      <c r="M513" s="9">
        <v>0</v>
      </c>
      <c r="N513" s="8">
        <v>0</v>
      </c>
      <c r="O513" s="9">
        <v>0</v>
      </c>
      <c r="P513" s="9">
        <v>1</v>
      </c>
      <c r="Q513" s="9">
        <v>0</v>
      </c>
      <c r="R513" s="9">
        <v>0</v>
      </c>
      <c r="S513" s="8">
        <v>27295</v>
      </c>
      <c r="T513" s="9">
        <v>73</v>
      </c>
      <c r="U513" s="9">
        <f t="shared" si="108"/>
        <v>27221</v>
      </c>
      <c r="V513" s="9">
        <f t="shared" si="109"/>
        <v>24</v>
      </c>
      <c r="W513" s="7">
        <v>12</v>
      </c>
      <c r="X513" s="7">
        <f t="shared" si="121"/>
        <v>19.110999999999997</v>
      </c>
      <c r="Y513" s="9">
        <v>1</v>
      </c>
      <c r="Z513" s="9">
        <v>0</v>
      </c>
      <c r="AA513" s="9">
        <v>1</v>
      </c>
      <c r="AB513" s="9">
        <v>0</v>
      </c>
      <c r="AC513" s="9">
        <v>0</v>
      </c>
      <c r="AD513" s="9">
        <v>0</v>
      </c>
      <c r="AE513" s="8">
        <v>0</v>
      </c>
      <c r="AF513" s="9">
        <v>1</v>
      </c>
      <c r="AG513" s="30">
        <v>0</v>
      </c>
      <c r="AH513" s="9">
        <v>0</v>
      </c>
      <c r="AI513" s="30">
        <v>1</v>
      </c>
      <c r="AJ513" s="21">
        <v>1999</v>
      </c>
      <c r="AK513" s="33">
        <f t="shared" si="122"/>
        <v>0.16289999999999993</v>
      </c>
      <c r="AL513" s="33">
        <v>9.69E-2</v>
      </c>
      <c r="AM513" s="33">
        <v>0.49940000000000001</v>
      </c>
      <c r="AN513" s="43">
        <v>0.24079999999999999</v>
      </c>
      <c r="AO513" s="42">
        <f t="shared" si="123"/>
        <v>0.53514991000000001</v>
      </c>
      <c r="AP513" s="18">
        <v>0.46485008999999999</v>
      </c>
      <c r="AQ513">
        <v>1</v>
      </c>
      <c r="AR513" s="40">
        <v>0</v>
      </c>
      <c r="AS513" t="s">
        <v>98</v>
      </c>
      <c r="AT513" s="40" t="s">
        <v>98</v>
      </c>
      <c r="AU513">
        <v>0</v>
      </c>
      <c r="AV513" s="18">
        <v>1</v>
      </c>
      <c r="AW513">
        <v>0.28489999999999999</v>
      </c>
      <c r="AX513" s="18">
        <f t="shared" si="124"/>
        <v>0.71510000000000007</v>
      </c>
      <c r="AY513" s="18" t="s">
        <v>12</v>
      </c>
      <c r="AZ513">
        <v>0</v>
      </c>
      <c r="BA513">
        <v>0</v>
      </c>
      <c r="BB513">
        <v>0</v>
      </c>
      <c r="BC513">
        <v>0</v>
      </c>
      <c r="BD513">
        <v>0</v>
      </c>
      <c r="BE513">
        <v>1</v>
      </c>
      <c r="BF513" s="18">
        <v>0</v>
      </c>
      <c r="BG513">
        <v>0</v>
      </c>
      <c r="BH513">
        <v>1</v>
      </c>
      <c r="BI513" s="18">
        <v>0</v>
      </c>
      <c r="BJ513">
        <v>480</v>
      </c>
      <c r="BK513">
        <v>347</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20"/>
        <v>35.607142857142854</v>
      </c>
      <c r="G514" s="7">
        <f t="shared" ref="G514:G577" si="125">D514-E514</f>
        <v>9.6900000000000013</v>
      </c>
      <c r="H514" s="16">
        <f t="shared" ref="H514:H577" si="126">D514+E514</f>
        <v>10.25</v>
      </c>
      <c r="I514" s="11">
        <f t="shared" si="112"/>
        <v>0.21073422283035778</v>
      </c>
      <c r="J514" s="33">
        <f t="shared" si="113"/>
        <v>5.9183131787863769E-3</v>
      </c>
      <c r="K514" s="33">
        <f t="shared" si="114"/>
        <v>168.96706372085944</v>
      </c>
      <c r="L514" s="8">
        <v>1</v>
      </c>
      <c r="M514" s="9">
        <v>0</v>
      </c>
      <c r="N514" s="8">
        <v>0</v>
      </c>
      <c r="O514" s="9">
        <v>0</v>
      </c>
      <c r="P514" s="9">
        <v>1</v>
      </c>
      <c r="Q514" s="9">
        <v>0</v>
      </c>
      <c r="R514" s="9">
        <v>0</v>
      </c>
      <c r="S514" s="8">
        <v>27356</v>
      </c>
      <c r="T514" s="9">
        <v>73</v>
      </c>
      <c r="U514" s="9">
        <f t="shared" ref="U514:U577" si="127">S514-T514-1</f>
        <v>27282</v>
      </c>
      <c r="V514" s="9">
        <f t="shared" ref="V514:V577" si="128">COUNTIF(B:B,B514)</f>
        <v>24</v>
      </c>
      <c r="W514" s="7">
        <v>15.5</v>
      </c>
      <c r="X514" s="7">
        <f t="shared" si="121"/>
        <v>13.378999999999998</v>
      </c>
      <c r="Y514" s="9">
        <v>1</v>
      </c>
      <c r="Z514" s="9">
        <v>0</v>
      </c>
      <c r="AA514" s="9">
        <v>1</v>
      </c>
      <c r="AB514" s="9">
        <v>0</v>
      </c>
      <c r="AC514" s="9">
        <v>0</v>
      </c>
      <c r="AD514" s="9">
        <v>0</v>
      </c>
      <c r="AE514" s="8">
        <v>0</v>
      </c>
      <c r="AF514" s="9">
        <v>1</v>
      </c>
      <c r="AG514" s="30">
        <v>0</v>
      </c>
      <c r="AH514" s="9">
        <v>0</v>
      </c>
      <c r="AI514" s="30">
        <v>1</v>
      </c>
      <c r="AJ514" s="21">
        <v>1983</v>
      </c>
      <c r="AK514" s="33">
        <f t="shared" si="122"/>
        <v>0.28200000000000003</v>
      </c>
      <c r="AL514" s="33">
        <v>0.1472</v>
      </c>
      <c r="AM514" s="33">
        <v>0.43049999999999999</v>
      </c>
      <c r="AN514" s="43">
        <v>0.14030000000000001</v>
      </c>
      <c r="AO514" s="42">
        <f t="shared" si="123"/>
        <v>0.54134831999999999</v>
      </c>
      <c r="AP514" s="18">
        <v>0.45865168000000001</v>
      </c>
      <c r="AQ514">
        <v>1</v>
      </c>
      <c r="AR514" s="40">
        <v>0</v>
      </c>
      <c r="AS514" t="s">
        <v>98</v>
      </c>
      <c r="AT514" s="40" t="s">
        <v>98</v>
      </c>
      <c r="AU514">
        <v>0</v>
      </c>
      <c r="AV514" s="18">
        <v>1</v>
      </c>
      <c r="AW514">
        <v>0.30980000000000002</v>
      </c>
      <c r="AX514" s="18">
        <f t="shared" si="124"/>
        <v>0.69019999999999992</v>
      </c>
      <c r="AY514" s="18" t="s">
        <v>12</v>
      </c>
      <c r="AZ514">
        <v>0</v>
      </c>
      <c r="BA514">
        <v>0</v>
      </c>
      <c r="BB514">
        <v>0</v>
      </c>
      <c r="BC514">
        <v>0</v>
      </c>
      <c r="BD514">
        <v>0</v>
      </c>
      <c r="BE514">
        <v>1</v>
      </c>
      <c r="BF514" s="18">
        <v>0</v>
      </c>
      <c r="BG514">
        <v>0</v>
      </c>
      <c r="BH514">
        <v>1</v>
      </c>
      <c r="BI514" s="18">
        <v>0</v>
      </c>
      <c r="BJ514">
        <v>329</v>
      </c>
      <c r="BK514">
        <v>27</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20"/>
        <v>39.071428571428569</v>
      </c>
      <c r="G515" s="7">
        <f t="shared" si="125"/>
        <v>10.66</v>
      </c>
      <c r="H515" s="16">
        <f t="shared" si="126"/>
        <v>11.219999999999999</v>
      </c>
      <c r="I515" s="11">
        <f t="shared" si="112"/>
        <v>0.23416823266045317</v>
      </c>
      <c r="J515" s="33">
        <f t="shared" si="113"/>
        <v>5.9933368505417639E-3</v>
      </c>
      <c r="K515" s="33">
        <f t="shared" si="114"/>
        <v>166.85195992439597</v>
      </c>
      <c r="L515" s="8">
        <v>1</v>
      </c>
      <c r="M515" s="9">
        <v>0</v>
      </c>
      <c r="N515" s="8">
        <v>0</v>
      </c>
      <c r="O515" s="9">
        <v>0</v>
      </c>
      <c r="P515" s="9">
        <v>1</v>
      </c>
      <c r="Q515" s="9">
        <v>0</v>
      </c>
      <c r="R515" s="9">
        <v>0</v>
      </c>
      <c r="S515" s="8">
        <v>26387</v>
      </c>
      <c r="T515" s="9">
        <v>73</v>
      </c>
      <c r="U515" s="9">
        <f t="shared" si="127"/>
        <v>26313</v>
      </c>
      <c r="V515" s="9">
        <f t="shared" si="128"/>
        <v>24</v>
      </c>
      <c r="W515" s="7">
        <v>15.5</v>
      </c>
      <c r="X515" s="7">
        <f t="shared" si="121"/>
        <v>15.269599999999997</v>
      </c>
      <c r="Y515" s="9">
        <v>1</v>
      </c>
      <c r="Z515" s="9">
        <v>0</v>
      </c>
      <c r="AA515" s="9">
        <v>1</v>
      </c>
      <c r="AB515" s="9">
        <v>0</v>
      </c>
      <c r="AC515" s="9">
        <v>0</v>
      </c>
      <c r="AD515" s="9">
        <v>0</v>
      </c>
      <c r="AE515" s="8">
        <v>0</v>
      </c>
      <c r="AF515" s="9">
        <v>1</v>
      </c>
      <c r="AG515" s="30">
        <v>0</v>
      </c>
      <c r="AH515" s="9">
        <v>0</v>
      </c>
      <c r="AI515" s="30">
        <v>1</v>
      </c>
      <c r="AJ515" s="21">
        <v>1993</v>
      </c>
      <c r="AK515" s="33">
        <f t="shared" si="122"/>
        <v>0.19130000000000003</v>
      </c>
      <c r="AL515" s="33">
        <v>0.1027</v>
      </c>
      <c r="AM515" s="33">
        <v>0.4718</v>
      </c>
      <c r="AN515" s="43">
        <v>0.23419999999999999</v>
      </c>
      <c r="AO515" s="42">
        <f t="shared" si="123"/>
        <v>0.52929399999999993</v>
      </c>
      <c r="AP515" s="18">
        <v>0.47070600000000001</v>
      </c>
      <c r="AQ515">
        <v>1</v>
      </c>
      <c r="AR515" s="40">
        <v>0</v>
      </c>
      <c r="AS515" t="s">
        <v>98</v>
      </c>
      <c r="AT515" s="40" t="s">
        <v>98</v>
      </c>
      <c r="AU515">
        <v>0</v>
      </c>
      <c r="AV515" s="18">
        <v>1</v>
      </c>
      <c r="AW515">
        <v>0.28499999999999998</v>
      </c>
      <c r="AX515" s="18">
        <f t="shared" si="124"/>
        <v>0.71500000000000008</v>
      </c>
      <c r="AY515" s="18" t="s">
        <v>12</v>
      </c>
      <c r="AZ515">
        <v>0</v>
      </c>
      <c r="BA515">
        <v>0</v>
      </c>
      <c r="BB515">
        <v>0</v>
      </c>
      <c r="BC515">
        <v>0</v>
      </c>
      <c r="BD515">
        <v>0</v>
      </c>
      <c r="BE515">
        <v>1</v>
      </c>
      <c r="BF515" s="18">
        <v>0</v>
      </c>
      <c r="BG515">
        <v>0</v>
      </c>
      <c r="BH515">
        <v>1</v>
      </c>
      <c r="BI515" s="18">
        <v>0</v>
      </c>
      <c r="BJ515">
        <v>386</v>
      </c>
      <c r="BK515">
        <v>221</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20"/>
        <v>43.892857142857139</v>
      </c>
      <c r="G516" s="7">
        <f t="shared" si="125"/>
        <v>12.01</v>
      </c>
      <c r="H516" s="16">
        <f t="shared" si="126"/>
        <v>12.569999999999999</v>
      </c>
      <c r="I516" s="11">
        <f t="shared" si="112"/>
        <v>0.25709437715131611</v>
      </c>
      <c r="J516" s="33">
        <f t="shared" si="113"/>
        <v>5.8573169733416195E-3</v>
      </c>
      <c r="K516" s="33">
        <f t="shared" si="114"/>
        <v>170.7266320998668</v>
      </c>
      <c r="L516" s="8">
        <v>1</v>
      </c>
      <c r="M516" s="9">
        <v>0</v>
      </c>
      <c r="N516" s="8">
        <v>0</v>
      </c>
      <c r="O516" s="9">
        <v>0</v>
      </c>
      <c r="P516" s="9">
        <v>1</v>
      </c>
      <c r="Q516" s="9">
        <v>0</v>
      </c>
      <c r="R516" s="9">
        <v>0</v>
      </c>
      <c r="S516" s="8">
        <v>27295</v>
      </c>
      <c r="T516" s="9">
        <v>73</v>
      </c>
      <c r="U516" s="9">
        <f t="shared" si="127"/>
        <v>27221</v>
      </c>
      <c r="V516" s="9">
        <f t="shared" si="128"/>
        <v>24</v>
      </c>
      <c r="W516" s="7">
        <v>15.5</v>
      </c>
      <c r="X516" s="7">
        <f t="shared" si="121"/>
        <v>15.610999999999997</v>
      </c>
      <c r="Y516" s="9">
        <v>1</v>
      </c>
      <c r="Z516" s="9">
        <v>0</v>
      </c>
      <c r="AA516" s="9">
        <v>1</v>
      </c>
      <c r="AB516" s="9">
        <v>0</v>
      </c>
      <c r="AC516" s="9">
        <v>0</v>
      </c>
      <c r="AD516" s="9">
        <v>0</v>
      </c>
      <c r="AE516" s="8">
        <v>0</v>
      </c>
      <c r="AF516" s="9">
        <v>1</v>
      </c>
      <c r="AG516" s="30">
        <v>0</v>
      </c>
      <c r="AH516" s="9">
        <v>0</v>
      </c>
      <c r="AI516" s="30">
        <v>1</v>
      </c>
      <c r="AJ516" s="21">
        <v>1999</v>
      </c>
      <c r="AK516" s="33">
        <f t="shared" si="122"/>
        <v>0.16289999999999993</v>
      </c>
      <c r="AL516" s="33">
        <v>9.69E-2</v>
      </c>
      <c r="AM516" s="33">
        <v>0.49940000000000001</v>
      </c>
      <c r="AN516" s="43">
        <v>0.24079999999999999</v>
      </c>
      <c r="AO516" s="42">
        <f t="shared" si="123"/>
        <v>0.53514991000000001</v>
      </c>
      <c r="AP516" s="18">
        <v>0.46485008999999999</v>
      </c>
      <c r="AQ516">
        <v>1</v>
      </c>
      <c r="AR516" s="40">
        <v>0</v>
      </c>
      <c r="AS516" t="s">
        <v>98</v>
      </c>
      <c r="AT516" s="40" t="s">
        <v>98</v>
      </c>
      <c r="AU516">
        <v>0</v>
      </c>
      <c r="AV516" s="18">
        <v>1</v>
      </c>
      <c r="AW516">
        <v>0.28489999999999999</v>
      </c>
      <c r="AX516" s="18">
        <f t="shared" si="124"/>
        <v>0.71510000000000007</v>
      </c>
      <c r="AY516" s="18" t="s">
        <v>12</v>
      </c>
      <c r="AZ516">
        <v>0</v>
      </c>
      <c r="BA516">
        <v>0</v>
      </c>
      <c r="BB516">
        <v>0</v>
      </c>
      <c r="BC516">
        <v>0</v>
      </c>
      <c r="BD516">
        <v>0</v>
      </c>
      <c r="BE516">
        <v>1</v>
      </c>
      <c r="BF516" s="18">
        <v>0</v>
      </c>
      <c r="BG516">
        <v>0</v>
      </c>
      <c r="BH516">
        <v>1</v>
      </c>
      <c r="BI516" s="18">
        <v>0</v>
      </c>
      <c r="BJ516">
        <v>480</v>
      </c>
      <c r="BK516">
        <v>347</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20"/>
        <v>21.541666666666668</v>
      </c>
      <c r="G517" s="7">
        <f t="shared" si="125"/>
        <v>4.93</v>
      </c>
      <c r="H517" s="16">
        <f t="shared" si="126"/>
        <v>5.41</v>
      </c>
      <c r="I517" s="11">
        <f t="shared" si="112"/>
        <v>0.12596594997664462</v>
      </c>
      <c r="J517" s="33">
        <f t="shared" si="113"/>
        <v>5.8475489350860175E-3</v>
      </c>
      <c r="K517" s="33">
        <f t="shared" si="114"/>
        <v>171.01182240645755</v>
      </c>
      <c r="L517" s="8">
        <v>1</v>
      </c>
      <c r="M517" s="9">
        <v>0</v>
      </c>
      <c r="N517" s="8">
        <v>0</v>
      </c>
      <c r="O517" s="9">
        <v>0</v>
      </c>
      <c r="P517" s="9">
        <v>1</v>
      </c>
      <c r="Q517" s="9">
        <v>0</v>
      </c>
      <c r="R517" s="9">
        <v>0</v>
      </c>
      <c r="S517" s="8">
        <v>28855</v>
      </c>
      <c r="T517" s="9">
        <v>73</v>
      </c>
      <c r="U517" s="9">
        <f t="shared" si="127"/>
        <v>28781</v>
      </c>
      <c r="V517" s="9">
        <f t="shared" si="128"/>
        <v>24</v>
      </c>
      <c r="W517" s="7">
        <v>5</v>
      </c>
      <c r="X517" s="7">
        <f t="shared" si="121"/>
        <v>21.476599999999998</v>
      </c>
      <c r="Y517" s="9">
        <v>1</v>
      </c>
      <c r="Z517" s="9">
        <v>0</v>
      </c>
      <c r="AA517" s="9">
        <v>1</v>
      </c>
      <c r="AB517" s="9">
        <v>0</v>
      </c>
      <c r="AC517" s="9">
        <v>0</v>
      </c>
      <c r="AD517" s="9">
        <v>0</v>
      </c>
      <c r="AE517" s="8">
        <v>0</v>
      </c>
      <c r="AF517" s="9">
        <v>1</v>
      </c>
      <c r="AG517" s="30">
        <v>0</v>
      </c>
      <c r="AH517" s="9">
        <v>0</v>
      </c>
      <c r="AI517" s="30">
        <v>1</v>
      </c>
      <c r="AJ517" s="21">
        <v>1983</v>
      </c>
      <c r="AK517" s="33">
        <f t="shared" si="122"/>
        <v>0.75960000000000005</v>
      </c>
      <c r="AL517" s="33">
        <v>0.14369999999999999</v>
      </c>
      <c r="AM517" s="33">
        <v>9.5100000000000004E-2</v>
      </c>
      <c r="AN517" s="43">
        <v>1.6000000000000001E-3</v>
      </c>
      <c r="AO517" s="42">
        <f t="shared" si="123"/>
        <v>0.54134831999999999</v>
      </c>
      <c r="AP517" s="18">
        <v>0.45865168000000001</v>
      </c>
      <c r="AQ517">
        <v>1</v>
      </c>
      <c r="AR517" s="40">
        <v>0</v>
      </c>
      <c r="AS517" t="s">
        <v>98</v>
      </c>
      <c r="AT517" s="40" t="s">
        <v>98</v>
      </c>
      <c r="AU517">
        <v>0</v>
      </c>
      <c r="AV517" s="18">
        <v>1</v>
      </c>
      <c r="AW517">
        <v>0.79579999999999995</v>
      </c>
      <c r="AX517" s="18">
        <f t="shared" si="124"/>
        <v>0.20420000000000005</v>
      </c>
      <c r="AY517" s="18" t="s">
        <v>12</v>
      </c>
      <c r="AZ517">
        <v>0</v>
      </c>
      <c r="BA517">
        <v>0</v>
      </c>
      <c r="BB517">
        <v>0</v>
      </c>
      <c r="BC517">
        <v>0</v>
      </c>
      <c r="BD517">
        <v>0</v>
      </c>
      <c r="BE517">
        <v>1</v>
      </c>
      <c r="BF517" s="18">
        <v>0</v>
      </c>
      <c r="BG517">
        <v>0</v>
      </c>
      <c r="BH517">
        <v>1</v>
      </c>
      <c r="BI517" s="18">
        <v>0</v>
      </c>
      <c r="BJ517">
        <v>329</v>
      </c>
      <c r="BK517">
        <v>27</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20"/>
        <v>20.36</v>
      </c>
      <c r="G518" s="7">
        <f t="shared" si="125"/>
        <v>4.84</v>
      </c>
      <c r="H518" s="16">
        <f t="shared" si="126"/>
        <v>5.34</v>
      </c>
      <c r="I518" s="11">
        <f t="shared" si="112"/>
        <v>0.1245113704291685</v>
      </c>
      <c r="J518" s="33">
        <f t="shared" si="113"/>
        <v>6.1154897067371566E-3</v>
      </c>
      <c r="K518" s="33">
        <f t="shared" si="114"/>
        <v>163.51920254208679</v>
      </c>
      <c r="L518" s="8">
        <v>1</v>
      </c>
      <c r="M518" s="9">
        <v>0</v>
      </c>
      <c r="N518" s="8">
        <v>0</v>
      </c>
      <c r="O518" s="9">
        <v>0</v>
      </c>
      <c r="P518" s="9">
        <v>1</v>
      </c>
      <c r="Q518" s="9">
        <v>0</v>
      </c>
      <c r="R518" s="9">
        <v>0</v>
      </c>
      <c r="S518" s="8">
        <v>26398</v>
      </c>
      <c r="T518" s="9">
        <v>73</v>
      </c>
      <c r="U518" s="9">
        <f t="shared" si="127"/>
        <v>26324</v>
      </c>
      <c r="V518" s="9">
        <f t="shared" si="128"/>
        <v>24</v>
      </c>
      <c r="W518" s="7">
        <v>5</v>
      </c>
      <c r="X518" s="7">
        <f t="shared" si="121"/>
        <v>22.099899999999998</v>
      </c>
      <c r="Y518" s="9">
        <v>1</v>
      </c>
      <c r="Z518" s="9">
        <v>0</v>
      </c>
      <c r="AA518" s="9">
        <v>1</v>
      </c>
      <c r="AB518" s="9">
        <v>0</v>
      </c>
      <c r="AC518" s="9">
        <v>0</v>
      </c>
      <c r="AD518" s="9">
        <v>0</v>
      </c>
      <c r="AE518" s="8">
        <v>0</v>
      </c>
      <c r="AF518" s="9">
        <v>1</v>
      </c>
      <c r="AG518" s="30">
        <v>0</v>
      </c>
      <c r="AH518" s="9">
        <v>0</v>
      </c>
      <c r="AI518" s="30">
        <v>1</v>
      </c>
      <c r="AJ518" s="21">
        <v>1993</v>
      </c>
      <c r="AK518" s="33">
        <f t="shared" si="122"/>
        <v>0.69320000000000004</v>
      </c>
      <c r="AL518" s="33">
        <v>0.1447</v>
      </c>
      <c r="AM518" s="33">
        <v>0.1585</v>
      </c>
      <c r="AN518" s="43">
        <v>3.5999999999999999E-3</v>
      </c>
      <c r="AO518" s="42">
        <f t="shared" si="123"/>
        <v>0.52929399999999993</v>
      </c>
      <c r="AP518" s="18">
        <v>0.47070600000000001</v>
      </c>
      <c r="AQ518">
        <v>1</v>
      </c>
      <c r="AR518" s="40">
        <v>0</v>
      </c>
      <c r="AS518" t="s">
        <v>98</v>
      </c>
      <c r="AT518" s="40" t="s">
        <v>98</v>
      </c>
      <c r="AU518">
        <v>0</v>
      </c>
      <c r="AV518" s="18">
        <v>1</v>
      </c>
      <c r="AW518">
        <v>0.76400000000000001</v>
      </c>
      <c r="AX518" s="18">
        <f t="shared" si="124"/>
        <v>0.23599999999999999</v>
      </c>
      <c r="AY518" s="18" t="s">
        <v>12</v>
      </c>
      <c r="AZ518">
        <v>0</v>
      </c>
      <c r="BA518">
        <v>0</v>
      </c>
      <c r="BB518">
        <v>0</v>
      </c>
      <c r="BC518">
        <v>0</v>
      </c>
      <c r="BD518">
        <v>0</v>
      </c>
      <c r="BE518">
        <v>1</v>
      </c>
      <c r="BF518" s="18">
        <v>0</v>
      </c>
      <c r="BG518">
        <v>0</v>
      </c>
      <c r="BH518">
        <v>1</v>
      </c>
      <c r="BI518" s="18">
        <v>0</v>
      </c>
      <c r="BJ518">
        <v>386</v>
      </c>
      <c r="BK518">
        <v>221</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20"/>
        <v>20.6</v>
      </c>
      <c r="G519" s="7">
        <f t="shared" si="125"/>
        <v>4.9000000000000004</v>
      </c>
      <c r="H519" s="16">
        <f t="shared" si="126"/>
        <v>5.4</v>
      </c>
      <c r="I519" s="11">
        <f t="shared" si="112"/>
        <v>0.11862738625856023</v>
      </c>
      <c r="J519" s="33">
        <f t="shared" si="113"/>
        <v>5.7586109834252535E-3</v>
      </c>
      <c r="K519" s="33">
        <f t="shared" si="114"/>
        <v>173.65298730514255</v>
      </c>
      <c r="L519" s="8">
        <v>1</v>
      </c>
      <c r="M519" s="9">
        <v>0</v>
      </c>
      <c r="N519" s="8">
        <v>0</v>
      </c>
      <c r="O519" s="9">
        <v>0</v>
      </c>
      <c r="P519" s="9">
        <v>1</v>
      </c>
      <c r="Q519" s="9">
        <v>0</v>
      </c>
      <c r="R519" s="9">
        <v>0</v>
      </c>
      <c r="S519" s="8">
        <v>29805</v>
      </c>
      <c r="T519" s="9">
        <v>73</v>
      </c>
      <c r="U519" s="9">
        <f t="shared" si="127"/>
        <v>29731</v>
      </c>
      <c r="V519" s="9">
        <f t="shared" si="128"/>
        <v>24</v>
      </c>
      <c r="W519" s="7">
        <v>5</v>
      </c>
      <c r="X519" s="7">
        <f t="shared" si="121"/>
        <v>22.079599999999999</v>
      </c>
      <c r="Y519" s="9">
        <v>1</v>
      </c>
      <c r="Z519" s="9">
        <v>0</v>
      </c>
      <c r="AA519" s="9">
        <v>1</v>
      </c>
      <c r="AB519" s="9">
        <v>0</v>
      </c>
      <c r="AC519" s="9">
        <v>0</v>
      </c>
      <c r="AD519" s="9">
        <v>0</v>
      </c>
      <c r="AE519" s="8">
        <v>0</v>
      </c>
      <c r="AF519" s="9">
        <v>1</v>
      </c>
      <c r="AG519" s="30">
        <v>0</v>
      </c>
      <c r="AH519" s="9">
        <v>0</v>
      </c>
      <c r="AI519" s="30">
        <v>1</v>
      </c>
      <c r="AJ519" s="21">
        <v>1999</v>
      </c>
      <c r="AK519" s="33">
        <f t="shared" si="122"/>
        <v>0.61990000000000001</v>
      </c>
      <c r="AL519" s="33">
        <v>0.14649999999999999</v>
      </c>
      <c r="AM519" s="33">
        <v>0.22819999999999999</v>
      </c>
      <c r="AN519" s="43">
        <v>5.4000000000000003E-3</v>
      </c>
      <c r="AO519" s="42">
        <f t="shared" si="123"/>
        <v>0.53514991000000001</v>
      </c>
      <c r="AP519" s="18">
        <v>0.46485008999999999</v>
      </c>
      <c r="AQ519">
        <v>1</v>
      </c>
      <c r="AR519" s="40">
        <v>0</v>
      </c>
      <c r="AS519" t="s">
        <v>98</v>
      </c>
      <c r="AT519" s="40" t="s">
        <v>98</v>
      </c>
      <c r="AU519">
        <v>0</v>
      </c>
      <c r="AV519" s="18">
        <v>1</v>
      </c>
      <c r="AW519">
        <v>0.75</v>
      </c>
      <c r="AX519" s="18">
        <f t="shared" si="124"/>
        <v>0.25</v>
      </c>
      <c r="AY519" s="18" t="s">
        <v>12</v>
      </c>
      <c r="AZ519">
        <v>0</v>
      </c>
      <c r="BA519">
        <v>0</v>
      </c>
      <c r="BB519">
        <v>0</v>
      </c>
      <c r="BC519">
        <v>0</v>
      </c>
      <c r="BD519">
        <v>0</v>
      </c>
      <c r="BE519">
        <v>1</v>
      </c>
      <c r="BF519" s="18">
        <v>0</v>
      </c>
      <c r="BG519">
        <v>0</v>
      </c>
      <c r="BH519">
        <v>1</v>
      </c>
      <c r="BI519" s="18">
        <v>0</v>
      </c>
      <c r="BJ519">
        <v>480</v>
      </c>
      <c r="BK519">
        <v>347</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20"/>
        <v>3.1538461538461537</v>
      </c>
      <c r="G520" s="7">
        <f t="shared" si="125"/>
        <v>0.55999999999999994</v>
      </c>
      <c r="H520" s="16">
        <f t="shared" si="126"/>
        <v>1.08</v>
      </c>
      <c r="I520" s="11">
        <f t="shared" ref="I520:I583" si="129">IFERROR(F520/SQRT(F520^2+U520), "X")</f>
        <v>1.8587138339873844E-2</v>
      </c>
      <c r="J520" s="33">
        <f t="shared" ref="J520:J583" si="130">IFERROR(SQRT((1-I520^2)/U520), "X")</f>
        <v>5.8934828882526826E-3</v>
      </c>
      <c r="K520" s="33">
        <f t="shared" ref="K520:K583" si="131">IFERROR(1/J520, "X")</f>
        <v>169.67895198156467</v>
      </c>
      <c r="L520" s="8">
        <v>1</v>
      </c>
      <c r="M520" s="9">
        <v>0</v>
      </c>
      <c r="N520" s="8">
        <v>0</v>
      </c>
      <c r="O520" s="9">
        <v>0</v>
      </c>
      <c r="P520" s="9">
        <v>1</v>
      </c>
      <c r="Q520" s="9">
        <v>0</v>
      </c>
      <c r="R520" s="9">
        <v>0</v>
      </c>
      <c r="S520" s="8">
        <v>28855</v>
      </c>
      <c r="T520" s="9">
        <v>73</v>
      </c>
      <c r="U520" s="9">
        <f t="shared" si="127"/>
        <v>28781</v>
      </c>
      <c r="V520" s="9">
        <f t="shared" si="128"/>
        <v>24</v>
      </c>
      <c r="W520" s="7">
        <v>8</v>
      </c>
      <c r="X520" s="7">
        <f t="shared" si="121"/>
        <v>20.878999999999998</v>
      </c>
      <c r="Y520" s="9">
        <v>1</v>
      </c>
      <c r="Z520" s="9">
        <v>0</v>
      </c>
      <c r="AA520" s="9">
        <v>1</v>
      </c>
      <c r="AB520" s="9">
        <v>0</v>
      </c>
      <c r="AC520" s="9">
        <v>0</v>
      </c>
      <c r="AD520" s="9">
        <v>0</v>
      </c>
      <c r="AE520" s="8">
        <v>0</v>
      </c>
      <c r="AF520" s="9">
        <v>1</v>
      </c>
      <c r="AG520" s="30">
        <v>0</v>
      </c>
      <c r="AH520" s="9">
        <v>0</v>
      </c>
      <c r="AI520" s="30">
        <v>1</v>
      </c>
      <c r="AJ520" s="21">
        <v>1983</v>
      </c>
      <c r="AK520" s="33">
        <f t="shared" si="122"/>
        <v>0.75960000000000005</v>
      </c>
      <c r="AL520" s="33">
        <v>0.14369999999999999</v>
      </c>
      <c r="AM520" s="33">
        <v>9.5100000000000004E-2</v>
      </c>
      <c r="AN520" s="43">
        <v>1.6000000000000001E-3</v>
      </c>
      <c r="AO520" s="42">
        <f t="shared" si="123"/>
        <v>0.54134831999999999</v>
      </c>
      <c r="AP520" s="18">
        <v>0.45865168000000001</v>
      </c>
      <c r="AQ520">
        <v>1</v>
      </c>
      <c r="AR520" s="40">
        <v>0</v>
      </c>
      <c r="AS520" t="s">
        <v>98</v>
      </c>
      <c r="AT520" s="40" t="s">
        <v>98</v>
      </c>
      <c r="AU520">
        <v>0</v>
      </c>
      <c r="AV520" s="18">
        <v>1</v>
      </c>
      <c r="AW520">
        <v>0.30980000000000002</v>
      </c>
      <c r="AX520" s="18">
        <f t="shared" si="124"/>
        <v>0.69019999999999992</v>
      </c>
      <c r="AY520" s="18" t="s">
        <v>12</v>
      </c>
      <c r="AZ520">
        <v>0</v>
      </c>
      <c r="BA520">
        <v>0</v>
      </c>
      <c r="BB520">
        <v>0</v>
      </c>
      <c r="BC520">
        <v>0</v>
      </c>
      <c r="BD520">
        <v>0</v>
      </c>
      <c r="BE520">
        <v>1</v>
      </c>
      <c r="BF520" s="18">
        <v>0</v>
      </c>
      <c r="BG520">
        <v>0</v>
      </c>
      <c r="BH520">
        <v>1</v>
      </c>
      <c r="BI520" s="18">
        <v>0</v>
      </c>
      <c r="BJ520">
        <v>329</v>
      </c>
      <c r="BK520">
        <v>27</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20"/>
        <v>3</v>
      </c>
      <c r="G521" s="7">
        <f t="shared" si="125"/>
        <v>0.48</v>
      </c>
      <c r="H521" s="16">
        <f t="shared" si="126"/>
        <v>0.96</v>
      </c>
      <c r="I521" s="11">
        <f t="shared" si="129"/>
        <v>1.8487197683350179E-2</v>
      </c>
      <c r="J521" s="33">
        <f t="shared" si="130"/>
        <v>6.1623992277833927E-3</v>
      </c>
      <c r="K521" s="33">
        <f t="shared" si="131"/>
        <v>162.27445886522005</v>
      </c>
      <c r="L521" s="8">
        <v>1</v>
      </c>
      <c r="M521" s="9">
        <v>0</v>
      </c>
      <c r="N521" s="8">
        <v>0</v>
      </c>
      <c r="O521" s="9">
        <v>0</v>
      </c>
      <c r="P521" s="9">
        <v>1</v>
      </c>
      <c r="Q521" s="9">
        <v>0</v>
      </c>
      <c r="R521" s="9">
        <v>0</v>
      </c>
      <c r="S521" s="8">
        <v>26398</v>
      </c>
      <c r="T521" s="9">
        <v>73</v>
      </c>
      <c r="U521" s="9">
        <f t="shared" si="127"/>
        <v>26324</v>
      </c>
      <c r="V521" s="9">
        <f t="shared" si="128"/>
        <v>24</v>
      </c>
      <c r="W521" s="7">
        <v>8</v>
      </c>
      <c r="X521" s="7">
        <f t="shared" si="121"/>
        <v>22.769599999999997</v>
      </c>
      <c r="Y521" s="9">
        <v>1</v>
      </c>
      <c r="Z521" s="9">
        <v>0</v>
      </c>
      <c r="AA521" s="9">
        <v>1</v>
      </c>
      <c r="AB521" s="9">
        <v>0</v>
      </c>
      <c r="AC521" s="9">
        <v>0</v>
      </c>
      <c r="AD521" s="9">
        <v>0</v>
      </c>
      <c r="AE521" s="8">
        <v>0</v>
      </c>
      <c r="AF521" s="9">
        <v>1</v>
      </c>
      <c r="AG521" s="30">
        <v>0</v>
      </c>
      <c r="AH521" s="9">
        <v>0</v>
      </c>
      <c r="AI521" s="30">
        <v>1</v>
      </c>
      <c r="AJ521" s="21">
        <v>1993</v>
      </c>
      <c r="AK521" s="33">
        <f t="shared" si="122"/>
        <v>0.69320000000000004</v>
      </c>
      <c r="AL521" s="33">
        <v>0.1447</v>
      </c>
      <c r="AM521" s="33">
        <v>0.1585</v>
      </c>
      <c r="AN521" s="43">
        <v>3.5999999999999999E-3</v>
      </c>
      <c r="AO521" s="42">
        <f t="shared" si="123"/>
        <v>0.52929399999999993</v>
      </c>
      <c r="AP521" s="18">
        <v>0.47070600000000001</v>
      </c>
      <c r="AQ521">
        <v>1</v>
      </c>
      <c r="AR521" s="40">
        <v>0</v>
      </c>
      <c r="AS521" t="s">
        <v>98</v>
      </c>
      <c r="AT521" s="40" t="s">
        <v>98</v>
      </c>
      <c r="AU521">
        <v>0</v>
      </c>
      <c r="AV521" s="18">
        <v>1</v>
      </c>
      <c r="AW521">
        <v>0.28499999999999998</v>
      </c>
      <c r="AX521" s="18">
        <f t="shared" si="124"/>
        <v>0.71500000000000008</v>
      </c>
      <c r="AY521" s="18" t="s">
        <v>12</v>
      </c>
      <c r="AZ521">
        <v>0</v>
      </c>
      <c r="BA521">
        <v>0</v>
      </c>
      <c r="BB521">
        <v>0</v>
      </c>
      <c r="BC521">
        <v>0</v>
      </c>
      <c r="BD521">
        <v>0</v>
      </c>
      <c r="BE521">
        <v>1</v>
      </c>
      <c r="BF521" s="18">
        <v>0</v>
      </c>
      <c r="BG521">
        <v>0</v>
      </c>
      <c r="BH521">
        <v>1</v>
      </c>
      <c r="BI521" s="18">
        <v>0</v>
      </c>
      <c r="BJ521">
        <v>386</v>
      </c>
      <c r="BK521">
        <v>221</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20"/>
        <v>3.2727272727272725</v>
      </c>
      <c r="G522" s="7">
        <f t="shared" si="125"/>
        <v>0.5</v>
      </c>
      <c r="H522" s="16">
        <f t="shared" si="126"/>
        <v>0.94</v>
      </c>
      <c r="I522" s="11">
        <f t="shared" si="129"/>
        <v>1.8976968768129054E-2</v>
      </c>
      <c r="J522" s="33">
        <f t="shared" si="130"/>
        <v>5.7985182347060999E-3</v>
      </c>
      <c r="K522" s="33">
        <f t="shared" si="131"/>
        <v>172.45785207928822</v>
      </c>
      <c r="L522" s="8">
        <v>1</v>
      </c>
      <c r="M522" s="9">
        <v>0</v>
      </c>
      <c r="N522" s="8">
        <v>0</v>
      </c>
      <c r="O522" s="9">
        <v>0</v>
      </c>
      <c r="P522" s="9">
        <v>1</v>
      </c>
      <c r="Q522" s="9">
        <v>0</v>
      </c>
      <c r="R522" s="9">
        <v>0</v>
      </c>
      <c r="S522" s="8">
        <v>29805</v>
      </c>
      <c r="T522" s="9">
        <v>73</v>
      </c>
      <c r="U522" s="9">
        <f t="shared" si="127"/>
        <v>29731</v>
      </c>
      <c r="V522" s="9">
        <f t="shared" si="128"/>
        <v>24</v>
      </c>
      <c r="W522" s="7">
        <v>8</v>
      </c>
      <c r="X522" s="7">
        <f t="shared" si="121"/>
        <v>23.110999999999997</v>
      </c>
      <c r="Y522" s="9">
        <v>1</v>
      </c>
      <c r="Z522" s="9">
        <v>0</v>
      </c>
      <c r="AA522" s="9">
        <v>1</v>
      </c>
      <c r="AB522" s="9">
        <v>0</v>
      </c>
      <c r="AC522" s="9">
        <v>0</v>
      </c>
      <c r="AD522" s="9">
        <v>0</v>
      </c>
      <c r="AE522" s="8">
        <v>0</v>
      </c>
      <c r="AF522" s="9">
        <v>1</v>
      </c>
      <c r="AG522" s="30">
        <v>0</v>
      </c>
      <c r="AH522" s="9">
        <v>0</v>
      </c>
      <c r="AI522" s="30">
        <v>1</v>
      </c>
      <c r="AJ522" s="21">
        <v>1999</v>
      </c>
      <c r="AK522" s="33">
        <f t="shared" si="122"/>
        <v>0.61990000000000001</v>
      </c>
      <c r="AL522" s="33">
        <v>0.14649999999999999</v>
      </c>
      <c r="AM522" s="33">
        <v>0.22819999999999999</v>
      </c>
      <c r="AN522" s="43">
        <v>5.4000000000000003E-3</v>
      </c>
      <c r="AO522" s="42">
        <f t="shared" si="123"/>
        <v>0.53514991000000001</v>
      </c>
      <c r="AP522" s="18">
        <v>0.46485008999999999</v>
      </c>
      <c r="AQ522">
        <v>1</v>
      </c>
      <c r="AR522" s="40">
        <v>0</v>
      </c>
      <c r="AS522" t="s">
        <v>98</v>
      </c>
      <c r="AT522" s="40" t="s">
        <v>98</v>
      </c>
      <c r="AU522">
        <v>0</v>
      </c>
      <c r="AV522" s="18">
        <v>1</v>
      </c>
      <c r="AW522">
        <v>0.28489999999999999</v>
      </c>
      <c r="AX522" s="18">
        <f t="shared" si="124"/>
        <v>0.71510000000000007</v>
      </c>
      <c r="AY522" s="18" t="s">
        <v>12</v>
      </c>
      <c r="AZ522">
        <v>0</v>
      </c>
      <c r="BA522">
        <v>0</v>
      </c>
      <c r="BB522">
        <v>0</v>
      </c>
      <c r="BC522">
        <v>0</v>
      </c>
      <c r="BD522">
        <v>0</v>
      </c>
      <c r="BE522">
        <v>1</v>
      </c>
      <c r="BF522" s="18">
        <v>0</v>
      </c>
      <c r="BG522">
        <v>0</v>
      </c>
      <c r="BH522">
        <v>1</v>
      </c>
      <c r="BI522" s="18">
        <v>0</v>
      </c>
      <c r="BJ522">
        <v>480</v>
      </c>
      <c r="BK522">
        <v>347</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20"/>
        <v>1.9166666666666665</v>
      </c>
      <c r="G523" s="7">
        <f t="shared" si="125"/>
        <v>0.32999999999999996</v>
      </c>
      <c r="H523" s="16">
        <f t="shared" si="126"/>
        <v>1.0499999999999998</v>
      </c>
      <c r="I523" s="11">
        <f t="shared" si="129"/>
        <v>1.1297073004638739E-2</v>
      </c>
      <c r="J523" s="33">
        <f t="shared" si="130"/>
        <v>5.8941250458984726E-3</v>
      </c>
      <c r="K523" s="33">
        <f t="shared" si="131"/>
        <v>169.66046566926283</v>
      </c>
      <c r="L523" s="8">
        <v>1</v>
      </c>
      <c r="M523" s="9">
        <v>0</v>
      </c>
      <c r="N523" s="8">
        <v>0</v>
      </c>
      <c r="O523" s="9">
        <v>0</v>
      </c>
      <c r="P523" s="9">
        <v>1</v>
      </c>
      <c r="Q523" s="9">
        <v>0</v>
      </c>
      <c r="R523" s="9">
        <v>0</v>
      </c>
      <c r="S523" s="8">
        <v>28855</v>
      </c>
      <c r="T523" s="9">
        <v>73</v>
      </c>
      <c r="U523" s="9">
        <f t="shared" si="127"/>
        <v>28781</v>
      </c>
      <c r="V523" s="9">
        <f t="shared" si="128"/>
        <v>24</v>
      </c>
      <c r="W523" s="7">
        <v>12</v>
      </c>
      <c r="X523" s="7">
        <f t="shared" si="121"/>
        <v>16.878999999999998</v>
      </c>
      <c r="Y523" s="9">
        <v>1</v>
      </c>
      <c r="Z523" s="9">
        <v>0</v>
      </c>
      <c r="AA523" s="9">
        <v>1</v>
      </c>
      <c r="AB523" s="9">
        <v>0</v>
      </c>
      <c r="AC523" s="9">
        <v>0</v>
      </c>
      <c r="AD523" s="9">
        <v>0</v>
      </c>
      <c r="AE523" s="8">
        <v>0</v>
      </c>
      <c r="AF523" s="9">
        <v>1</v>
      </c>
      <c r="AG523" s="30">
        <v>0</v>
      </c>
      <c r="AH523" s="9">
        <v>0</v>
      </c>
      <c r="AI523" s="30">
        <v>1</v>
      </c>
      <c r="AJ523" s="21">
        <v>1983</v>
      </c>
      <c r="AK523" s="33">
        <f t="shared" si="122"/>
        <v>0.75960000000000005</v>
      </c>
      <c r="AL523" s="33">
        <v>0.14369999999999999</v>
      </c>
      <c r="AM523" s="33">
        <v>9.5100000000000004E-2</v>
      </c>
      <c r="AN523" s="43">
        <v>1.6000000000000001E-3</v>
      </c>
      <c r="AO523" s="42">
        <f t="shared" si="123"/>
        <v>0.54134831999999999</v>
      </c>
      <c r="AP523" s="18">
        <v>0.45865168000000001</v>
      </c>
      <c r="AQ523">
        <v>1</v>
      </c>
      <c r="AR523" s="40">
        <v>0</v>
      </c>
      <c r="AS523" t="s">
        <v>98</v>
      </c>
      <c r="AT523" s="40" t="s">
        <v>98</v>
      </c>
      <c r="AU523">
        <v>0</v>
      </c>
      <c r="AV523" s="18">
        <v>1</v>
      </c>
      <c r="AW523">
        <v>0.30980000000000002</v>
      </c>
      <c r="AX523" s="18">
        <f t="shared" si="124"/>
        <v>0.69019999999999992</v>
      </c>
      <c r="AY523" s="18" t="s">
        <v>12</v>
      </c>
      <c r="AZ523">
        <v>0</v>
      </c>
      <c r="BA523">
        <v>0</v>
      </c>
      <c r="BB523">
        <v>0</v>
      </c>
      <c r="BC523">
        <v>0</v>
      </c>
      <c r="BD523">
        <v>0</v>
      </c>
      <c r="BE523">
        <v>1</v>
      </c>
      <c r="BF523" s="18">
        <v>0</v>
      </c>
      <c r="BG523">
        <v>0</v>
      </c>
      <c r="BH523">
        <v>1</v>
      </c>
      <c r="BI523" s="18">
        <v>0</v>
      </c>
      <c r="BJ523">
        <v>329</v>
      </c>
      <c r="BK523">
        <v>27</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20"/>
        <v>1.8076923076923075</v>
      </c>
      <c r="G524" s="7">
        <f t="shared" si="125"/>
        <v>0.20999999999999996</v>
      </c>
      <c r="H524" s="16">
        <f t="shared" si="126"/>
        <v>0.73</v>
      </c>
      <c r="I524" s="11">
        <f t="shared" si="129"/>
        <v>1.1140934343436375E-2</v>
      </c>
      <c r="J524" s="33">
        <f t="shared" si="130"/>
        <v>6.1630700623265056E-3</v>
      </c>
      <c r="K524" s="33">
        <f t="shared" si="131"/>
        <v>162.25679570199608</v>
      </c>
      <c r="L524" s="8">
        <v>1</v>
      </c>
      <c r="M524" s="9">
        <v>0</v>
      </c>
      <c r="N524" s="8">
        <v>0</v>
      </c>
      <c r="O524" s="9">
        <v>0</v>
      </c>
      <c r="P524" s="9">
        <v>1</v>
      </c>
      <c r="Q524" s="9">
        <v>0</v>
      </c>
      <c r="R524" s="9">
        <v>0</v>
      </c>
      <c r="S524" s="8">
        <v>26398</v>
      </c>
      <c r="T524" s="9">
        <v>73</v>
      </c>
      <c r="U524" s="9">
        <f t="shared" si="127"/>
        <v>26324</v>
      </c>
      <c r="V524" s="9">
        <f t="shared" si="128"/>
        <v>24</v>
      </c>
      <c r="W524" s="7">
        <v>12</v>
      </c>
      <c r="X524" s="7">
        <f t="shared" si="121"/>
        <v>18.769599999999997</v>
      </c>
      <c r="Y524" s="9">
        <v>1</v>
      </c>
      <c r="Z524" s="9">
        <v>0</v>
      </c>
      <c r="AA524" s="9">
        <v>1</v>
      </c>
      <c r="AB524" s="9">
        <v>0</v>
      </c>
      <c r="AC524" s="9">
        <v>0</v>
      </c>
      <c r="AD524" s="9">
        <v>0</v>
      </c>
      <c r="AE524" s="8">
        <v>0</v>
      </c>
      <c r="AF524" s="9">
        <v>1</v>
      </c>
      <c r="AG524" s="30">
        <v>0</v>
      </c>
      <c r="AH524" s="9">
        <v>0</v>
      </c>
      <c r="AI524" s="30">
        <v>1</v>
      </c>
      <c r="AJ524" s="21">
        <v>1993</v>
      </c>
      <c r="AK524" s="33">
        <f t="shared" si="122"/>
        <v>0.69320000000000004</v>
      </c>
      <c r="AL524" s="33">
        <v>0.1447</v>
      </c>
      <c r="AM524" s="33">
        <v>0.1585</v>
      </c>
      <c r="AN524" s="43">
        <v>3.5999999999999999E-3</v>
      </c>
      <c r="AO524" s="42">
        <f t="shared" si="123"/>
        <v>0.52929399999999993</v>
      </c>
      <c r="AP524" s="18">
        <v>0.47070600000000001</v>
      </c>
      <c r="AQ524">
        <v>1</v>
      </c>
      <c r="AR524" s="40">
        <v>0</v>
      </c>
      <c r="AS524" t="s">
        <v>98</v>
      </c>
      <c r="AT524" s="40" t="s">
        <v>98</v>
      </c>
      <c r="AU524">
        <v>0</v>
      </c>
      <c r="AV524" s="18">
        <v>1</v>
      </c>
      <c r="AW524">
        <v>0.28499999999999998</v>
      </c>
      <c r="AX524" s="18">
        <f t="shared" si="124"/>
        <v>0.71500000000000008</v>
      </c>
      <c r="AY524" s="18" t="s">
        <v>12</v>
      </c>
      <c r="AZ524">
        <v>0</v>
      </c>
      <c r="BA524">
        <v>0</v>
      </c>
      <c r="BB524">
        <v>0</v>
      </c>
      <c r="BC524">
        <v>0</v>
      </c>
      <c r="BD524">
        <v>0</v>
      </c>
      <c r="BE524">
        <v>1</v>
      </c>
      <c r="BF524" s="18">
        <v>0</v>
      </c>
      <c r="BG524">
        <v>0</v>
      </c>
      <c r="BH524">
        <v>1</v>
      </c>
      <c r="BI524" s="18">
        <v>0</v>
      </c>
      <c r="BJ524">
        <v>386</v>
      </c>
      <c r="BK524">
        <v>221</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20"/>
        <v>0.76190476190476197</v>
      </c>
      <c r="G525" s="7">
        <f t="shared" si="125"/>
        <v>-4.9999999999999989E-2</v>
      </c>
      <c r="H525" s="16">
        <f t="shared" si="126"/>
        <v>0.37</v>
      </c>
      <c r="I525" s="11">
        <f t="shared" si="129"/>
        <v>4.4186712350274774E-3</v>
      </c>
      <c r="J525" s="33">
        <f t="shared" si="130"/>
        <v>5.799505995973564E-3</v>
      </c>
      <c r="K525" s="33">
        <f t="shared" si="131"/>
        <v>172.42847937294525</v>
      </c>
      <c r="L525" s="8">
        <v>1</v>
      </c>
      <c r="M525" s="9">
        <v>0</v>
      </c>
      <c r="N525" s="8">
        <v>0</v>
      </c>
      <c r="O525" s="9">
        <v>0</v>
      </c>
      <c r="P525" s="9">
        <v>1</v>
      </c>
      <c r="Q525" s="9">
        <v>0</v>
      </c>
      <c r="R525" s="9">
        <v>0</v>
      </c>
      <c r="S525" s="8">
        <v>29805</v>
      </c>
      <c r="T525" s="9">
        <v>73</v>
      </c>
      <c r="U525" s="9">
        <f t="shared" si="127"/>
        <v>29731</v>
      </c>
      <c r="V525" s="9">
        <f t="shared" si="128"/>
        <v>24</v>
      </c>
      <c r="W525" s="7">
        <v>12</v>
      </c>
      <c r="X525" s="7">
        <f t="shared" si="121"/>
        <v>19.110999999999997</v>
      </c>
      <c r="Y525" s="9">
        <v>1</v>
      </c>
      <c r="Z525" s="9">
        <v>0</v>
      </c>
      <c r="AA525" s="9">
        <v>1</v>
      </c>
      <c r="AB525" s="9">
        <v>0</v>
      </c>
      <c r="AC525" s="9">
        <v>0</v>
      </c>
      <c r="AD525" s="9">
        <v>0</v>
      </c>
      <c r="AE525" s="8">
        <v>0</v>
      </c>
      <c r="AF525" s="9">
        <v>1</v>
      </c>
      <c r="AG525" s="30">
        <v>0</v>
      </c>
      <c r="AH525" s="9">
        <v>0</v>
      </c>
      <c r="AI525" s="30">
        <v>1</v>
      </c>
      <c r="AJ525" s="21">
        <v>1999</v>
      </c>
      <c r="AK525" s="33">
        <f t="shared" si="122"/>
        <v>0.61990000000000001</v>
      </c>
      <c r="AL525" s="33">
        <v>0.14649999999999999</v>
      </c>
      <c r="AM525" s="33">
        <v>0.22819999999999999</v>
      </c>
      <c r="AN525" s="43">
        <v>5.4000000000000003E-3</v>
      </c>
      <c r="AO525" s="42">
        <f t="shared" si="123"/>
        <v>0.53514991000000001</v>
      </c>
      <c r="AP525" s="18">
        <v>0.46485008999999999</v>
      </c>
      <c r="AQ525">
        <v>1</v>
      </c>
      <c r="AR525" s="40">
        <v>0</v>
      </c>
      <c r="AS525" t="s">
        <v>98</v>
      </c>
      <c r="AT525" s="40" t="s">
        <v>98</v>
      </c>
      <c r="AU525">
        <v>0</v>
      </c>
      <c r="AV525" s="18">
        <v>1</v>
      </c>
      <c r="AW525">
        <v>0.28489999999999999</v>
      </c>
      <c r="AX525" s="18">
        <f t="shared" si="124"/>
        <v>0.71510000000000007</v>
      </c>
      <c r="AY525" s="18" t="s">
        <v>12</v>
      </c>
      <c r="AZ525">
        <v>0</v>
      </c>
      <c r="BA525">
        <v>0</v>
      </c>
      <c r="BB525">
        <v>0</v>
      </c>
      <c r="BC525">
        <v>0</v>
      </c>
      <c r="BD525">
        <v>0</v>
      </c>
      <c r="BE525">
        <v>1</v>
      </c>
      <c r="BF525" s="18">
        <v>0</v>
      </c>
      <c r="BG525">
        <v>0</v>
      </c>
      <c r="BH525">
        <v>1</v>
      </c>
      <c r="BI525" s="18">
        <v>0</v>
      </c>
      <c r="BJ525">
        <v>480</v>
      </c>
      <c r="BK525">
        <v>347</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20"/>
        <v>1.1847826086956521</v>
      </c>
      <c r="G526" s="7">
        <f t="shared" si="125"/>
        <v>0.34000000000000008</v>
      </c>
      <c r="H526" s="16">
        <f t="shared" si="126"/>
        <v>4.0200000000000005</v>
      </c>
      <c r="I526" s="11">
        <f t="shared" si="129"/>
        <v>6.9835322069161185E-3</v>
      </c>
      <c r="J526" s="33">
        <f t="shared" si="130"/>
        <v>5.8943574590484679E-3</v>
      </c>
      <c r="K526" s="33">
        <f t="shared" si="131"/>
        <v>169.65377599637995</v>
      </c>
      <c r="L526" s="8">
        <v>1</v>
      </c>
      <c r="M526" s="9">
        <v>0</v>
      </c>
      <c r="N526" s="8">
        <v>0</v>
      </c>
      <c r="O526" s="9">
        <v>0</v>
      </c>
      <c r="P526" s="9">
        <v>1</v>
      </c>
      <c r="Q526" s="9">
        <v>0</v>
      </c>
      <c r="R526" s="9">
        <v>0</v>
      </c>
      <c r="S526" s="8">
        <v>28855</v>
      </c>
      <c r="T526" s="9">
        <v>73</v>
      </c>
      <c r="U526" s="9">
        <f t="shared" si="127"/>
        <v>28781</v>
      </c>
      <c r="V526" s="9">
        <f t="shared" si="128"/>
        <v>24</v>
      </c>
      <c r="W526" s="7">
        <v>15.5</v>
      </c>
      <c r="X526" s="7">
        <f t="shared" si="121"/>
        <v>13.378999999999998</v>
      </c>
      <c r="Y526" s="9">
        <v>1</v>
      </c>
      <c r="Z526" s="9">
        <v>0</v>
      </c>
      <c r="AA526" s="9">
        <v>1</v>
      </c>
      <c r="AB526" s="9">
        <v>0</v>
      </c>
      <c r="AC526" s="9">
        <v>0</v>
      </c>
      <c r="AD526" s="9">
        <v>0</v>
      </c>
      <c r="AE526" s="8">
        <v>0</v>
      </c>
      <c r="AF526" s="9">
        <v>1</v>
      </c>
      <c r="AG526" s="30">
        <v>0</v>
      </c>
      <c r="AH526" s="9">
        <v>0</v>
      </c>
      <c r="AI526" s="30">
        <v>1</v>
      </c>
      <c r="AJ526" s="21">
        <v>1983</v>
      </c>
      <c r="AK526" s="33">
        <f t="shared" si="122"/>
        <v>0.75960000000000005</v>
      </c>
      <c r="AL526" s="33">
        <v>0.14369999999999999</v>
      </c>
      <c r="AM526" s="33">
        <v>9.5100000000000004E-2</v>
      </c>
      <c r="AN526" s="43">
        <v>1.6000000000000001E-3</v>
      </c>
      <c r="AO526" s="42">
        <f t="shared" si="123"/>
        <v>0.54134831999999999</v>
      </c>
      <c r="AP526" s="18">
        <v>0.45865168000000001</v>
      </c>
      <c r="AQ526">
        <v>1</v>
      </c>
      <c r="AR526" s="40">
        <v>0</v>
      </c>
      <c r="AS526" t="s">
        <v>98</v>
      </c>
      <c r="AT526" s="40" t="s">
        <v>98</v>
      </c>
      <c r="AU526">
        <v>0</v>
      </c>
      <c r="AV526" s="18">
        <v>1</v>
      </c>
      <c r="AW526">
        <v>0.30980000000000002</v>
      </c>
      <c r="AX526" s="18">
        <f t="shared" si="124"/>
        <v>0.69019999999999992</v>
      </c>
      <c r="AY526" s="18" t="s">
        <v>12</v>
      </c>
      <c r="AZ526">
        <v>0</v>
      </c>
      <c r="BA526">
        <v>0</v>
      </c>
      <c r="BB526">
        <v>0</v>
      </c>
      <c r="BC526">
        <v>0</v>
      </c>
      <c r="BD526">
        <v>0</v>
      </c>
      <c r="BE526">
        <v>1</v>
      </c>
      <c r="BF526" s="18">
        <v>0</v>
      </c>
      <c r="BG526">
        <v>0</v>
      </c>
      <c r="BH526">
        <v>1</v>
      </c>
      <c r="BI526" s="18">
        <v>0</v>
      </c>
      <c r="BJ526">
        <v>329</v>
      </c>
      <c r="BK526">
        <v>27</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20"/>
        <v>-1.8347826086956522</v>
      </c>
      <c r="G527" s="7">
        <f t="shared" si="125"/>
        <v>-3.26</v>
      </c>
      <c r="H527" s="16">
        <f t="shared" si="126"/>
        <v>-0.96</v>
      </c>
      <c r="I527" s="11">
        <f t="shared" si="129"/>
        <v>-1.1307872575350824E-2</v>
      </c>
      <c r="J527" s="33">
        <f t="shared" si="130"/>
        <v>6.1630585126319663E-3</v>
      </c>
      <c r="K527" s="33">
        <f t="shared" si="131"/>
        <v>162.2570997744665</v>
      </c>
      <c r="L527" s="8">
        <v>1</v>
      </c>
      <c r="M527" s="9">
        <v>0</v>
      </c>
      <c r="N527" s="8">
        <v>0</v>
      </c>
      <c r="O527" s="9">
        <v>0</v>
      </c>
      <c r="P527" s="9">
        <v>1</v>
      </c>
      <c r="Q527" s="9">
        <v>0</v>
      </c>
      <c r="R527" s="9">
        <v>0</v>
      </c>
      <c r="S527" s="8">
        <v>26398</v>
      </c>
      <c r="T527" s="9">
        <v>73</v>
      </c>
      <c r="U527" s="9">
        <f t="shared" si="127"/>
        <v>26324</v>
      </c>
      <c r="V527" s="9">
        <f t="shared" si="128"/>
        <v>24</v>
      </c>
      <c r="W527" s="7">
        <v>15.5</v>
      </c>
      <c r="X527" s="7">
        <f t="shared" si="121"/>
        <v>15.269599999999997</v>
      </c>
      <c r="Y527" s="9">
        <v>1</v>
      </c>
      <c r="Z527" s="9">
        <v>0</v>
      </c>
      <c r="AA527" s="9">
        <v>1</v>
      </c>
      <c r="AB527" s="9">
        <v>0</v>
      </c>
      <c r="AC527" s="9">
        <v>0</v>
      </c>
      <c r="AD527" s="9">
        <v>0</v>
      </c>
      <c r="AE527" s="8">
        <v>0</v>
      </c>
      <c r="AF527" s="9">
        <v>1</v>
      </c>
      <c r="AG527" s="30">
        <v>0</v>
      </c>
      <c r="AH527" s="9">
        <v>0</v>
      </c>
      <c r="AI527" s="30">
        <v>1</v>
      </c>
      <c r="AJ527" s="21">
        <v>1993</v>
      </c>
      <c r="AK527" s="33">
        <f t="shared" si="122"/>
        <v>0.69320000000000004</v>
      </c>
      <c r="AL527" s="33">
        <v>0.1447</v>
      </c>
      <c r="AM527" s="33">
        <v>0.1585</v>
      </c>
      <c r="AN527" s="43">
        <v>3.5999999999999999E-3</v>
      </c>
      <c r="AO527" s="42">
        <f t="shared" si="123"/>
        <v>0.52929399999999993</v>
      </c>
      <c r="AP527" s="18">
        <v>0.47070600000000001</v>
      </c>
      <c r="AQ527">
        <v>1</v>
      </c>
      <c r="AR527" s="40">
        <v>0</v>
      </c>
      <c r="AS527" t="s">
        <v>98</v>
      </c>
      <c r="AT527" s="40" t="s">
        <v>98</v>
      </c>
      <c r="AU527">
        <v>0</v>
      </c>
      <c r="AV527" s="18">
        <v>1</v>
      </c>
      <c r="AW527">
        <v>0.28499999999999998</v>
      </c>
      <c r="AX527" s="18">
        <f t="shared" si="124"/>
        <v>0.71500000000000008</v>
      </c>
      <c r="AY527" s="18" t="s">
        <v>12</v>
      </c>
      <c r="AZ527">
        <v>0</v>
      </c>
      <c r="BA527">
        <v>0</v>
      </c>
      <c r="BB527">
        <v>0</v>
      </c>
      <c r="BC527">
        <v>0</v>
      </c>
      <c r="BD527">
        <v>0</v>
      </c>
      <c r="BE527">
        <v>1</v>
      </c>
      <c r="BF527" s="18">
        <v>0</v>
      </c>
      <c r="BG527">
        <v>0</v>
      </c>
      <c r="BH527">
        <v>1</v>
      </c>
      <c r="BI527" s="18">
        <v>0</v>
      </c>
      <c r="BJ527">
        <v>386</v>
      </c>
      <c r="BK527">
        <v>221</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20"/>
        <v>-7.3684210526315796E-2</v>
      </c>
      <c r="G528" s="7">
        <f t="shared" si="125"/>
        <v>-1.02</v>
      </c>
      <c r="H528" s="16">
        <f t="shared" si="126"/>
        <v>0.87999999999999989</v>
      </c>
      <c r="I528" s="11">
        <f t="shared" si="129"/>
        <v>-4.2733615355302289E-4</v>
      </c>
      <c r="J528" s="33">
        <f t="shared" si="130"/>
        <v>5.7995620839338818E-3</v>
      </c>
      <c r="K528" s="33">
        <f t="shared" si="131"/>
        <v>172.42681180536536</v>
      </c>
      <c r="L528" s="8">
        <v>1</v>
      </c>
      <c r="M528" s="9">
        <v>0</v>
      </c>
      <c r="N528" s="8">
        <v>0</v>
      </c>
      <c r="O528" s="9">
        <v>0</v>
      </c>
      <c r="P528" s="9">
        <v>1</v>
      </c>
      <c r="Q528" s="9">
        <v>0</v>
      </c>
      <c r="R528" s="9">
        <v>0</v>
      </c>
      <c r="S528" s="8">
        <v>29805</v>
      </c>
      <c r="T528" s="9">
        <v>73</v>
      </c>
      <c r="U528" s="9">
        <f t="shared" si="127"/>
        <v>29731</v>
      </c>
      <c r="V528" s="9">
        <f t="shared" si="128"/>
        <v>24</v>
      </c>
      <c r="W528" s="7">
        <v>15.5</v>
      </c>
      <c r="X528" s="7">
        <f t="shared" si="121"/>
        <v>15.610999999999997</v>
      </c>
      <c r="Y528" s="9">
        <v>1</v>
      </c>
      <c r="Z528" s="9">
        <v>0</v>
      </c>
      <c r="AA528" s="9">
        <v>1</v>
      </c>
      <c r="AB528" s="9">
        <v>0</v>
      </c>
      <c r="AC528" s="9">
        <v>0</v>
      </c>
      <c r="AD528" s="9">
        <v>0</v>
      </c>
      <c r="AE528" s="8">
        <v>0</v>
      </c>
      <c r="AF528" s="9">
        <v>1</v>
      </c>
      <c r="AG528" s="30">
        <v>0</v>
      </c>
      <c r="AH528" s="9">
        <v>0</v>
      </c>
      <c r="AI528" s="30">
        <v>1</v>
      </c>
      <c r="AJ528" s="21">
        <v>1999</v>
      </c>
      <c r="AK528" s="33">
        <f t="shared" si="122"/>
        <v>0.61990000000000001</v>
      </c>
      <c r="AL528" s="33">
        <v>0.14649999999999999</v>
      </c>
      <c r="AM528" s="33">
        <v>0.22819999999999999</v>
      </c>
      <c r="AN528" s="43">
        <v>5.4000000000000003E-3</v>
      </c>
      <c r="AO528" s="42">
        <f t="shared" si="123"/>
        <v>0.53514991000000001</v>
      </c>
      <c r="AP528" s="18">
        <v>0.46485008999999999</v>
      </c>
      <c r="AQ528">
        <v>1</v>
      </c>
      <c r="AR528" s="40">
        <v>0</v>
      </c>
      <c r="AS528" t="s">
        <v>98</v>
      </c>
      <c r="AT528" s="40" t="s">
        <v>98</v>
      </c>
      <c r="AU528">
        <v>0</v>
      </c>
      <c r="AV528" s="18">
        <v>1</v>
      </c>
      <c r="AW528">
        <v>0.28489999999999999</v>
      </c>
      <c r="AX528" s="18">
        <f t="shared" si="124"/>
        <v>0.71510000000000007</v>
      </c>
      <c r="AY528" s="18" t="s">
        <v>12</v>
      </c>
      <c r="AZ528">
        <v>0</v>
      </c>
      <c r="BA528">
        <v>0</v>
      </c>
      <c r="BB528">
        <v>0</v>
      </c>
      <c r="BC528">
        <v>0</v>
      </c>
      <c r="BD528">
        <v>0</v>
      </c>
      <c r="BE528">
        <v>1</v>
      </c>
      <c r="BF528" s="18">
        <v>0</v>
      </c>
      <c r="BG528">
        <v>0</v>
      </c>
      <c r="BH528">
        <v>1</v>
      </c>
      <c r="BI528" s="18">
        <v>0</v>
      </c>
      <c r="BJ528">
        <v>480</v>
      </c>
      <c r="BK528">
        <v>347</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32">D529/F529</f>
        <v>0.44758064516129031</v>
      </c>
      <c r="F529" s="98">
        <v>24.8</v>
      </c>
      <c r="G529" s="98">
        <f t="shared" si="125"/>
        <v>10.65241935483871</v>
      </c>
      <c r="H529" s="99">
        <f t="shared" si="126"/>
        <v>11.54758064516129</v>
      </c>
      <c r="I529" s="11">
        <f t="shared" si="129"/>
        <v>0.53861649976244053</v>
      </c>
      <c r="J529" s="33">
        <f t="shared" si="130"/>
        <v>2.1718407248485505E-2</v>
      </c>
      <c r="K529" s="33">
        <f t="shared" si="131"/>
        <v>46.043892103079209</v>
      </c>
      <c r="L529" s="101">
        <v>1</v>
      </c>
      <c r="M529" s="102">
        <v>0</v>
      </c>
      <c r="N529" s="101">
        <v>0</v>
      </c>
      <c r="O529" s="102">
        <v>0</v>
      </c>
      <c r="P529" s="102">
        <v>0</v>
      </c>
      <c r="Q529" s="102">
        <v>1</v>
      </c>
      <c r="R529" s="102">
        <v>0</v>
      </c>
      <c r="S529" s="101">
        <v>1510</v>
      </c>
      <c r="T529" s="102">
        <v>4</v>
      </c>
      <c r="U529" s="102">
        <f t="shared" si="127"/>
        <v>1505</v>
      </c>
      <c r="V529" s="102">
        <f t="shared" si="128"/>
        <v>15</v>
      </c>
      <c r="W529" s="98">
        <f>(7.477*$AQ529+9.003*$AR529)</f>
        <v>7.66012</v>
      </c>
      <c r="X529" s="98">
        <f t="shared" ref="X529:X543" si="133">(17.561*$AQ529+11.448*$AR529)</f>
        <v>16.827439999999999</v>
      </c>
      <c r="Y529" s="102">
        <v>1</v>
      </c>
      <c r="Z529" s="102">
        <v>0</v>
      </c>
      <c r="AA529" s="102">
        <v>1</v>
      </c>
      <c r="AB529" s="102">
        <v>0</v>
      </c>
      <c r="AC529" s="102">
        <v>0</v>
      </c>
      <c r="AD529" s="102">
        <v>0</v>
      </c>
      <c r="AE529" s="101">
        <v>1</v>
      </c>
      <c r="AF529" s="102">
        <v>0</v>
      </c>
      <c r="AG529" s="103">
        <v>0</v>
      </c>
      <c r="AH529" s="102">
        <v>0</v>
      </c>
      <c r="AI529" s="103">
        <v>1</v>
      </c>
      <c r="AJ529" s="104">
        <v>1986</v>
      </c>
      <c r="AK529" s="100">
        <v>0.36</v>
      </c>
      <c r="AL529" s="100">
        <v>0.49</v>
      </c>
      <c r="AM529" s="100">
        <v>0.13</v>
      </c>
      <c r="AN529" s="105">
        <v>0.02</v>
      </c>
      <c r="AO529" s="106">
        <v>1</v>
      </c>
      <c r="AP529" s="107">
        <v>0</v>
      </c>
      <c r="AQ529" s="94">
        <v>0.88</v>
      </c>
      <c r="AR529" s="108">
        <f>1-AQ529</f>
        <v>0.12</v>
      </c>
      <c r="AS529" s="110">
        <f t="shared" ref="AS529:AS543" si="134">1-AT529</f>
        <v>0.54400000000000004</v>
      </c>
      <c r="AT529" s="108">
        <f t="shared" ref="AT529:AT543" si="135">(0.45*$AQ529+0.5*$AR529)</f>
        <v>0.45600000000000002</v>
      </c>
      <c r="AU529">
        <v>0</v>
      </c>
      <c r="AV529" s="107">
        <v>1</v>
      </c>
      <c r="AW529" s="94">
        <v>0</v>
      </c>
      <c r="AX529" s="107">
        <v>1</v>
      </c>
      <c r="AY529" s="107" t="s">
        <v>21</v>
      </c>
      <c r="AZ529">
        <v>0</v>
      </c>
      <c r="BA529">
        <v>1</v>
      </c>
      <c r="BB529">
        <v>0</v>
      </c>
      <c r="BC529">
        <v>0</v>
      </c>
      <c r="BD529">
        <v>0</v>
      </c>
      <c r="BE529">
        <v>0</v>
      </c>
      <c r="BF529" s="107">
        <v>0</v>
      </c>
      <c r="BG529">
        <v>0</v>
      </c>
      <c r="BH529">
        <v>1</v>
      </c>
      <c r="BI529" s="107">
        <v>0</v>
      </c>
      <c r="BJ529" t="s">
        <v>98</v>
      </c>
      <c r="BK529" t="s">
        <v>98</v>
      </c>
      <c r="BL529" s="111">
        <f t="shared" ref="BL529:BL543" si="136">X529+W529+7</f>
        <v>31.487559999999998</v>
      </c>
      <c r="BM529" s="94">
        <v>1</v>
      </c>
      <c r="BN529" s="94">
        <v>0</v>
      </c>
      <c r="BO529" s="94">
        <v>0</v>
      </c>
      <c r="BP529" s="94">
        <v>0</v>
      </c>
      <c r="BQ529" s="94">
        <v>0</v>
      </c>
      <c r="BR529" s="94">
        <v>0</v>
      </c>
      <c r="BS529" s="94">
        <v>0</v>
      </c>
      <c r="BT529" s="107">
        <v>0</v>
      </c>
      <c r="BU529" s="94">
        <v>0</v>
      </c>
      <c r="BV529" s="94">
        <v>0</v>
      </c>
      <c r="BW529" s="94">
        <v>0</v>
      </c>
      <c r="BX529" s="107">
        <v>1</v>
      </c>
      <c r="BY529" s="94">
        <v>0</v>
      </c>
      <c r="BZ529" s="94">
        <v>0</v>
      </c>
      <c r="CA529" s="94">
        <v>0</v>
      </c>
      <c r="CB529" s="94">
        <v>0</v>
      </c>
      <c r="CC529" s="107">
        <v>0</v>
      </c>
      <c r="CD529" s="94">
        <v>0</v>
      </c>
      <c r="CE529" s="94">
        <v>0</v>
      </c>
      <c r="CF529" s="94">
        <v>0</v>
      </c>
      <c r="CG529" s="94">
        <v>1</v>
      </c>
      <c r="CH529" s="94">
        <v>0</v>
      </c>
      <c r="CI529" s="94">
        <v>0</v>
      </c>
      <c r="CJ529" s="94">
        <v>1</v>
      </c>
      <c r="CK529" s="94">
        <v>0</v>
      </c>
      <c r="CL529" s="94">
        <v>0</v>
      </c>
      <c r="CM529" s="94">
        <v>0</v>
      </c>
      <c r="CN529" s="107">
        <v>0</v>
      </c>
      <c r="CO529">
        <v>0.29799999999999999</v>
      </c>
      <c r="CP529">
        <v>18</v>
      </c>
      <c r="CQ529">
        <v>1</v>
      </c>
      <c r="CR529">
        <v>0</v>
      </c>
      <c r="CS529">
        <v>10</v>
      </c>
      <c r="CT529" s="109"/>
      <c r="CY529" s="109"/>
    </row>
    <row r="530" spans="1:103" x14ac:dyDescent="0.25">
      <c r="A530">
        <v>529</v>
      </c>
      <c r="B530">
        <v>35</v>
      </c>
      <c r="C530" s="25" t="s">
        <v>325</v>
      </c>
      <c r="D530" s="12">
        <v>10.9</v>
      </c>
      <c r="E530" s="14">
        <f t="shared" si="132"/>
        <v>0.47996477322765302</v>
      </c>
      <c r="F530" s="7">
        <v>22.71</v>
      </c>
      <c r="G530" s="7">
        <f t="shared" si="125"/>
        <v>10.420035226772347</v>
      </c>
      <c r="H530" s="16">
        <f t="shared" si="126"/>
        <v>11.379964773227654</v>
      </c>
      <c r="I530" s="11">
        <f t="shared" si="129"/>
        <v>0.54588442624056877</v>
      </c>
      <c r="J530" s="33">
        <f t="shared" si="130"/>
        <v>2.4037183013675419E-2</v>
      </c>
      <c r="K530" s="33">
        <f t="shared" si="131"/>
        <v>41.602212681538944</v>
      </c>
      <c r="L530" s="8">
        <v>1</v>
      </c>
      <c r="M530" s="9">
        <v>0</v>
      </c>
      <c r="N530" s="8">
        <v>0</v>
      </c>
      <c r="O530" s="9">
        <v>0</v>
      </c>
      <c r="P530" s="9">
        <v>0</v>
      </c>
      <c r="Q530" s="9">
        <v>1</v>
      </c>
      <c r="R530" s="9">
        <v>0</v>
      </c>
      <c r="S530" s="8">
        <v>1220</v>
      </c>
      <c r="T530" s="9">
        <v>4</v>
      </c>
      <c r="U530" s="9">
        <f t="shared" si="127"/>
        <v>1215</v>
      </c>
      <c r="V530" s="9">
        <f t="shared" si="128"/>
        <v>15</v>
      </c>
      <c r="W530" s="7">
        <f t="shared" ref="W530:W543" si="137">(7.477*AQ530+9.003*AR530)</f>
        <v>7.4770000000000003</v>
      </c>
      <c r="X530" s="7">
        <f t="shared" si="133"/>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4"/>
        <v>0.55000000000000004</v>
      </c>
      <c r="AT530" s="40">
        <f t="shared" si="135"/>
        <v>0.45</v>
      </c>
      <c r="AU530">
        <v>0</v>
      </c>
      <c r="AV530" s="18">
        <v>1</v>
      </c>
      <c r="AW530">
        <v>0</v>
      </c>
      <c r="AX530" s="18">
        <v>1</v>
      </c>
      <c r="AY530" s="18" t="s">
        <v>21</v>
      </c>
      <c r="AZ530">
        <v>0</v>
      </c>
      <c r="BA530">
        <v>1</v>
      </c>
      <c r="BB530">
        <v>0</v>
      </c>
      <c r="BC530">
        <v>0</v>
      </c>
      <c r="BD530">
        <v>0</v>
      </c>
      <c r="BE530">
        <v>0</v>
      </c>
      <c r="BF530" s="18">
        <v>0</v>
      </c>
      <c r="BG530">
        <v>0</v>
      </c>
      <c r="BH530">
        <v>1</v>
      </c>
      <c r="BI530" s="18">
        <v>0</v>
      </c>
      <c r="BJ530" t="s">
        <v>98</v>
      </c>
      <c r="BK530" t="s">
        <v>98</v>
      </c>
      <c r="BL530" s="93">
        <f t="shared" si="136"/>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32"/>
        <v>1.2598425196850394</v>
      </c>
      <c r="F531" s="7">
        <v>10.16</v>
      </c>
      <c r="G531" s="7">
        <f t="shared" si="125"/>
        <v>11.540157480314962</v>
      </c>
      <c r="H531" s="16">
        <f t="shared" si="126"/>
        <v>14.05984251968504</v>
      </c>
      <c r="I531" s="11">
        <f t="shared" si="129"/>
        <v>0.51564596422723608</v>
      </c>
      <c r="J531" s="33">
        <f t="shared" si="130"/>
        <v>5.0752555534176777E-2</v>
      </c>
      <c r="K531" s="33">
        <f t="shared" si="131"/>
        <v>19.703441323789104</v>
      </c>
      <c r="L531" s="8">
        <v>1</v>
      </c>
      <c r="M531" s="9">
        <v>0</v>
      </c>
      <c r="N531" s="8">
        <v>0</v>
      </c>
      <c r="O531" s="9">
        <v>0</v>
      </c>
      <c r="P531" s="9">
        <v>0</v>
      </c>
      <c r="Q531" s="9">
        <v>1</v>
      </c>
      <c r="R531" s="9">
        <v>0</v>
      </c>
      <c r="S531" s="8">
        <v>290</v>
      </c>
      <c r="T531" s="9">
        <v>4</v>
      </c>
      <c r="U531" s="9">
        <f t="shared" si="127"/>
        <v>285</v>
      </c>
      <c r="V531" s="9">
        <f t="shared" si="128"/>
        <v>15</v>
      </c>
      <c r="W531" s="7">
        <f t="shared" si="137"/>
        <v>9.0030000000000001</v>
      </c>
      <c r="X531" s="7">
        <f t="shared" si="133"/>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4"/>
        <v>0.5</v>
      </c>
      <c r="AT531" s="40">
        <f t="shared" si="135"/>
        <v>0.5</v>
      </c>
      <c r="AU531">
        <v>0</v>
      </c>
      <c r="AV531" s="18">
        <v>1</v>
      </c>
      <c r="AW531">
        <v>0</v>
      </c>
      <c r="AX531" s="18">
        <v>1</v>
      </c>
      <c r="AY531" s="18" t="s">
        <v>21</v>
      </c>
      <c r="AZ531">
        <v>0</v>
      </c>
      <c r="BA531">
        <v>1</v>
      </c>
      <c r="BB531">
        <v>0</v>
      </c>
      <c r="BC531">
        <v>0</v>
      </c>
      <c r="BD531">
        <v>0</v>
      </c>
      <c r="BE531">
        <v>0</v>
      </c>
      <c r="BF531" s="18">
        <v>0</v>
      </c>
      <c r="BG531">
        <v>0</v>
      </c>
      <c r="BH531">
        <v>1</v>
      </c>
      <c r="BI531" s="18">
        <v>0</v>
      </c>
      <c r="BJ531" t="s">
        <v>98</v>
      </c>
      <c r="BK531" t="s">
        <v>98</v>
      </c>
      <c r="BL531" s="93">
        <f t="shared" si="136"/>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32"/>
        <v>0.93525179856115104</v>
      </c>
      <c r="F532" s="7">
        <v>6.95</v>
      </c>
      <c r="G532" s="7">
        <f t="shared" si="125"/>
        <v>5.5647482014388494</v>
      </c>
      <c r="H532" s="16">
        <f t="shared" si="126"/>
        <v>7.4352517985611506</v>
      </c>
      <c r="I532" s="11">
        <f t="shared" si="129"/>
        <v>0.17651295312271437</v>
      </c>
      <c r="J532" s="33">
        <f t="shared" si="130"/>
        <v>2.5397547211901347E-2</v>
      </c>
      <c r="K532" s="33">
        <f t="shared" si="131"/>
        <v>39.373880936478692</v>
      </c>
      <c r="L532" s="8">
        <v>1</v>
      </c>
      <c r="M532" s="9">
        <v>0</v>
      </c>
      <c r="N532" s="8">
        <v>0</v>
      </c>
      <c r="O532" s="9">
        <v>0</v>
      </c>
      <c r="P532" s="9">
        <v>0</v>
      </c>
      <c r="Q532" s="9">
        <v>1</v>
      </c>
      <c r="R532" s="9">
        <v>0</v>
      </c>
      <c r="S532" s="8">
        <v>1510</v>
      </c>
      <c r="T532" s="9">
        <v>7</v>
      </c>
      <c r="U532" s="9">
        <f t="shared" si="127"/>
        <v>1502</v>
      </c>
      <c r="V532" s="9">
        <f t="shared" si="128"/>
        <v>15</v>
      </c>
      <c r="W532" s="7">
        <f t="shared" si="137"/>
        <v>7.66012</v>
      </c>
      <c r="X532" s="7">
        <f t="shared" si="133"/>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8">1-AQ532</f>
        <v>0.12</v>
      </c>
      <c r="AS532" s="39">
        <f t="shared" si="134"/>
        <v>0.54400000000000004</v>
      </c>
      <c r="AT532" s="40">
        <f t="shared" si="135"/>
        <v>0.45600000000000002</v>
      </c>
      <c r="AU532">
        <v>0</v>
      </c>
      <c r="AV532" s="18">
        <v>1</v>
      </c>
      <c r="AW532">
        <v>0</v>
      </c>
      <c r="AX532" s="18">
        <v>1</v>
      </c>
      <c r="AY532" s="18" t="s">
        <v>21</v>
      </c>
      <c r="AZ532">
        <v>0</v>
      </c>
      <c r="BA532">
        <v>1</v>
      </c>
      <c r="BB532">
        <v>0</v>
      </c>
      <c r="BC532">
        <v>0</v>
      </c>
      <c r="BD532">
        <v>0</v>
      </c>
      <c r="BE532">
        <v>0</v>
      </c>
      <c r="BF532" s="18">
        <v>0</v>
      </c>
      <c r="BG532">
        <v>0</v>
      </c>
      <c r="BH532">
        <v>1</v>
      </c>
      <c r="BI532" s="18">
        <v>0</v>
      </c>
      <c r="BJ532" t="s">
        <v>98</v>
      </c>
      <c r="BK532" t="s">
        <v>98</v>
      </c>
      <c r="BL532" s="93">
        <f t="shared" si="136"/>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32"/>
        <v>0.95238095238095244</v>
      </c>
      <c r="F533" s="7">
        <v>7.77</v>
      </c>
      <c r="G533" s="7">
        <f t="shared" si="125"/>
        <v>6.4476190476190478</v>
      </c>
      <c r="H533" s="16">
        <f t="shared" si="126"/>
        <v>8.3523809523809529</v>
      </c>
      <c r="I533" s="11">
        <f t="shared" si="129"/>
        <v>0.19657517462416382</v>
      </c>
      <c r="J533" s="33">
        <f t="shared" si="130"/>
        <v>2.5299250273380161E-2</v>
      </c>
      <c r="K533" s="33">
        <f t="shared" si="131"/>
        <v>39.526863017446757</v>
      </c>
      <c r="L533" s="8">
        <v>1</v>
      </c>
      <c r="M533" s="9">
        <v>0</v>
      </c>
      <c r="N533" s="8">
        <v>0</v>
      </c>
      <c r="O533" s="9">
        <v>0</v>
      </c>
      <c r="P533" s="9">
        <v>0</v>
      </c>
      <c r="Q533" s="9">
        <v>1</v>
      </c>
      <c r="R533" s="9">
        <v>0</v>
      </c>
      <c r="S533" s="8">
        <v>1510</v>
      </c>
      <c r="T533" s="9">
        <v>7</v>
      </c>
      <c r="U533" s="9">
        <f t="shared" si="127"/>
        <v>1502</v>
      </c>
      <c r="V533" s="9">
        <f t="shared" si="128"/>
        <v>15</v>
      </c>
      <c r="W533" s="7">
        <f t="shared" si="137"/>
        <v>7.66012</v>
      </c>
      <c r="X533" s="7">
        <f t="shared" si="133"/>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8"/>
        <v>0.12</v>
      </c>
      <c r="AS533" s="39">
        <f t="shared" si="134"/>
        <v>0.54400000000000004</v>
      </c>
      <c r="AT533" s="40">
        <f t="shared" si="135"/>
        <v>0.45600000000000002</v>
      </c>
      <c r="AU533">
        <v>0</v>
      </c>
      <c r="AV533" s="18">
        <v>1</v>
      </c>
      <c r="AW533">
        <v>0</v>
      </c>
      <c r="AX533" s="18">
        <v>1</v>
      </c>
      <c r="AY533" s="18" t="s">
        <v>21</v>
      </c>
      <c r="AZ533">
        <v>0</v>
      </c>
      <c r="BA533">
        <v>1</v>
      </c>
      <c r="BB533">
        <v>0</v>
      </c>
      <c r="BC533">
        <v>0</v>
      </c>
      <c r="BD533">
        <v>0</v>
      </c>
      <c r="BE533">
        <v>0</v>
      </c>
      <c r="BF533" s="18">
        <v>0</v>
      </c>
      <c r="BG533">
        <v>0</v>
      </c>
      <c r="BH533">
        <v>1</v>
      </c>
      <c r="BI533" s="18">
        <v>0</v>
      </c>
      <c r="BJ533" t="s">
        <v>98</v>
      </c>
      <c r="BK533" t="s">
        <v>98</v>
      </c>
      <c r="BL533" s="93">
        <f t="shared" si="136"/>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32"/>
        <v>0.96030729833546735</v>
      </c>
      <c r="F534" s="7">
        <v>7.81</v>
      </c>
      <c r="G534" s="7">
        <f t="shared" si="125"/>
        <v>6.5396927016645323</v>
      </c>
      <c r="H534" s="16">
        <f t="shared" si="126"/>
        <v>8.4603072983354668</v>
      </c>
      <c r="I534" s="11">
        <f t="shared" si="129"/>
        <v>0.1975477495959001</v>
      </c>
      <c r="J534" s="33">
        <f t="shared" si="130"/>
        <v>2.5294206094225363E-2</v>
      </c>
      <c r="K534" s="33">
        <f t="shared" si="131"/>
        <v>39.534745477870473</v>
      </c>
      <c r="L534" s="8">
        <v>1</v>
      </c>
      <c r="M534" s="9">
        <v>0</v>
      </c>
      <c r="N534" s="8">
        <v>0</v>
      </c>
      <c r="O534" s="9">
        <v>0</v>
      </c>
      <c r="P534" s="9">
        <v>0</v>
      </c>
      <c r="Q534" s="9">
        <v>1</v>
      </c>
      <c r="R534" s="9">
        <v>0</v>
      </c>
      <c r="S534" s="8">
        <v>1510</v>
      </c>
      <c r="T534" s="9">
        <v>7</v>
      </c>
      <c r="U534" s="9">
        <f t="shared" si="127"/>
        <v>1502</v>
      </c>
      <c r="V534" s="9">
        <f t="shared" si="128"/>
        <v>15</v>
      </c>
      <c r="W534" s="7">
        <f t="shared" si="137"/>
        <v>7.66012</v>
      </c>
      <c r="X534" s="7">
        <f t="shared" si="133"/>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8"/>
        <v>0.12</v>
      </c>
      <c r="AS534" s="39">
        <f t="shared" si="134"/>
        <v>0.54400000000000004</v>
      </c>
      <c r="AT534" s="40">
        <f t="shared" si="135"/>
        <v>0.45600000000000002</v>
      </c>
      <c r="AU534">
        <v>0</v>
      </c>
      <c r="AV534" s="18">
        <v>1</v>
      </c>
      <c r="AW534">
        <v>0</v>
      </c>
      <c r="AX534" s="18">
        <v>1</v>
      </c>
      <c r="AY534" s="18" t="s">
        <v>21</v>
      </c>
      <c r="AZ534">
        <v>0</v>
      </c>
      <c r="BA534">
        <v>1</v>
      </c>
      <c r="BB534">
        <v>0</v>
      </c>
      <c r="BC534">
        <v>0</v>
      </c>
      <c r="BD534">
        <v>0</v>
      </c>
      <c r="BE534">
        <v>0</v>
      </c>
      <c r="BF534" s="18">
        <v>0</v>
      </c>
      <c r="BG534">
        <v>0</v>
      </c>
      <c r="BH534">
        <v>1</v>
      </c>
      <c r="BI534" s="18">
        <v>0</v>
      </c>
      <c r="BJ534" t="s">
        <v>98</v>
      </c>
      <c r="BK534" t="s">
        <v>98</v>
      </c>
      <c r="BL534" s="93">
        <f t="shared" si="136"/>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32"/>
        <v>0.96052631578947367</v>
      </c>
      <c r="F535" s="7">
        <v>7.6</v>
      </c>
      <c r="G535" s="7">
        <f t="shared" si="125"/>
        <v>6.3394736842105264</v>
      </c>
      <c r="H535" s="16">
        <f t="shared" si="126"/>
        <v>8.2605263157894733</v>
      </c>
      <c r="I535" s="11">
        <f t="shared" si="129"/>
        <v>0.19243528302935478</v>
      </c>
      <c r="J535" s="33">
        <f t="shared" si="130"/>
        <v>2.5320431977546683E-2</v>
      </c>
      <c r="K535" s="33">
        <f t="shared" si="131"/>
        <v>39.493796981298217</v>
      </c>
      <c r="L535" s="8">
        <v>1</v>
      </c>
      <c r="M535" s="9">
        <v>0</v>
      </c>
      <c r="N535" s="8">
        <v>0</v>
      </c>
      <c r="O535" s="9">
        <v>0</v>
      </c>
      <c r="P535" s="9">
        <v>0</v>
      </c>
      <c r="Q535" s="9">
        <v>1</v>
      </c>
      <c r="R535" s="9">
        <v>0</v>
      </c>
      <c r="S535" s="8">
        <v>1510</v>
      </c>
      <c r="T535" s="9">
        <v>7</v>
      </c>
      <c r="U535" s="9">
        <f t="shared" si="127"/>
        <v>1502</v>
      </c>
      <c r="V535" s="9">
        <f t="shared" si="128"/>
        <v>15</v>
      </c>
      <c r="W535" s="7">
        <f t="shared" si="137"/>
        <v>7.66012</v>
      </c>
      <c r="X535" s="7">
        <f t="shared" si="133"/>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8"/>
        <v>0.12</v>
      </c>
      <c r="AS535" s="39">
        <f t="shared" si="134"/>
        <v>0.54400000000000004</v>
      </c>
      <c r="AT535" s="40">
        <f t="shared" si="135"/>
        <v>0.45600000000000002</v>
      </c>
      <c r="AU535">
        <v>0</v>
      </c>
      <c r="AV535" s="18">
        <v>1</v>
      </c>
      <c r="AW535">
        <v>0</v>
      </c>
      <c r="AX535" s="18">
        <v>1</v>
      </c>
      <c r="AY535" s="18" t="s">
        <v>21</v>
      </c>
      <c r="AZ535">
        <v>0</v>
      </c>
      <c r="BA535">
        <v>1</v>
      </c>
      <c r="BB535">
        <v>0</v>
      </c>
      <c r="BC535">
        <v>0</v>
      </c>
      <c r="BD535">
        <v>0</v>
      </c>
      <c r="BE535">
        <v>0</v>
      </c>
      <c r="BF535" s="18">
        <v>0</v>
      </c>
      <c r="BG535">
        <v>0</v>
      </c>
      <c r="BH535">
        <v>1</v>
      </c>
      <c r="BI535" s="18">
        <v>0</v>
      </c>
      <c r="BJ535" t="s">
        <v>98</v>
      </c>
      <c r="BK535" t="s">
        <v>98</v>
      </c>
      <c r="BL535" s="93">
        <f t="shared" si="136"/>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32"/>
        <v>0.94164456233421745</v>
      </c>
      <c r="F536" s="7">
        <v>7.54</v>
      </c>
      <c r="G536" s="7">
        <f t="shared" si="125"/>
        <v>6.1583554376657821</v>
      </c>
      <c r="H536" s="16">
        <f t="shared" si="126"/>
        <v>8.0416445623342163</v>
      </c>
      <c r="I536" s="11">
        <f t="shared" si="129"/>
        <v>0.19097167590337699</v>
      </c>
      <c r="J536" s="33">
        <f t="shared" si="130"/>
        <v>2.5327808475248934E-2</v>
      </c>
      <c r="K536" s="33">
        <f t="shared" si="131"/>
        <v>39.482294766135368</v>
      </c>
      <c r="L536" s="8">
        <v>1</v>
      </c>
      <c r="M536" s="9">
        <v>0</v>
      </c>
      <c r="N536" s="8">
        <v>0</v>
      </c>
      <c r="O536" s="9">
        <v>0</v>
      </c>
      <c r="P536" s="9">
        <v>0</v>
      </c>
      <c r="Q536" s="9">
        <v>1</v>
      </c>
      <c r="R536" s="9">
        <v>0</v>
      </c>
      <c r="S536" s="8">
        <v>1510</v>
      </c>
      <c r="T536" s="9">
        <v>7</v>
      </c>
      <c r="U536" s="9">
        <f t="shared" si="127"/>
        <v>1502</v>
      </c>
      <c r="V536" s="9">
        <f t="shared" si="128"/>
        <v>15</v>
      </c>
      <c r="W536" s="7">
        <f t="shared" si="137"/>
        <v>7.66012</v>
      </c>
      <c r="X536" s="7">
        <f t="shared" si="133"/>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8"/>
        <v>0.12</v>
      </c>
      <c r="AS536" s="39">
        <f t="shared" si="134"/>
        <v>0.54400000000000004</v>
      </c>
      <c r="AT536" s="40">
        <f t="shared" si="135"/>
        <v>0.45600000000000002</v>
      </c>
      <c r="AU536">
        <v>0</v>
      </c>
      <c r="AV536" s="18">
        <v>1</v>
      </c>
      <c r="AW536">
        <v>0</v>
      </c>
      <c r="AX536" s="18">
        <v>1</v>
      </c>
      <c r="AY536" s="18" t="s">
        <v>21</v>
      </c>
      <c r="AZ536">
        <v>0</v>
      </c>
      <c r="BA536">
        <v>1</v>
      </c>
      <c r="BB536">
        <v>0</v>
      </c>
      <c r="BC536">
        <v>0</v>
      </c>
      <c r="BD536">
        <v>0</v>
      </c>
      <c r="BE536">
        <v>0</v>
      </c>
      <c r="BF536" s="18">
        <v>0</v>
      </c>
      <c r="BG536">
        <v>0</v>
      </c>
      <c r="BH536">
        <v>1</v>
      </c>
      <c r="BI536" s="18">
        <v>0</v>
      </c>
      <c r="BJ536" t="s">
        <v>98</v>
      </c>
      <c r="BK536" t="s">
        <v>98</v>
      </c>
      <c r="BL536" s="93">
        <f t="shared" si="136"/>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32"/>
        <v>0.90361445783132532</v>
      </c>
      <c r="F537" s="7">
        <v>6.64</v>
      </c>
      <c r="G537" s="7">
        <f t="shared" si="125"/>
        <v>5.096385542168675</v>
      </c>
      <c r="H537" s="16">
        <f t="shared" si="126"/>
        <v>6.903614457831325</v>
      </c>
      <c r="I537" s="11">
        <f t="shared" si="129"/>
        <v>0.16886931820305151</v>
      </c>
      <c r="J537" s="33">
        <f t="shared" si="130"/>
        <v>2.5432126235399324E-2</v>
      </c>
      <c r="K537" s="33">
        <f t="shared" si="131"/>
        <v>39.320345878438047</v>
      </c>
      <c r="L537" s="8">
        <v>1</v>
      </c>
      <c r="M537" s="9">
        <v>0</v>
      </c>
      <c r="N537" s="8">
        <v>0</v>
      </c>
      <c r="O537" s="9">
        <v>0</v>
      </c>
      <c r="P537" s="9">
        <v>0</v>
      </c>
      <c r="Q537" s="9">
        <v>1</v>
      </c>
      <c r="R537" s="9">
        <v>0</v>
      </c>
      <c r="S537" s="8">
        <v>1510</v>
      </c>
      <c r="T537" s="9">
        <v>7</v>
      </c>
      <c r="U537" s="9">
        <f t="shared" si="127"/>
        <v>1502</v>
      </c>
      <c r="V537" s="9">
        <f t="shared" si="128"/>
        <v>15</v>
      </c>
      <c r="W537" s="7">
        <f t="shared" si="137"/>
        <v>7.66012</v>
      </c>
      <c r="X537" s="7">
        <f t="shared" si="133"/>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8"/>
        <v>0.12</v>
      </c>
      <c r="AS537" s="39">
        <f t="shared" si="134"/>
        <v>0.54400000000000004</v>
      </c>
      <c r="AT537" s="40">
        <f t="shared" si="135"/>
        <v>0.45600000000000002</v>
      </c>
      <c r="AU537">
        <v>0</v>
      </c>
      <c r="AV537" s="18">
        <v>1</v>
      </c>
      <c r="AW537">
        <v>0</v>
      </c>
      <c r="AX537" s="18">
        <v>1</v>
      </c>
      <c r="AY537" s="18" t="s">
        <v>21</v>
      </c>
      <c r="AZ537">
        <v>0</v>
      </c>
      <c r="BA537">
        <v>1</v>
      </c>
      <c r="BB537">
        <v>0</v>
      </c>
      <c r="BC537">
        <v>0</v>
      </c>
      <c r="BD537">
        <v>0</v>
      </c>
      <c r="BE537">
        <v>0</v>
      </c>
      <c r="BF537" s="18">
        <v>0</v>
      </c>
      <c r="BG537">
        <v>0</v>
      </c>
      <c r="BH537">
        <v>1</v>
      </c>
      <c r="BI537" s="18">
        <v>0</v>
      </c>
      <c r="BJ537" t="s">
        <v>98</v>
      </c>
      <c r="BK537" t="s">
        <v>98</v>
      </c>
      <c r="BL537" s="93">
        <f t="shared" si="136"/>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32"/>
        <v>0.98707403055229148</v>
      </c>
      <c r="F538" s="7">
        <v>8.51</v>
      </c>
      <c r="G538" s="7">
        <f t="shared" si="125"/>
        <v>7.4129259694477092</v>
      </c>
      <c r="H538" s="16">
        <f t="shared" si="126"/>
        <v>9.3870740305522915</v>
      </c>
      <c r="I538" s="11">
        <f t="shared" si="129"/>
        <v>0.21440325235359536</v>
      </c>
      <c r="J538" s="33">
        <f t="shared" si="130"/>
        <v>2.5194271721926603E-2</v>
      </c>
      <c r="K538" s="33">
        <f t="shared" si="131"/>
        <v>39.691562075584777</v>
      </c>
      <c r="L538" s="8">
        <v>1</v>
      </c>
      <c r="M538" s="9">
        <v>0</v>
      </c>
      <c r="N538" s="8">
        <v>0</v>
      </c>
      <c r="O538" s="9">
        <v>0</v>
      </c>
      <c r="P538" s="9">
        <v>0</v>
      </c>
      <c r="Q538" s="9">
        <v>1</v>
      </c>
      <c r="R538" s="9">
        <v>0</v>
      </c>
      <c r="S538" s="8">
        <v>1510</v>
      </c>
      <c r="T538" s="9">
        <v>6</v>
      </c>
      <c r="U538" s="9">
        <f t="shared" si="127"/>
        <v>1503</v>
      </c>
      <c r="V538" s="9">
        <f t="shared" si="128"/>
        <v>15</v>
      </c>
      <c r="W538" s="7">
        <f t="shared" si="137"/>
        <v>7.66012</v>
      </c>
      <c r="X538" s="7">
        <f t="shared" si="133"/>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8"/>
        <v>0.12</v>
      </c>
      <c r="AS538" s="39">
        <f t="shared" si="134"/>
        <v>0.54400000000000004</v>
      </c>
      <c r="AT538" s="40">
        <f t="shared" si="135"/>
        <v>0.45600000000000002</v>
      </c>
      <c r="AU538">
        <v>0</v>
      </c>
      <c r="AV538" s="18">
        <v>1</v>
      </c>
      <c r="AW538">
        <v>0</v>
      </c>
      <c r="AX538" s="18">
        <v>1</v>
      </c>
      <c r="AY538" s="18" t="s">
        <v>21</v>
      </c>
      <c r="AZ538">
        <v>0</v>
      </c>
      <c r="BA538">
        <v>1</v>
      </c>
      <c r="BB538">
        <v>0</v>
      </c>
      <c r="BC538">
        <v>0</v>
      </c>
      <c r="BD538">
        <v>0</v>
      </c>
      <c r="BE538">
        <v>0</v>
      </c>
      <c r="BF538" s="18">
        <v>0</v>
      </c>
      <c r="BG538">
        <v>0</v>
      </c>
      <c r="BH538">
        <v>1</v>
      </c>
      <c r="BI538" s="18">
        <v>0</v>
      </c>
      <c r="BJ538" t="s">
        <v>98</v>
      </c>
      <c r="BK538" t="s">
        <v>98</v>
      </c>
      <c r="BL538" s="93">
        <f t="shared" si="136"/>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32"/>
        <v>1.0407876230661042</v>
      </c>
      <c r="F539" s="7">
        <v>7.11</v>
      </c>
      <c r="G539" s="7">
        <f t="shared" si="125"/>
        <v>6.359212376933896</v>
      </c>
      <c r="H539" s="16">
        <f t="shared" si="126"/>
        <v>8.4407876230661039</v>
      </c>
      <c r="I539" s="11">
        <f t="shared" si="129"/>
        <v>0.19994071330712809</v>
      </c>
      <c r="J539" s="33">
        <f t="shared" si="130"/>
        <v>2.8121056723928003E-2</v>
      </c>
      <c r="K539" s="33">
        <f t="shared" si="131"/>
        <v>35.560541334462272</v>
      </c>
      <c r="L539" s="8">
        <v>1</v>
      </c>
      <c r="M539" s="9">
        <v>0</v>
      </c>
      <c r="N539" s="8">
        <v>0</v>
      </c>
      <c r="O539" s="9">
        <v>0</v>
      </c>
      <c r="P539" s="9">
        <v>0</v>
      </c>
      <c r="Q539" s="9">
        <v>1</v>
      </c>
      <c r="R539" s="9">
        <v>0</v>
      </c>
      <c r="S539" s="8">
        <v>1220</v>
      </c>
      <c r="T539" s="9">
        <v>5</v>
      </c>
      <c r="U539" s="9">
        <f t="shared" si="127"/>
        <v>1214</v>
      </c>
      <c r="V539" s="9">
        <f t="shared" si="128"/>
        <v>15</v>
      </c>
      <c r="W539" s="7">
        <f t="shared" si="137"/>
        <v>7.4770000000000003</v>
      </c>
      <c r="X539" s="7">
        <f t="shared" si="133"/>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4"/>
        <v>0.55000000000000004</v>
      </c>
      <c r="AT539" s="40">
        <f t="shared" si="135"/>
        <v>0.45</v>
      </c>
      <c r="AU539">
        <v>0</v>
      </c>
      <c r="AV539" s="18">
        <v>1</v>
      </c>
      <c r="AW539">
        <v>0</v>
      </c>
      <c r="AX539" s="18">
        <v>1</v>
      </c>
      <c r="AY539" s="18" t="s">
        <v>21</v>
      </c>
      <c r="AZ539">
        <v>0</v>
      </c>
      <c r="BA539">
        <v>1</v>
      </c>
      <c r="BB539">
        <v>0</v>
      </c>
      <c r="BC539">
        <v>0</v>
      </c>
      <c r="BD539">
        <v>0</v>
      </c>
      <c r="BE539">
        <v>0</v>
      </c>
      <c r="BF539" s="18">
        <v>0</v>
      </c>
      <c r="BG539">
        <v>0</v>
      </c>
      <c r="BH539">
        <v>1</v>
      </c>
      <c r="BI539" s="18">
        <v>0</v>
      </c>
      <c r="BJ539" t="s">
        <v>98</v>
      </c>
      <c r="BK539" t="s">
        <v>98</v>
      </c>
      <c r="BL539" s="93">
        <f t="shared" si="136"/>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32"/>
        <v>3.1275720164609049</v>
      </c>
      <c r="F540" s="7">
        <v>2.4300000000000002</v>
      </c>
      <c r="G540" s="7">
        <f t="shared" si="125"/>
        <v>4.4724279835390952</v>
      </c>
      <c r="H540" s="16">
        <f t="shared" si="126"/>
        <v>10.727572016460904</v>
      </c>
      <c r="I540" s="11">
        <f t="shared" si="129"/>
        <v>6.11932504058443E-2</v>
      </c>
      <c r="J540" s="33">
        <f t="shared" si="130"/>
        <v>2.5182407574421521E-2</v>
      </c>
      <c r="K540" s="33">
        <f t="shared" si="131"/>
        <v>39.710261897902413</v>
      </c>
      <c r="L540" s="8">
        <v>1</v>
      </c>
      <c r="M540" s="9">
        <v>0</v>
      </c>
      <c r="N540" s="8">
        <v>0</v>
      </c>
      <c r="O540" s="9">
        <v>0</v>
      </c>
      <c r="P540" s="9">
        <v>0</v>
      </c>
      <c r="Q540" s="9">
        <v>1</v>
      </c>
      <c r="R540" s="9">
        <v>0</v>
      </c>
      <c r="S540" s="8">
        <v>1577</v>
      </c>
      <c r="T540" s="9">
        <v>5</v>
      </c>
      <c r="U540" s="9">
        <f t="shared" si="127"/>
        <v>1571</v>
      </c>
      <c r="V540" s="9">
        <f t="shared" si="128"/>
        <v>15</v>
      </c>
      <c r="W540" s="7">
        <f t="shared" si="137"/>
        <v>9.0030000000000001</v>
      </c>
      <c r="X540" s="7">
        <f t="shared" si="133"/>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4"/>
        <v>0.5</v>
      </c>
      <c r="AT540" s="40">
        <f t="shared" si="135"/>
        <v>0.5</v>
      </c>
      <c r="AU540">
        <v>0</v>
      </c>
      <c r="AV540" s="18">
        <v>1</v>
      </c>
      <c r="AW540">
        <v>0</v>
      </c>
      <c r="AX540" s="18">
        <v>1</v>
      </c>
      <c r="AY540" s="18" t="s">
        <v>21</v>
      </c>
      <c r="AZ540">
        <v>0</v>
      </c>
      <c r="BA540">
        <v>1</v>
      </c>
      <c r="BB540">
        <v>0</v>
      </c>
      <c r="BC540">
        <v>0</v>
      </c>
      <c r="BD540">
        <v>0</v>
      </c>
      <c r="BE540">
        <v>0</v>
      </c>
      <c r="BF540" s="18">
        <v>0</v>
      </c>
      <c r="BG540">
        <v>0</v>
      </c>
      <c r="BH540">
        <v>1</v>
      </c>
      <c r="BI540" s="18">
        <v>0</v>
      </c>
      <c r="BJ540" t="s">
        <v>98</v>
      </c>
      <c r="BK540" t="s">
        <v>98</v>
      </c>
      <c r="BL540" s="93">
        <f t="shared" si="136"/>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32"/>
        <v>0.93314763231197773</v>
      </c>
      <c r="F541" s="7">
        <v>7.18</v>
      </c>
      <c r="G541" s="7">
        <f t="shared" si="125"/>
        <v>5.7668523676880223</v>
      </c>
      <c r="H541" s="16">
        <f t="shared" si="126"/>
        <v>7.633147632311978</v>
      </c>
      <c r="I541" s="11">
        <f t="shared" si="129"/>
        <v>0.18239852026663411</v>
      </c>
      <c r="J541" s="33">
        <f t="shared" si="130"/>
        <v>2.5403693630450433E-2</v>
      </c>
      <c r="K541" s="33">
        <f t="shared" si="131"/>
        <v>39.364354433929179</v>
      </c>
      <c r="L541" s="8">
        <v>1</v>
      </c>
      <c r="M541" s="9">
        <v>0</v>
      </c>
      <c r="N541" s="8">
        <v>0</v>
      </c>
      <c r="O541" s="9">
        <v>0</v>
      </c>
      <c r="P541" s="9">
        <v>0</v>
      </c>
      <c r="Q541" s="9">
        <v>1</v>
      </c>
      <c r="R541" s="9">
        <v>0</v>
      </c>
      <c r="S541" s="8">
        <v>1510</v>
      </c>
      <c r="T541" s="9">
        <v>11</v>
      </c>
      <c r="U541" s="9">
        <f t="shared" si="127"/>
        <v>1498</v>
      </c>
      <c r="V541" s="9">
        <f t="shared" si="128"/>
        <v>15</v>
      </c>
      <c r="W541" s="7">
        <f t="shared" si="137"/>
        <v>7.66012</v>
      </c>
      <c r="X541" s="7">
        <f t="shared" si="133"/>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4"/>
        <v>0.54400000000000004</v>
      </c>
      <c r="AT541" s="40">
        <f t="shared" si="135"/>
        <v>0.45600000000000002</v>
      </c>
      <c r="AU541">
        <v>0</v>
      </c>
      <c r="AV541" s="18">
        <v>1</v>
      </c>
      <c r="AW541">
        <v>0</v>
      </c>
      <c r="AX541" s="18">
        <v>1</v>
      </c>
      <c r="AY541" s="18" t="s">
        <v>21</v>
      </c>
      <c r="AZ541">
        <v>0</v>
      </c>
      <c r="BA541">
        <v>1</v>
      </c>
      <c r="BB541">
        <v>0</v>
      </c>
      <c r="BC541">
        <v>0</v>
      </c>
      <c r="BD541">
        <v>0</v>
      </c>
      <c r="BE541">
        <v>0</v>
      </c>
      <c r="BF541" s="18">
        <v>0</v>
      </c>
      <c r="BG541">
        <v>0</v>
      </c>
      <c r="BH541">
        <v>1</v>
      </c>
      <c r="BI541" s="18">
        <v>0</v>
      </c>
      <c r="BJ541" t="s">
        <v>98</v>
      </c>
      <c r="BK541" t="s">
        <v>98</v>
      </c>
      <c r="BL541" s="93">
        <f t="shared" si="136"/>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32"/>
        <v>0.94855305466237949</v>
      </c>
      <c r="F542" s="7">
        <v>6.22</v>
      </c>
      <c r="G542" s="7">
        <f t="shared" si="125"/>
        <v>4.9514469453376204</v>
      </c>
      <c r="H542" s="16">
        <f t="shared" si="126"/>
        <v>6.8485530546623803</v>
      </c>
      <c r="I542" s="11">
        <f t="shared" si="129"/>
        <v>0.17609106334503863</v>
      </c>
      <c r="J542" s="33">
        <f t="shared" si="130"/>
        <v>2.8310460344861517E-2</v>
      </c>
      <c r="K542" s="33">
        <f t="shared" si="131"/>
        <v>35.322632970943715</v>
      </c>
      <c r="L542" s="8">
        <v>1</v>
      </c>
      <c r="M542" s="9">
        <v>0</v>
      </c>
      <c r="N542" s="8">
        <v>0</v>
      </c>
      <c r="O542" s="9">
        <v>0</v>
      </c>
      <c r="P542" s="9">
        <v>0</v>
      </c>
      <c r="Q542" s="9">
        <v>1</v>
      </c>
      <c r="R542" s="9">
        <v>0</v>
      </c>
      <c r="S542" s="8">
        <v>1220</v>
      </c>
      <c r="T542" s="9">
        <v>10</v>
      </c>
      <c r="U542" s="9">
        <f t="shared" si="127"/>
        <v>1209</v>
      </c>
      <c r="V542" s="9">
        <f t="shared" si="128"/>
        <v>15</v>
      </c>
      <c r="W542" s="7">
        <f t="shared" si="137"/>
        <v>7.4770000000000003</v>
      </c>
      <c r="X542" s="7">
        <f t="shared" si="133"/>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4"/>
        <v>0.55000000000000004</v>
      </c>
      <c r="AT542" s="40">
        <f t="shared" si="135"/>
        <v>0.45</v>
      </c>
      <c r="AU542">
        <v>0</v>
      </c>
      <c r="AV542" s="18">
        <v>1</v>
      </c>
      <c r="AW542">
        <v>0</v>
      </c>
      <c r="AX542" s="18">
        <v>1</v>
      </c>
      <c r="AY542" s="18" t="s">
        <v>21</v>
      </c>
      <c r="AZ542">
        <v>0</v>
      </c>
      <c r="BA542">
        <v>1</v>
      </c>
      <c r="BB542">
        <v>0</v>
      </c>
      <c r="BC542">
        <v>0</v>
      </c>
      <c r="BD542">
        <v>0</v>
      </c>
      <c r="BE542">
        <v>0</v>
      </c>
      <c r="BF542" s="18">
        <v>0</v>
      </c>
      <c r="BG542">
        <v>0</v>
      </c>
      <c r="BH542">
        <v>1</v>
      </c>
      <c r="BI542" s="18">
        <v>0</v>
      </c>
      <c r="BJ542" t="s">
        <v>98</v>
      </c>
      <c r="BK542" t="s">
        <v>98</v>
      </c>
      <c r="BL542" s="93">
        <f t="shared" si="136"/>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32"/>
        <v>3.1132075471698109</v>
      </c>
      <c r="F543" s="7">
        <v>2.12</v>
      </c>
      <c r="G543" s="7">
        <f t="shared" si="125"/>
        <v>3.4867924528301888</v>
      </c>
      <c r="H543" s="16">
        <f t="shared" si="126"/>
        <v>9.7132075471698105</v>
      </c>
      <c r="I543" s="11">
        <f t="shared" si="129"/>
        <v>0.12591098420571495</v>
      </c>
      <c r="J543" s="33">
        <f t="shared" si="130"/>
        <v>5.9391973681941011E-2</v>
      </c>
      <c r="K543" s="33">
        <f t="shared" si="131"/>
        <v>16.837291943777657</v>
      </c>
      <c r="L543" s="8">
        <v>1</v>
      </c>
      <c r="M543" s="9">
        <v>0</v>
      </c>
      <c r="N543" s="8">
        <v>0</v>
      </c>
      <c r="O543" s="9">
        <v>0</v>
      </c>
      <c r="P543" s="9">
        <v>0</v>
      </c>
      <c r="Q543" s="9">
        <v>1</v>
      </c>
      <c r="R543" s="9">
        <v>0</v>
      </c>
      <c r="S543" s="8">
        <v>290</v>
      </c>
      <c r="T543" s="9">
        <v>10</v>
      </c>
      <c r="U543" s="9">
        <f t="shared" si="127"/>
        <v>279</v>
      </c>
      <c r="V543" s="9">
        <f t="shared" si="128"/>
        <v>15</v>
      </c>
      <c r="W543" s="7">
        <f t="shared" si="137"/>
        <v>9.0030000000000001</v>
      </c>
      <c r="X543" s="7">
        <f t="shared" si="133"/>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4"/>
        <v>0.5</v>
      </c>
      <c r="AT543" s="40">
        <f t="shared" si="135"/>
        <v>0.5</v>
      </c>
      <c r="AU543">
        <v>0</v>
      </c>
      <c r="AV543" s="18">
        <v>1</v>
      </c>
      <c r="AW543">
        <v>0</v>
      </c>
      <c r="AX543" s="18">
        <v>1</v>
      </c>
      <c r="AY543" s="18" t="s">
        <v>21</v>
      </c>
      <c r="AZ543">
        <v>0</v>
      </c>
      <c r="BA543">
        <v>1</v>
      </c>
      <c r="BB543">
        <v>0</v>
      </c>
      <c r="BC543">
        <v>0</v>
      </c>
      <c r="BD543">
        <v>0</v>
      </c>
      <c r="BE543">
        <v>0</v>
      </c>
      <c r="BF543" s="18">
        <v>0</v>
      </c>
      <c r="BG543">
        <v>0</v>
      </c>
      <c r="BH543">
        <v>1</v>
      </c>
      <c r="BI543" s="18">
        <v>0</v>
      </c>
      <c r="BJ543" t="s">
        <v>98</v>
      </c>
      <c r="BK543" t="s">
        <v>98</v>
      </c>
      <c r="BL543" s="93">
        <f t="shared" si="136"/>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9">D544/E544</f>
        <v>22.2</v>
      </c>
      <c r="G544" s="98">
        <f t="shared" si="125"/>
        <v>10.6</v>
      </c>
      <c r="H544" s="99">
        <f t="shared" si="126"/>
        <v>11.6</v>
      </c>
      <c r="I544" s="11">
        <f t="shared" si="129"/>
        <v>0.39245407503305468</v>
      </c>
      <c r="J544" s="33">
        <f t="shared" si="130"/>
        <v>1.7678111487975434E-2</v>
      </c>
      <c r="K544" s="33">
        <f t="shared" si="131"/>
        <v>56.567128263683323</v>
      </c>
      <c r="L544" s="101">
        <v>1</v>
      </c>
      <c r="M544" s="102">
        <v>0</v>
      </c>
      <c r="N544" s="101">
        <v>0</v>
      </c>
      <c r="O544" s="102">
        <v>0</v>
      </c>
      <c r="P544" s="102">
        <v>1</v>
      </c>
      <c r="Q544" s="102">
        <v>0</v>
      </c>
      <c r="R544" s="102">
        <v>0</v>
      </c>
      <c r="S544" s="101">
        <v>2717</v>
      </c>
      <c r="T544" s="102">
        <v>9</v>
      </c>
      <c r="U544" s="102">
        <f t="shared" si="127"/>
        <v>2707</v>
      </c>
      <c r="V544" s="102">
        <f t="shared" si="128"/>
        <v>6</v>
      </c>
      <c r="W544" s="98">
        <v>8.49</v>
      </c>
      <c r="X544" s="98">
        <v>14.73</v>
      </c>
      <c r="Y544" s="102">
        <v>1</v>
      </c>
      <c r="Z544" s="102">
        <v>0</v>
      </c>
      <c r="AA544" s="102">
        <v>0</v>
      </c>
      <c r="AB544" s="102">
        <v>0</v>
      </c>
      <c r="AC544" s="102">
        <v>1</v>
      </c>
      <c r="AD544" s="102">
        <v>0</v>
      </c>
      <c r="AE544" s="101">
        <v>0</v>
      </c>
      <c r="AF544" s="102">
        <v>1</v>
      </c>
      <c r="AG544" s="103">
        <v>0</v>
      </c>
      <c r="AH544" s="102">
        <v>0</v>
      </c>
      <c r="AI544" s="103">
        <v>1</v>
      </c>
      <c r="AJ544" s="104">
        <v>1985</v>
      </c>
      <c r="AK544" s="100">
        <v>0.01</v>
      </c>
      <c r="AL544" s="100">
        <v>0.47</v>
      </c>
      <c r="AM544" s="100">
        <v>0.28999999999999998</v>
      </c>
      <c r="AN544" s="105">
        <v>0.23</v>
      </c>
      <c r="AO544" s="106">
        <v>1</v>
      </c>
      <c r="AP544" s="107">
        <v>0</v>
      </c>
      <c r="AQ544" s="94">
        <v>1</v>
      </c>
      <c r="AR544" s="108">
        <v>0</v>
      </c>
      <c r="AS544" s="110">
        <v>0.63</v>
      </c>
      <c r="AT544" s="108">
        <f t="shared" ref="AT544:AT549" si="140">1-AS544</f>
        <v>0.37</v>
      </c>
      <c r="AU544">
        <v>0</v>
      </c>
      <c r="AV544" s="107">
        <v>1</v>
      </c>
      <c r="AW544" s="110">
        <v>0.15</v>
      </c>
      <c r="AX544" s="108">
        <f t="shared" ref="AX544:AX549" si="141">1-AW544</f>
        <v>0.85</v>
      </c>
      <c r="AY544" s="107" t="s">
        <v>28</v>
      </c>
      <c r="AZ544">
        <v>0</v>
      </c>
      <c r="BA544">
        <v>1</v>
      </c>
      <c r="BB544">
        <v>0</v>
      </c>
      <c r="BC544">
        <v>0</v>
      </c>
      <c r="BD544">
        <v>0</v>
      </c>
      <c r="BE544">
        <v>0</v>
      </c>
      <c r="BF544" s="107">
        <v>0</v>
      </c>
      <c r="BG544">
        <v>0</v>
      </c>
      <c r="BH544">
        <v>1</v>
      </c>
      <c r="BI544" s="107">
        <v>0</v>
      </c>
      <c r="BJ544">
        <v>1025</v>
      </c>
      <c r="BK544">
        <v>689</v>
      </c>
      <c r="BL544" s="111">
        <f t="shared" ref="BL544:BL564" si="142">X544+W544+6</f>
        <v>29.22</v>
      </c>
      <c r="BM544" s="94">
        <v>1</v>
      </c>
      <c r="BN544" s="94">
        <v>0</v>
      </c>
      <c r="BO544" s="94">
        <v>0</v>
      </c>
      <c r="BP544" s="94">
        <v>0</v>
      </c>
      <c r="BQ544" s="94">
        <v>0</v>
      </c>
      <c r="BR544" s="94">
        <v>0</v>
      </c>
      <c r="BS544" s="94">
        <v>0</v>
      </c>
      <c r="BT544" s="107">
        <v>0</v>
      </c>
      <c r="BU544" s="94">
        <v>0</v>
      </c>
      <c r="BV544" s="94">
        <v>0</v>
      </c>
      <c r="BW544" s="94">
        <v>0</v>
      </c>
      <c r="BX544" s="107">
        <v>1</v>
      </c>
      <c r="BY544" s="94">
        <v>0</v>
      </c>
      <c r="BZ544" s="94">
        <v>0</v>
      </c>
      <c r="CA544" s="94">
        <v>0</v>
      </c>
      <c r="CB544" s="94">
        <v>0</v>
      </c>
      <c r="CC544" s="107">
        <v>0</v>
      </c>
      <c r="CD544" s="94">
        <v>0</v>
      </c>
      <c r="CE544" s="94">
        <v>0</v>
      </c>
      <c r="CF544" s="94">
        <v>1</v>
      </c>
      <c r="CG544" s="94">
        <v>1</v>
      </c>
      <c r="CH544" s="94">
        <v>0</v>
      </c>
      <c r="CI544" s="94">
        <v>0</v>
      </c>
      <c r="CJ544" s="94">
        <v>0</v>
      </c>
      <c r="CK544" s="94">
        <v>0</v>
      </c>
      <c r="CL544" s="94">
        <v>0</v>
      </c>
      <c r="CM544" s="94">
        <v>1</v>
      </c>
      <c r="CN544" s="107">
        <v>1</v>
      </c>
      <c r="CO544">
        <v>0.29799999999999999</v>
      </c>
      <c r="CP544">
        <v>72</v>
      </c>
      <c r="CQ544">
        <v>1</v>
      </c>
      <c r="CR544">
        <v>0</v>
      </c>
      <c r="CS544">
        <v>8</v>
      </c>
      <c r="CT544" s="109"/>
      <c r="CY544" s="109"/>
    </row>
    <row r="545" spans="1:103" x14ac:dyDescent="0.25">
      <c r="A545">
        <v>544</v>
      </c>
      <c r="B545">
        <v>36</v>
      </c>
      <c r="C545" s="25" t="s">
        <v>326</v>
      </c>
      <c r="D545" s="12">
        <v>10.3</v>
      </c>
      <c r="E545" s="14">
        <v>0.8</v>
      </c>
      <c r="F545" s="7">
        <f t="shared" si="139"/>
        <v>12.875</v>
      </c>
      <c r="G545" s="7">
        <f t="shared" si="125"/>
        <v>9.5</v>
      </c>
      <c r="H545" s="16">
        <f t="shared" si="126"/>
        <v>11.100000000000001</v>
      </c>
      <c r="I545" s="11">
        <f t="shared" si="129"/>
        <v>0.14568016832067471</v>
      </c>
      <c r="J545" s="33">
        <f t="shared" si="130"/>
        <v>1.1314964529761141E-2</v>
      </c>
      <c r="K545" s="33">
        <f t="shared" si="131"/>
        <v>88.378535997152611</v>
      </c>
      <c r="L545" s="8">
        <v>1</v>
      </c>
      <c r="M545" s="9">
        <v>0</v>
      </c>
      <c r="N545" s="8">
        <v>0</v>
      </c>
      <c r="O545" s="9">
        <v>0</v>
      </c>
      <c r="P545" s="9">
        <v>1</v>
      </c>
      <c r="Q545" s="9">
        <v>0</v>
      </c>
      <c r="R545" s="9">
        <v>0</v>
      </c>
      <c r="S545" s="8">
        <v>7655</v>
      </c>
      <c r="T545" s="9">
        <v>9</v>
      </c>
      <c r="U545" s="9">
        <f t="shared" si="127"/>
        <v>7645</v>
      </c>
      <c r="V545" s="9">
        <f t="shared" si="128"/>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40"/>
        <v>0.29000000000000004</v>
      </c>
      <c r="AU545">
        <v>0</v>
      </c>
      <c r="AV545" s="18">
        <v>1</v>
      </c>
      <c r="AW545" s="39">
        <v>0.25</v>
      </c>
      <c r="AX545" s="40">
        <f t="shared" si="141"/>
        <v>0.75</v>
      </c>
      <c r="AY545" s="18" t="s">
        <v>28</v>
      </c>
      <c r="AZ545">
        <v>0</v>
      </c>
      <c r="BA545">
        <v>1</v>
      </c>
      <c r="BB545">
        <v>0</v>
      </c>
      <c r="BC545">
        <v>0</v>
      </c>
      <c r="BD545">
        <v>0</v>
      </c>
      <c r="BE545">
        <v>0</v>
      </c>
      <c r="BF545" s="18">
        <v>0</v>
      </c>
      <c r="BG545">
        <v>0</v>
      </c>
      <c r="BH545">
        <v>1</v>
      </c>
      <c r="BI545" s="18">
        <v>0</v>
      </c>
      <c r="BJ545">
        <v>1946</v>
      </c>
      <c r="BK545">
        <v>427</v>
      </c>
      <c r="BL545" s="93">
        <f t="shared" si="142"/>
        <v>29.47</v>
      </c>
      <c r="BM545">
        <v>1</v>
      </c>
      <c r="BN545">
        <v>0</v>
      </c>
      <c r="BO545">
        <v>0</v>
      </c>
      <c r="BP545">
        <v>0</v>
      </c>
      <c r="BQ545">
        <v>0</v>
      </c>
      <c r="BR545">
        <v>0</v>
      </c>
      <c r="BS545">
        <v>0</v>
      </c>
      <c r="BT545" s="18">
        <v>0</v>
      </c>
      <c r="BU545">
        <v>0</v>
      </c>
      <c r="BV545">
        <v>0</v>
      </c>
      <c r="BW545">
        <v>0</v>
      </c>
      <c r="BX545" s="18">
        <v>1</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9"/>
        <v>25.75</v>
      </c>
      <c r="G546" s="7">
        <f t="shared" si="125"/>
        <v>9.9</v>
      </c>
      <c r="H546" s="16">
        <f t="shared" si="126"/>
        <v>10.700000000000001</v>
      </c>
      <c r="I546" s="11">
        <f t="shared" si="129"/>
        <v>0.30460976967849723</v>
      </c>
      <c r="J546" s="33">
        <f t="shared" si="130"/>
        <v>1.1829505618582415E-2</v>
      </c>
      <c r="K546" s="33">
        <f t="shared" si="131"/>
        <v>84.534386494491116</v>
      </c>
      <c r="L546" s="8">
        <v>1</v>
      </c>
      <c r="M546" s="9">
        <v>0</v>
      </c>
      <c r="N546" s="8">
        <v>0</v>
      </c>
      <c r="O546" s="9">
        <v>0</v>
      </c>
      <c r="P546" s="9">
        <v>1</v>
      </c>
      <c r="Q546" s="9">
        <v>0</v>
      </c>
      <c r="R546" s="9">
        <v>0</v>
      </c>
      <c r="S546" s="8">
        <v>6493</v>
      </c>
      <c r="T546" s="9">
        <v>9</v>
      </c>
      <c r="U546" s="9">
        <f t="shared" si="127"/>
        <v>6483</v>
      </c>
      <c r="V546" s="9">
        <f t="shared" si="128"/>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40"/>
        <v>0.31000000000000005</v>
      </c>
      <c r="AU546">
        <v>0</v>
      </c>
      <c r="AV546" s="18">
        <v>1</v>
      </c>
      <c r="AW546" s="39">
        <v>0.25</v>
      </c>
      <c r="AX546" s="40">
        <f t="shared" si="141"/>
        <v>0.75</v>
      </c>
      <c r="AY546" s="18" t="s">
        <v>28</v>
      </c>
      <c r="AZ546">
        <v>0</v>
      </c>
      <c r="BA546">
        <v>1</v>
      </c>
      <c r="BB546">
        <v>0</v>
      </c>
      <c r="BC546">
        <v>0</v>
      </c>
      <c r="BD546">
        <v>0</v>
      </c>
      <c r="BE546">
        <v>0</v>
      </c>
      <c r="BF546" s="18">
        <v>0</v>
      </c>
      <c r="BG546">
        <v>0</v>
      </c>
      <c r="BH546">
        <v>1</v>
      </c>
      <c r="BI546" s="18">
        <v>0</v>
      </c>
      <c r="BJ546">
        <v>1741</v>
      </c>
      <c r="BK546">
        <v>500</v>
      </c>
      <c r="BL546" s="93">
        <f t="shared" si="142"/>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9"/>
        <v>13.5</v>
      </c>
      <c r="G547" s="7">
        <f t="shared" si="125"/>
        <v>10</v>
      </c>
      <c r="H547" s="16">
        <f t="shared" si="126"/>
        <v>11.600000000000001</v>
      </c>
      <c r="I547" s="11">
        <f t="shared" si="129"/>
        <v>0.27960140146238877</v>
      </c>
      <c r="J547" s="33">
        <f t="shared" si="130"/>
        <v>2.071121492313991E-2</v>
      </c>
      <c r="K547" s="33">
        <f t="shared" si="131"/>
        <v>48.283019789569913</v>
      </c>
      <c r="L547" s="8">
        <v>1</v>
      </c>
      <c r="M547" s="9">
        <v>0</v>
      </c>
      <c r="N547" s="8">
        <v>0</v>
      </c>
      <c r="O547" s="9">
        <v>0</v>
      </c>
      <c r="P547" s="9">
        <v>1</v>
      </c>
      <c r="Q547" s="9">
        <v>0</v>
      </c>
      <c r="R547" s="9">
        <v>0</v>
      </c>
      <c r="S547" s="8">
        <v>2159</v>
      </c>
      <c r="T547" s="9">
        <v>9</v>
      </c>
      <c r="U547" s="9">
        <f t="shared" si="127"/>
        <v>2149</v>
      </c>
      <c r="V547" s="9">
        <f t="shared" si="128"/>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40"/>
        <v>0.36</v>
      </c>
      <c r="AU547">
        <v>0</v>
      </c>
      <c r="AV547" s="18">
        <v>1</v>
      </c>
      <c r="AW547" s="39">
        <v>0.12</v>
      </c>
      <c r="AX547" s="40">
        <f t="shared" si="141"/>
        <v>0.88</v>
      </c>
      <c r="AY547" s="18" t="s">
        <v>28</v>
      </c>
      <c r="AZ547">
        <v>0</v>
      </c>
      <c r="BA547">
        <v>1</v>
      </c>
      <c r="BB547">
        <v>0</v>
      </c>
      <c r="BC547">
        <v>0</v>
      </c>
      <c r="BD547">
        <v>0</v>
      </c>
      <c r="BE547">
        <v>0</v>
      </c>
      <c r="BF547" s="18">
        <v>0</v>
      </c>
      <c r="BG547">
        <v>0</v>
      </c>
      <c r="BH547">
        <v>1</v>
      </c>
      <c r="BI547" s="18">
        <v>0</v>
      </c>
      <c r="BJ547">
        <v>1025</v>
      </c>
      <c r="BK547">
        <v>689</v>
      </c>
      <c r="BL547" s="93">
        <f t="shared" si="142"/>
        <v>28.62</v>
      </c>
      <c r="BM547">
        <v>1</v>
      </c>
      <c r="BN547">
        <v>0</v>
      </c>
      <c r="BO547">
        <v>0</v>
      </c>
      <c r="BP547">
        <v>0</v>
      </c>
      <c r="BQ547">
        <v>0</v>
      </c>
      <c r="BR547">
        <v>0</v>
      </c>
      <c r="BS547">
        <v>0</v>
      </c>
      <c r="BT547" s="18">
        <v>0</v>
      </c>
      <c r="BU547">
        <v>0</v>
      </c>
      <c r="BV547">
        <v>0</v>
      </c>
      <c r="BW547">
        <v>0</v>
      </c>
      <c r="BX547" s="18">
        <v>1</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9"/>
        <v>25.75</v>
      </c>
      <c r="G548" s="7">
        <f t="shared" si="125"/>
        <v>9.9</v>
      </c>
      <c r="H548" s="16">
        <f t="shared" si="126"/>
        <v>10.700000000000001</v>
      </c>
      <c r="I548" s="11">
        <f t="shared" si="129"/>
        <v>0.30144160977152851</v>
      </c>
      <c r="J548" s="33">
        <f t="shared" si="130"/>
        <v>1.1706470282389457E-2</v>
      </c>
      <c r="K548" s="33">
        <f t="shared" si="131"/>
        <v>85.422845304988527</v>
      </c>
      <c r="L548" s="8">
        <v>1</v>
      </c>
      <c r="M548" s="9">
        <v>0</v>
      </c>
      <c r="N548" s="8">
        <v>0</v>
      </c>
      <c r="O548" s="9">
        <v>0</v>
      </c>
      <c r="P548" s="9">
        <v>1</v>
      </c>
      <c r="Q548" s="9">
        <v>0</v>
      </c>
      <c r="R548" s="9">
        <v>0</v>
      </c>
      <c r="S548" s="8">
        <v>6644</v>
      </c>
      <c r="T548" s="9">
        <v>9</v>
      </c>
      <c r="U548" s="9">
        <f t="shared" si="127"/>
        <v>6634</v>
      </c>
      <c r="V548" s="9">
        <f t="shared" si="128"/>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40"/>
        <v>0.31999999999999995</v>
      </c>
      <c r="AU548">
        <v>0</v>
      </c>
      <c r="AV548" s="18">
        <v>1</v>
      </c>
      <c r="AW548" s="39">
        <v>0.22</v>
      </c>
      <c r="AX548" s="40">
        <f t="shared" si="141"/>
        <v>0.78</v>
      </c>
      <c r="AY548" s="18" t="s">
        <v>28</v>
      </c>
      <c r="AZ548">
        <v>0</v>
      </c>
      <c r="BA548">
        <v>1</v>
      </c>
      <c r="BB548">
        <v>0</v>
      </c>
      <c r="BC548">
        <v>0</v>
      </c>
      <c r="BD548">
        <v>0</v>
      </c>
      <c r="BE548">
        <v>0</v>
      </c>
      <c r="BF548" s="18">
        <v>0</v>
      </c>
      <c r="BG548">
        <v>0</v>
      </c>
      <c r="BH548">
        <v>1</v>
      </c>
      <c r="BI548" s="18">
        <v>0</v>
      </c>
      <c r="BJ548">
        <v>1946</v>
      </c>
      <c r="BK548">
        <v>427</v>
      </c>
      <c r="BL548" s="93">
        <f t="shared" si="142"/>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9"/>
        <v>26.749999999999996</v>
      </c>
      <c r="G549" s="7">
        <f t="shared" si="125"/>
        <v>10.299999999999999</v>
      </c>
      <c r="H549" s="16">
        <f t="shared" si="126"/>
        <v>11.1</v>
      </c>
      <c r="I549" s="11">
        <f t="shared" si="129"/>
        <v>0.32404460614450042</v>
      </c>
      <c r="J549" s="33">
        <f t="shared" si="130"/>
        <v>1.2113817052130859E-2</v>
      </c>
      <c r="K549" s="33">
        <f t="shared" si="131"/>
        <v>82.550363415311509</v>
      </c>
      <c r="L549" s="8">
        <v>1</v>
      </c>
      <c r="M549" s="9">
        <v>0</v>
      </c>
      <c r="N549" s="8">
        <v>0</v>
      </c>
      <c r="O549" s="9">
        <v>0</v>
      </c>
      <c r="P549" s="9">
        <v>1</v>
      </c>
      <c r="Q549" s="9">
        <v>0</v>
      </c>
      <c r="R549" s="9">
        <v>0</v>
      </c>
      <c r="S549" s="8">
        <v>6109</v>
      </c>
      <c r="T549" s="9">
        <v>9</v>
      </c>
      <c r="U549" s="9">
        <f t="shared" si="127"/>
        <v>6099</v>
      </c>
      <c r="V549" s="9">
        <f t="shared" si="128"/>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40"/>
        <v>0.30000000000000004</v>
      </c>
      <c r="AU549">
        <v>0</v>
      </c>
      <c r="AV549" s="18">
        <v>1</v>
      </c>
      <c r="AW549" s="39">
        <v>0.23</v>
      </c>
      <c r="AX549" s="40">
        <f t="shared" si="141"/>
        <v>0.77</v>
      </c>
      <c r="AY549" s="18" t="s">
        <v>28</v>
      </c>
      <c r="AZ549">
        <v>0</v>
      </c>
      <c r="BA549">
        <v>1</v>
      </c>
      <c r="BB549">
        <v>0</v>
      </c>
      <c r="BC549">
        <v>0</v>
      </c>
      <c r="BD549">
        <v>0</v>
      </c>
      <c r="BE549">
        <v>0</v>
      </c>
      <c r="BF549" s="18">
        <v>0</v>
      </c>
      <c r="BG549">
        <v>0</v>
      </c>
      <c r="BH549">
        <v>1</v>
      </c>
      <c r="BI549" s="18">
        <v>0</v>
      </c>
      <c r="BJ549">
        <v>1741</v>
      </c>
      <c r="BK549">
        <v>500</v>
      </c>
      <c r="BL549" s="93">
        <f t="shared" si="142"/>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9"/>
        <v>26.749999999999996</v>
      </c>
      <c r="G550" s="98">
        <f t="shared" si="125"/>
        <v>10.299999999999999</v>
      </c>
      <c r="H550" s="99">
        <f t="shared" si="126"/>
        <v>11.1</v>
      </c>
      <c r="I550" s="11">
        <f t="shared" si="129"/>
        <v>0.2884097035040431</v>
      </c>
      <c r="J550" s="33">
        <f t="shared" si="130"/>
        <v>1.078167115902965E-2</v>
      </c>
      <c r="K550" s="33">
        <f t="shared" si="131"/>
        <v>92.75</v>
      </c>
      <c r="L550" s="101">
        <v>0</v>
      </c>
      <c r="M550" s="102">
        <v>1</v>
      </c>
      <c r="N550" s="101">
        <v>0</v>
      </c>
      <c r="O550" s="102">
        <v>0</v>
      </c>
      <c r="P550" s="102">
        <v>1</v>
      </c>
      <c r="Q550" s="102">
        <v>0</v>
      </c>
      <c r="R550" s="102">
        <v>0</v>
      </c>
      <c r="S550" s="101">
        <v>7892</v>
      </c>
      <c r="T550" s="102">
        <v>4</v>
      </c>
      <c r="U550" s="102">
        <f t="shared" si="127"/>
        <v>7887</v>
      </c>
      <c r="V550" s="102">
        <f t="shared" si="128"/>
        <v>15</v>
      </c>
      <c r="W550" s="98">
        <v>8.6</v>
      </c>
      <c r="X550" s="98">
        <v>22.2</v>
      </c>
      <c r="Y550" s="102">
        <v>1</v>
      </c>
      <c r="Z550" s="102">
        <v>0</v>
      </c>
      <c r="AA550" s="102">
        <v>1</v>
      </c>
      <c r="AB550" s="102">
        <v>0</v>
      </c>
      <c r="AC550" s="102">
        <v>0</v>
      </c>
      <c r="AD550" s="102">
        <v>0</v>
      </c>
      <c r="AE550" s="101">
        <v>0</v>
      </c>
      <c r="AF550" s="102">
        <v>1</v>
      </c>
      <c r="AG550" s="103">
        <v>0</v>
      </c>
      <c r="AH550" s="102">
        <v>0</v>
      </c>
      <c r="AI550" s="103">
        <v>1</v>
      </c>
      <c r="AJ550" s="104">
        <v>2004</v>
      </c>
      <c r="AK550" s="100">
        <v>3.4299999999999997E-2</v>
      </c>
      <c r="AL550" s="100">
        <v>0.37</v>
      </c>
      <c r="AM550" s="100">
        <v>0.47699999999999998</v>
      </c>
      <c r="AN550" s="105">
        <f t="shared" ref="AN550:AN564" si="143">1-SUM(AK550:AM550)</f>
        <v>0.11870000000000003</v>
      </c>
      <c r="AO550" s="106">
        <v>60.5</v>
      </c>
      <c r="AP550" s="107">
        <v>39.5</v>
      </c>
      <c r="AQ550" s="94">
        <v>1</v>
      </c>
      <c r="AR550" s="108">
        <v>0</v>
      </c>
      <c r="AS550" s="94" t="s">
        <v>98</v>
      </c>
      <c r="AT550" s="108" t="s">
        <v>98</v>
      </c>
      <c r="AU550">
        <v>0</v>
      </c>
      <c r="AV550" s="107">
        <v>1</v>
      </c>
      <c r="AW550" s="94" t="s">
        <v>98</v>
      </c>
      <c r="AX550" s="107" t="s">
        <v>98</v>
      </c>
      <c r="AY550" s="107" t="s">
        <v>13</v>
      </c>
      <c r="AZ550">
        <v>0</v>
      </c>
      <c r="BA550">
        <v>1</v>
      </c>
      <c r="BB550">
        <v>0</v>
      </c>
      <c r="BC550">
        <v>0</v>
      </c>
      <c r="BD550">
        <v>0</v>
      </c>
      <c r="BE550">
        <v>0</v>
      </c>
      <c r="BF550" s="107">
        <v>0</v>
      </c>
      <c r="BG550">
        <v>0</v>
      </c>
      <c r="BH550">
        <v>1</v>
      </c>
      <c r="BI550" s="107">
        <v>0</v>
      </c>
      <c r="BJ550">
        <v>1301</v>
      </c>
      <c r="BK550">
        <v>51</v>
      </c>
      <c r="BL550" s="95">
        <f t="shared" si="142"/>
        <v>36.799999999999997</v>
      </c>
      <c r="BM550" s="94">
        <v>1</v>
      </c>
      <c r="BN550" s="94">
        <v>0</v>
      </c>
      <c r="BO550" s="94">
        <v>0</v>
      </c>
      <c r="BP550" s="94">
        <v>0</v>
      </c>
      <c r="BQ550" s="94">
        <v>0</v>
      </c>
      <c r="BR550" s="94">
        <v>0</v>
      </c>
      <c r="BS550" s="94">
        <v>0</v>
      </c>
      <c r="BT550" s="107">
        <v>0</v>
      </c>
      <c r="BU550" s="94">
        <v>0</v>
      </c>
      <c r="BV550" s="94">
        <v>0</v>
      </c>
      <c r="BW550" s="94">
        <v>1</v>
      </c>
      <c r="BX550" s="107">
        <v>0</v>
      </c>
      <c r="BY550" s="94">
        <v>0</v>
      </c>
      <c r="BZ550" s="94">
        <v>0</v>
      </c>
      <c r="CA550" s="94">
        <v>0</v>
      </c>
      <c r="CB550" s="94">
        <v>0</v>
      </c>
      <c r="CC550" s="107">
        <v>0</v>
      </c>
      <c r="CD550" s="94">
        <v>0</v>
      </c>
      <c r="CE550" s="94">
        <v>0</v>
      </c>
      <c r="CF550" s="94">
        <v>1</v>
      </c>
      <c r="CG550" s="94">
        <v>1</v>
      </c>
      <c r="CH550" s="94">
        <v>0</v>
      </c>
      <c r="CI550" s="94">
        <v>0</v>
      </c>
      <c r="CJ550" s="94">
        <v>0</v>
      </c>
      <c r="CK550" s="94">
        <v>0</v>
      </c>
      <c r="CL550" s="94">
        <v>0</v>
      </c>
      <c r="CM550" s="94">
        <v>0</v>
      </c>
      <c r="CN550" s="107">
        <v>1</v>
      </c>
      <c r="CO550">
        <v>3.1E-2</v>
      </c>
      <c r="CP550">
        <v>46</v>
      </c>
      <c r="CQ550">
        <v>1</v>
      </c>
      <c r="CR550">
        <v>0</v>
      </c>
      <c r="CS550">
        <v>17</v>
      </c>
      <c r="CT550" s="109"/>
      <c r="CY550" s="109"/>
    </row>
    <row r="551" spans="1:103" x14ac:dyDescent="0.25">
      <c r="A551">
        <v>550</v>
      </c>
      <c r="B551">
        <v>37</v>
      </c>
      <c r="C551" s="25" t="s">
        <v>14</v>
      </c>
      <c r="D551" s="12">
        <v>5.7</v>
      </c>
      <c r="E551" s="14">
        <v>4.9000000000000004</v>
      </c>
      <c r="F551" s="7">
        <f t="shared" si="139"/>
        <v>1.1632653061224489</v>
      </c>
      <c r="G551" s="7">
        <f t="shared" si="125"/>
        <v>0.79999999999999982</v>
      </c>
      <c r="H551" s="16">
        <f t="shared" si="126"/>
        <v>10.600000000000001</v>
      </c>
      <c r="I551" s="11">
        <f t="shared" si="129"/>
        <v>1.3097415406194352E-2</v>
      </c>
      <c r="J551" s="33">
        <f t="shared" si="130"/>
        <v>1.1259181664974091E-2</v>
      </c>
      <c r="K551" s="33">
        <f t="shared" si="131"/>
        <v>88.816401560592553</v>
      </c>
      <c r="L551" s="8">
        <v>0</v>
      </c>
      <c r="M551" s="9">
        <v>1</v>
      </c>
      <c r="N551" s="8">
        <v>0</v>
      </c>
      <c r="O551" s="9">
        <v>0</v>
      </c>
      <c r="P551" s="9">
        <v>1</v>
      </c>
      <c r="Q551" s="9">
        <v>0</v>
      </c>
      <c r="R551" s="9">
        <v>0</v>
      </c>
      <c r="S551" s="8">
        <v>7892</v>
      </c>
      <c r="T551" s="9">
        <v>4</v>
      </c>
      <c r="U551" s="9">
        <f t="shared" si="127"/>
        <v>7887</v>
      </c>
      <c r="V551" s="9">
        <f t="shared" si="128"/>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3"/>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v>0</v>
      </c>
      <c r="BF551" s="18">
        <v>0</v>
      </c>
      <c r="BG551">
        <v>0</v>
      </c>
      <c r="BH551">
        <v>1</v>
      </c>
      <c r="BI551" s="18">
        <v>0</v>
      </c>
      <c r="BJ551">
        <v>1301</v>
      </c>
      <c r="BK551">
        <v>51</v>
      </c>
      <c r="BL551" s="25">
        <f t="shared" si="142"/>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9"/>
        <v>23.999999999999996</v>
      </c>
      <c r="G552" s="7">
        <f t="shared" si="125"/>
        <v>9.1999999999999993</v>
      </c>
      <c r="H552" s="16">
        <f t="shared" si="126"/>
        <v>10</v>
      </c>
      <c r="I552" s="11">
        <f t="shared" si="129"/>
        <v>0.26088497711976005</v>
      </c>
      <c r="J552" s="33">
        <f t="shared" si="130"/>
        <v>1.0870207379990005E-2</v>
      </c>
      <c r="K552" s="33">
        <f t="shared" si="131"/>
        <v>91.994565056855379</v>
      </c>
      <c r="L552" s="8">
        <v>0</v>
      </c>
      <c r="M552" s="9">
        <v>1</v>
      </c>
      <c r="N552" s="8">
        <v>0</v>
      </c>
      <c r="O552" s="9">
        <v>0</v>
      </c>
      <c r="P552" s="9">
        <v>1</v>
      </c>
      <c r="Q552" s="9">
        <v>0</v>
      </c>
      <c r="R552" s="9">
        <v>0</v>
      </c>
      <c r="S552" s="8">
        <v>7892</v>
      </c>
      <c r="T552" s="9">
        <v>4</v>
      </c>
      <c r="U552" s="9">
        <f t="shared" si="127"/>
        <v>7887</v>
      </c>
      <c r="V552" s="9">
        <f t="shared" si="128"/>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3"/>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v>0</v>
      </c>
      <c r="BF552" s="18">
        <v>0</v>
      </c>
      <c r="BG552">
        <v>0</v>
      </c>
      <c r="BH552">
        <v>1</v>
      </c>
      <c r="BI552" s="18">
        <v>0</v>
      </c>
      <c r="BJ552">
        <v>1301</v>
      </c>
      <c r="BK552">
        <v>51</v>
      </c>
      <c r="BL552" s="25">
        <f t="shared" si="142"/>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9"/>
        <v>17.285714285714285</v>
      </c>
      <c r="G553" s="7">
        <f t="shared" si="125"/>
        <v>11.4</v>
      </c>
      <c r="H553" s="16">
        <f t="shared" si="126"/>
        <v>12.799999999999999</v>
      </c>
      <c r="I553" s="11">
        <f t="shared" si="129"/>
        <v>0.19105432514279824</v>
      </c>
      <c r="J553" s="33">
        <f t="shared" si="130"/>
        <v>1.1052729553715602E-2</v>
      </c>
      <c r="K553" s="33">
        <f t="shared" si="131"/>
        <v>90.475388467623318</v>
      </c>
      <c r="L553" s="8">
        <v>0</v>
      </c>
      <c r="M553" s="9">
        <v>1</v>
      </c>
      <c r="N553" s="8">
        <v>0</v>
      </c>
      <c r="O553" s="9">
        <v>0</v>
      </c>
      <c r="P553" s="9">
        <v>1</v>
      </c>
      <c r="Q553" s="9">
        <v>0</v>
      </c>
      <c r="R553" s="9">
        <v>0</v>
      </c>
      <c r="S553" s="8">
        <v>7892</v>
      </c>
      <c r="T553" s="9">
        <v>4</v>
      </c>
      <c r="U553" s="9">
        <f t="shared" si="127"/>
        <v>7887</v>
      </c>
      <c r="V553" s="9">
        <f t="shared" si="128"/>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3"/>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v>0</v>
      </c>
      <c r="BF553" s="18">
        <v>0</v>
      </c>
      <c r="BG553">
        <v>0</v>
      </c>
      <c r="BH553">
        <v>1</v>
      </c>
      <c r="BI553" s="18">
        <v>0</v>
      </c>
      <c r="BJ553">
        <v>1301</v>
      </c>
      <c r="BK553">
        <v>51</v>
      </c>
      <c r="BL553" s="25">
        <f t="shared" si="142"/>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9"/>
        <v>28.75</v>
      </c>
      <c r="G554" s="7">
        <f t="shared" si="125"/>
        <v>11.1</v>
      </c>
      <c r="H554" s="16">
        <f t="shared" si="126"/>
        <v>11.9</v>
      </c>
      <c r="I554" s="11">
        <f t="shared" si="129"/>
        <v>0.30799238135248219</v>
      </c>
      <c r="J554" s="33">
        <f t="shared" si="130"/>
        <v>1.0712778481825468E-2</v>
      </c>
      <c r="K554" s="33">
        <f t="shared" si="131"/>
        <v>93.346464850041315</v>
      </c>
      <c r="L554" s="8">
        <v>0</v>
      </c>
      <c r="M554" s="9">
        <v>1</v>
      </c>
      <c r="N554" s="8">
        <v>0</v>
      </c>
      <c r="O554" s="9">
        <v>0</v>
      </c>
      <c r="P554" s="9">
        <v>1</v>
      </c>
      <c r="Q554" s="9">
        <v>0</v>
      </c>
      <c r="R554" s="9">
        <v>0</v>
      </c>
      <c r="S554" s="8">
        <v>7892</v>
      </c>
      <c r="T554" s="9">
        <v>4</v>
      </c>
      <c r="U554" s="9">
        <f t="shared" si="127"/>
        <v>7887</v>
      </c>
      <c r="V554" s="9">
        <f t="shared" si="128"/>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3"/>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v>0</v>
      </c>
      <c r="BF554" s="18">
        <v>0</v>
      </c>
      <c r="BG554">
        <v>0</v>
      </c>
      <c r="BH554">
        <v>1</v>
      </c>
      <c r="BI554" s="18">
        <v>0</v>
      </c>
      <c r="BJ554">
        <v>1301</v>
      </c>
      <c r="BK554">
        <v>51</v>
      </c>
      <c r="BL554" s="25">
        <f t="shared" si="142"/>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9"/>
        <v>40.333333333333336</v>
      </c>
      <c r="G555" s="7">
        <f t="shared" si="125"/>
        <v>11.799999999999999</v>
      </c>
      <c r="H555" s="16">
        <f t="shared" si="126"/>
        <v>12.4</v>
      </c>
      <c r="I555" s="11">
        <f t="shared" si="129"/>
        <v>0.4135115210077786</v>
      </c>
      <c r="J555" s="33">
        <f t="shared" si="130"/>
        <v>1.0252351760523436E-2</v>
      </c>
      <c r="K555" s="33">
        <f t="shared" si="131"/>
        <v>97.53859634922874</v>
      </c>
      <c r="L555" s="8">
        <v>0</v>
      </c>
      <c r="M555" s="9">
        <v>1</v>
      </c>
      <c r="N555" s="8">
        <v>0</v>
      </c>
      <c r="O555" s="9">
        <v>0</v>
      </c>
      <c r="P555" s="9">
        <v>1</v>
      </c>
      <c r="Q555" s="9">
        <v>0</v>
      </c>
      <c r="R555" s="9">
        <v>0</v>
      </c>
      <c r="S555" s="8">
        <v>7892</v>
      </c>
      <c r="T555" s="9">
        <v>4</v>
      </c>
      <c r="U555" s="9">
        <f t="shared" si="127"/>
        <v>7887</v>
      </c>
      <c r="V555" s="9">
        <f t="shared" si="128"/>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3"/>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v>0</v>
      </c>
      <c r="BF555" s="18">
        <v>0</v>
      </c>
      <c r="BG555">
        <v>0</v>
      </c>
      <c r="BH555">
        <v>1</v>
      </c>
      <c r="BI555" s="18">
        <v>0</v>
      </c>
      <c r="BJ555">
        <v>1301</v>
      </c>
      <c r="BK555">
        <v>51</v>
      </c>
      <c r="BL555" s="25">
        <f t="shared" si="142"/>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9"/>
        <v>38</v>
      </c>
      <c r="G556" s="7">
        <f t="shared" si="125"/>
        <v>11.1</v>
      </c>
      <c r="H556" s="16">
        <f t="shared" si="126"/>
        <v>11.700000000000001</v>
      </c>
      <c r="I556" s="11">
        <f t="shared" si="129"/>
        <v>0.39338654521701061</v>
      </c>
      <c r="J556" s="33">
        <f t="shared" si="130"/>
        <v>1.0352277505710807E-2</v>
      </c>
      <c r="K556" s="33">
        <f t="shared" si="131"/>
        <v>96.597101405787527</v>
      </c>
      <c r="L556" s="8">
        <v>0</v>
      </c>
      <c r="M556" s="9">
        <v>1</v>
      </c>
      <c r="N556" s="8">
        <v>0</v>
      </c>
      <c r="O556" s="9">
        <v>0</v>
      </c>
      <c r="P556" s="9">
        <v>1</v>
      </c>
      <c r="Q556" s="9">
        <v>0</v>
      </c>
      <c r="R556" s="9">
        <v>0</v>
      </c>
      <c r="S556" s="8">
        <v>7892</v>
      </c>
      <c r="T556" s="9">
        <v>4</v>
      </c>
      <c r="U556" s="9">
        <f t="shared" si="127"/>
        <v>7887</v>
      </c>
      <c r="V556" s="9">
        <f t="shared" si="128"/>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3"/>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v>0</v>
      </c>
      <c r="BF556" s="18">
        <v>0</v>
      </c>
      <c r="BG556">
        <v>0</v>
      </c>
      <c r="BH556">
        <v>1</v>
      </c>
      <c r="BI556" s="18">
        <v>0</v>
      </c>
      <c r="BJ556">
        <v>1301</v>
      </c>
      <c r="BK556">
        <v>51</v>
      </c>
      <c r="BL556" s="25">
        <f t="shared" si="142"/>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9"/>
        <v>19.2</v>
      </c>
      <c r="G557" s="7">
        <f t="shared" si="125"/>
        <v>9.1</v>
      </c>
      <c r="H557" s="16">
        <f t="shared" si="126"/>
        <v>10.1</v>
      </c>
      <c r="I557" s="11">
        <f t="shared" si="129"/>
        <v>0.21131282467937684</v>
      </c>
      <c r="J557" s="33">
        <f t="shared" si="130"/>
        <v>1.1005876285384211E-2</v>
      </c>
      <c r="K557" s="33">
        <f t="shared" si="131"/>
        <v>90.860552496669314</v>
      </c>
      <c r="L557" s="8">
        <v>0</v>
      </c>
      <c r="M557" s="9">
        <v>1</v>
      </c>
      <c r="N557" s="8">
        <v>0</v>
      </c>
      <c r="O557" s="9">
        <v>0</v>
      </c>
      <c r="P557" s="9">
        <v>1</v>
      </c>
      <c r="Q557" s="9">
        <v>0</v>
      </c>
      <c r="R557" s="9">
        <v>0</v>
      </c>
      <c r="S557" s="8">
        <v>7892</v>
      </c>
      <c r="T557" s="9">
        <v>4</v>
      </c>
      <c r="U557" s="9">
        <f t="shared" si="127"/>
        <v>7887</v>
      </c>
      <c r="V557" s="9">
        <f t="shared" si="128"/>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3"/>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v>0</v>
      </c>
      <c r="BF557" s="18">
        <v>0</v>
      </c>
      <c r="BG557">
        <v>0</v>
      </c>
      <c r="BH557">
        <v>1</v>
      </c>
      <c r="BI557" s="18">
        <v>0</v>
      </c>
      <c r="BJ557">
        <v>1301</v>
      </c>
      <c r="BK557">
        <v>51</v>
      </c>
      <c r="BL557" s="25">
        <f t="shared" si="142"/>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9"/>
        <v>31.25</v>
      </c>
      <c r="G558" s="7">
        <f t="shared" si="125"/>
        <v>12.1</v>
      </c>
      <c r="H558" s="16">
        <f t="shared" si="126"/>
        <v>12.9</v>
      </c>
      <c r="I558" s="11">
        <f t="shared" si="129"/>
        <v>0.33192951088238148</v>
      </c>
      <c r="J558" s="33">
        <f t="shared" si="130"/>
        <v>1.0621744348236208E-2</v>
      </c>
      <c r="K558" s="33">
        <f t="shared" si="131"/>
        <v>94.146494889613379</v>
      </c>
      <c r="L558" s="8">
        <v>0</v>
      </c>
      <c r="M558" s="9">
        <v>1</v>
      </c>
      <c r="N558" s="8">
        <v>0</v>
      </c>
      <c r="O558" s="9">
        <v>0</v>
      </c>
      <c r="P558" s="9">
        <v>1</v>
      </c>
      <c r="Q558" s="9">
        <v>0</v>
      </c>
      <c r="R558" s="9">
        <v>0</v>
      </c>
      <c r="S558" s="8">
        <v>7892</v>
      </c>
      <c r="T558" s="9">
        <v>4</v>
      </c>
      <c r="U558" s="9">
        <f t="shared" si="127"/>
        <v>7887</v>
      </c>
      <c r="V558" s="9">
        <f t="shared" si="128"/>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3"/>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v>0</v>
      </c>
      <c r="BF558" s="18">
        <v>0</v>
      </c>
      <c r="BG558">
        <v>0</v>
      </c>
      <c r="BH558">
        <v>1</v>
      </c>
      <c r="BI558" s="18">
        <v>0</v>
      </c>
      <c r="BJ558">
        <v>1410</v>
      </c>
      <c r="BK558">
        <v>79</v>
      </c>
      <c r="BL558" s="25">
        <f t="shared" si="142"/>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9"/>
        <v>6.1</v>
      </c>
      <c r="G559" s="7">
        <f t="shared" si="125"/>
        <v>5.0999999999999996</v>
      </c>
      <c r="H559" s="16">
        <f t="shared" si="126"/>
        <v>7.1</v>
      </c>
      <c r="I559" s="11">
        <f t="shared" si="129"/>
        <v>0.1290529211438062</v>
      </c>
      <c r="J559" s="33">
        <f t="shared" si="130"/>
        <v>2.1156216580951834E-2</v>
      </c>
      <c r="K559" s="33">
        <f t="shared" si="131"/>
        <v>47.267430647328403</v>
      </c>
      <c r="L559" s="8">
        <v>0</v>
      </c>
      <c r="M559" s="9">
        <v>1</v>
      </c>
      <c r="N559" s="8">
        <v>0</v>
      </c>
      <c r="O559" s="9">
        <v>0</v>
      </c>
      <c r="P559" s="9">
        <v>1</v>
      </c>
      <c r="Q559" s="9">
        <v>0</v>
      </c>
      <c r="R559" s="9">
        <v>0</v>
      </c>
      <c r="S559" s="8">
        <v>2202</v>
      </c>
      <c r="T559" s="9">
        <v>4</v>
      </c>
      <c r="U559" s="9">
        <f t="shared" si="127"/>
        <v>2197</v>
      </c>
      <c r="V559" s="9">
        <f t="shared" si="128"/>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3"/>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v>0</v>
      </c>
      <c r="BF559" s="18">
        <v>0</v>
      </c>
      <c r="BG559">
        <v>0</v>
      </c>
      <c r="BH559">
        <v>1</v>
      </c>
      <c r="BI559" s="18">
        <v>0</v>
      </c>
      <c r="BJ559">
        <v>1172</v>
      </c>
      <c r="BK559">
        <v>35</v>
      </c>
      <c r="BL559" s="25">
        <f t="shared" si="142"/>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9"/>
        <v>26</v>
      </c>
      <c r="G560" s="7">
        <f t="shared" si="125"/>
        <v>12.5</v>
      </c>
      <c r="H560" s="16">
        <f t="shared" si="126"/>
        <v>13.5</v>
      </c>
      <c r="I560" s="11">
        <f t="shared" si="129"/>
        <v>0.40839935366624441</v>
      </c>
      <c r="J560" s="33">
        <f t="shared" si="130"/>
        <v>1.5707667448701706E-2</v>
      </c>
      <c r="K560" s="33">
        <f t="shared" si="131"/>
        <v>63.663176169588027</v>
      </c>
      <c r="L560" s="8">
        <v>0</v>
      </c>
      <c r="M560" s="9">
        <v>1</v>
      </c>
      <c r="N560" s="8">
        <v>0</v>
      </c>
      <c r="O560" s="9">
        <v>0</v>
      </c>
      <c r="P560" s="9">
        <v>1</v>
      </c>
      <c r="Q560" s="9">
        <v>0</v>
      </c>
      <c r="R560" s="9">
        <v>0</v>
      </c>
      <c r="S560" s="8">
        <v>3382</v>
      </c>
      <c r="T560" s="9">
        <v>4</v>
      </c>
      <c r="U560" s="9">
        <f t="shared" si="127"/>
        <v>3377</v>
      </c>
      <c r="V560" s="9">
        <f t="shared" si="128"/>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3"/>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v>0</v>
      </c>
      <c r="BF560" s="18">
        <v>0</v>
      </c>
      <c r="BG560">
        <v>0</v>
      </c>
      <c r="BH560">
        <v>1</v>
      </c>
      <c r="BI560" s="18">
        <v>0</v>
      </c>
      <c r="BJ560">
        <v>1172</v>
      </c>
      <c r="BK560">
        <v>35</v>
      </c>
      <c r="BL560" s="25">
        <f t="shared" si="142"/>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9"/>
        <v>7.7500000000000009</v>
      </c>
      <c r="G561" s="7">
        <f t="shared" si="125"/>
        <v>8.1000000000000014</v>
      </c>
      <c r="H561" s="16">
        <f t="shared" si="126"/>
        <v>10.5</v>
      </c>
      <c r="I561" s="11">
        <f t="shared" si="129"/>
        <v>0.3500869861115416</v>
      </c>
      <c r="J561" s="33">
        <f t="shared" si="130"/>
        <v>4.5172514336973099E-2</v>
      </c>
      <c r="K561" s="33">
        <f t="shared" si="131"/>
        <v>22.137355307262879</v>
      </c>
      <c r="L561" s="8">
        <v>0</v>
      </c>
      <c r="M561" s="9">
        <v>1</v>
      </c>
      <c r="N561" s="8">
        <v>0</v>
      </c>
      <c r="O561" s="9">
        <v>0</v>
      </c>
      <c r="P561" s="9">
        <v>1</v>
      </c>
      <c r="Q561" s="9">
        <v>0</v>
      </c>
      <c r="R561" s="9">
        <v>0</v>
      </c>
      <c r="S561" s="8">
        <v>435</v>
      </c>
      <c r="T561" s="9">
        <v>4</v>
      </c>
      <c r="U561" s="9">
        <f t="shared" si="127"/>
        <v>430</v>
      </c>
      <c r="V561" s="9">
        <f t="shared" si="128"/>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3"/>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v>0</v>
      </c>
      <c r="BF561" s="18">
        <v>0</v>
      </c>
      <c r="BG561">
        <v>0</v>
      </c>
      <c r="BH561">
        <v>1</v>
      </c>
      <c r="BI561" s="18">
        <v>0</v>
      </c>
      <c r="BJ561">
        <v>1172</v>
      </c>
      <c r="BK561">
        <v>35</v>
      </c>
      <c r="BL561" s="25">
        <f t="shared" si="142"/>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9"/>
        <v>5.6000000000000005</v>
      </c>
      <c r="G562" s="7">
        <f t="shared" si="125"/>
        <v>6.9</v>
      </c>
      <c r="H562" s="16">
        <f t="shared" si="126"/>
        <v>9.9</v>
      </c>
      <c r="I562" s="11">
        <f t="shared" si="129"/>
        <v>0.26043413082715794</v>
      </c>
      <c r="J562" s="33">
        <f t="shared" si="130"/>
        <v>4.6506094790563918E-2</v>
      </c>
      <c r="K562" s="33">
        <f t="shared" si="131"/>
        <v>21.50255798736513</v>
      </c>
      <c r="L562" s="8">
        <v>0</v>
      </c>
      <c r="M562" s="9">
        <v>1</v>
      </c>
      <c r="N562" s="8">
        <v>0</v>
      </c>
      <c r="O562" s="9">
        <v>0</v>
      </c>
      <c r="P562" s="9">
        <v>1</v>
      </c>
      <c r="Q562" s="9">
        <v>0</v>
      </c>
      <c r="R562" s="9">
        <v>0</v>
      </c>
      <c r="S562" s="8">
        <v>436</v>
      </c>
      <c r="T562" s="9">
        <v>4</v>
      </c>
      <c r="U562" s="9">
        <f t="shared" si="127"/>
        <v>431</v>
      </c>
      <c r="V562" s="9">
        <f t="shared" si="128"/>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3"/>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v>0</v>
      </c>
      <c r="BF562" s="18">
        <v>0</v>
      </c>
      <c r="BG562">
        <v>0</v>
      </c>
      <c r="BH562">
        <v>1</v>
      </c>
      <c r="BI562" s="18">
        <v>0</v>
      </c>
      <c r="BJ562">
        <v>1410</v>
      </c>
      <c r="BK562">
        <v>79</v>
      </c>
      <c r="BL562" s="25">
        <f t="shared" si="142"/>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9"/>
        <v>13.999999999999998</v>
      </c>
      <c r="G563" s="7">
        <f t="shared" si="125"/>
        <v>10.399999999999999</v>
      </c>
      <c r="H563" s="16">
        <f t="shared" si="126"/>
        <v>12</v>
      </c>
      <c r="I563" s="11">
        <f t="shared" si="129"/>
        <v>0.49039861087284109</v>
      </c>
      <c r="J563" s="33">
        <f t="shared" si="130"/>
        <v>3.5028472205202943E-2</v>
      </c>
      <c r="K563" s="33">
        <f t="shared" si="131"/>
        <v>28.548204847240392</v>
      </c>
      <c r="L563" s="8">
        <v>0</v>
      </c>
      <c r="M563" s="9">
        <v>1</v>
      </c>
      <c r="N563" s="8">
        <v>0</v>
      </c>
      <c r="O563" s="9">
        <v>0</v>
      </c>
      <c r="P563" s="9">
        <v>1</v>
      </c>
      <c r="Q563" s="9">
        <v>0</v>
      </c>
      <c r="R563" s="9">
        <v>0</v>
      </c>
      <c r="S563" s="8">
        <v>624</v>
      </c>
      <c r="T563" s="9">
        <v>4</v>
      </c>
      <c r="U563" s="9">
        <f t="shared" si="127"/>
        <v>619</v>
      </c>
      <c r="V563" s="9">
        <f t="shared" si="128"/>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3"/>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v>0</v>
      </c>
      <c r="BF563" s="18">
        <v>0</v>
      </c>
      <c r="BG563">
        <v>0</v>
      </c>
      <c r="BH563">
        <v>1</v>
      </c>
      <c r="BI563" s="18">
        <v>0</v>
      </c>
      <c r="BJ563">
        <v>1172</v>
      </c>
      <c r="BK563">
        <v>35</v>
      </c>
      <c r="BL563" s="25">
        <f t="shared" si="142"/>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2" customFormat="1" x14ac:dyDescent="0.25">
      <c r="A564" s="142">
        <v>563</v>
      </c>
      <c r="B564" s="142">
        <v>37</v>
      </c>
      <c r="C564" s="143" t="s">
        <v>14</v>
      </c>
      <c r="D564" s="144">
        <v>5.8</v>
      </c>
      <c r="E564" s="145">
        <v>1.7</v>
      </c>
      <c r="F564" s="146">
        <f t="shared" si="139"/>
        <v>3.4117647058823528</v>
      </c>
      <c r="G564" s="146">
        <f t="shared" si="125"/>
        <v>4.0999999999999996</v>
      </c>
      <c r="H564" s="147">
        <f t="shared" si="126"/>
        <v>7.5</v>
      </c>
      <c r="I564" s="11">
        <f t="shared" si="129"/>
        <v>0.13840629564487972</v>
      </c>
      <c r="J564" s="33">
        <f t="shared" si="130"/>
        <v>4.056736251660268E-2</v>
      </c>
      <c r="K564" s="33">
        <f t="shared" si="131"/>
        <v>24.650357774448313</v>
      </c>
      <c r="L564" s="149">
        <v>0</v>
      </c>
      <c r="M564" s="150">
        <v>1</v>
      </c>
      <c r="N564" s="149">
        <v>0</v>
      </c>
      <c r="O564" s="150">
        <v>0</v>
      </c>
      <c r="P564" s="150">
        <v>1</v>
      </c>
      <c r="Q564" s="150">
        <v>0</v>
      </c>
      <c r="R564" s="150">
        <v>0</v>
      </c>
      <c r="S564" s="149">
        <v>601</v>
      </c>
      <c r="T564" s="150">
        <v>4</v>
      </c>
      <c r="U564" s="150">
        <f t="shared" si="127"/>
        <v>596</v>
      </c>
      <c r="V564" s="150">
        <f t="shared" si="128"/>
        <v>15</v>
      </c>
      <c r="W564" s="146">
        <v>8.6</v>
      </c>
      <c r="X564" s="146">
        <v>22.2</v>
      </c>
      <c r="Y564" s="150">
        <v>1</v>
      </c>
      <c r="Z564" s="150">
        <v>0</v>
      </c>
      <c r="AA564" s="150">
        <v>1</v>
      </c>
      <c r="AB564" s="150">
        <v>0</v>
      </c>
      <c r="AC564" s="150">
        <v>0</v>
      </c>
      <c r="AD564" s="150">
        <v>0</v>
      </c>
      <c r="AE564" s="149">
        <v>0</v>
      </c>
      <c r="AF564" s="150">
        <v>1</v>
      </c>
      <c r="AG564" s="151">
        <v>0</v>
      </c>
      <c r="AH564" s="150">
        <v>0</v>
      </c>
      <c r="AI564" s="151">
        <v>1</v>
      </c>
      <c r="AJ564" s="152">
        <v>2007</v>
      </c>
      <c r="AK564" s="148">
        <v>3.4299999999999997E-2</v>
      </c>
      <c r="AL564" s="148">
        <v>0.37</v>
      </c>
      <c r="AM564" s="148">
        <v>0.47699999999999998</v>
      </c>
      <c r="AN564" s="153">
        <f t="shared" si="143"/>
        <v>0.11870000000000003</v>
      </c>
      <c r="AO564" s="154">
        <v>60.5</v>
      </c>
      <c r="AP564" s="155">
        <v>39.5</v>
      </c>
      <c r="AQ564" s="142">
        <v>1</v>
      </c>
      <c r="AR564" s="156">
        <v>0</v>
      </c>
      <c r="AS564" s="142" t="s">
        <v>98</v>
      </c>
      <c r="AT564" s="156" t="s">
        <v>98</v>
      </c>
      <c r="AU564">
        <v>0</v>
      </c>
      <c r="AV564" s="155">
        <v>1</v>
      </c>
      <c r="AW564" s="142" t="s">
        <v>98</v>
      </c>
      <c r="AX564" s="142" t="s">
        <v>98</v>
      </c>
      <c r="AY564" s="142" t="s">
        <v>13</v>
      </c>
      <c r="AZ564">
        <v>0</v>
      </c>
      <c r="BA564">
        <v>1</v>
      </c>
      <c r="BB564">
        <v>0</v>
      </c>
      <c r="BC564">
        <v>0</v>
      </c>
      <c r="BD564">
        <v>0</v>
      </c>
      <c r="BE564">
        <v>0</v>
      </c>
      <c r="BF564" s="155">
        <v>0</v>
      </c>
      <c r="BG564">
        <v>0</v>
      </c>
      <c r="BH564">
        <v>1</v>
      </c>
      <c r="BI564" s="155">
        <v>0</v>
      </c>
      <c r="BJ564">
        <v>1410</v>
      </c>
      <c r="BK564">
        <v>79</v>
      </c>
      <c r="BL564" s="143">
        <f t="shared" si="142"/>
        <v>36.799999999999997</v>
      </c>
      <c r="BM564" s="142">
        <v>1</v>
      </c>
      <c r="BN564" s="142">
        <v>0</v>
      </c>
      <c r="BO564" s="142">
        <v>0</v>
      </c>
      <c r="BP564" s="142">
        <v>0</v>
      </c>
      <c r="BQ564" s="142">
        <v>0</v>
      </c>
      <c r="BR564" s="142">
        <v>0</v>
      </c>
      <c r="BS564" s="142">
        <v>0</v>
      </c>
      <c r="BT564" s="155">
        <v>0</v>
      </c>
      <c r="BU564" s="142">
        <v>0</v>
      </c>
      <c r="BV564" s="142">
        <v>0</v>
      </c>
      <c r="BW564" s="142">
        <v>1</v>
      </c>
      <c r="BX564" s="155">
        <v>0</v>
      </c>
      <c r="BY564" s="142">
        <v>0</v>
      </c>
      <c r="BZ564" s="142">
        <v>0</v>
      </c>
      <c r="CA564" s="142">
        <v>0</v>
      </c>
      <c r="CB564" s="142">
        <v>0</v>
      </c>
      <c r="CC564" s="155">
        <v>0</v>
      </c>
      <c r="CD564" s="142">
        <v>0</v>
      </c>
      <c r="CE564" s="142">
        <v>0</v>
      </c>
      <c r="CF564" s="142">
        <v>1</v>
      </c>
      <c r="CG564" s="142">
        <v>1</v>
      </c>
      <c r="CH564" s="142">
        <v>0</v>
      </c>
      <c r="CI564" s="142">
        <v>0</v>
      </c>
      <c r="CJ564" s="142">
        <v>0</v>
      </c>
      <c r="CK564" s="142">
        <v>0</v>
      </c>
      <c r="CL564" s="142">
        <v>0</v>
      </c>
      <c r="CM564" s="142">
        <v>0</v>
      </c>
      <c r="CN564" s="155">
        <v>1</v>
      </c>
      <c r="CO564">
        <v>3.1E-2</v>
      </c>
      <c r="CP564">
        <v>46</v>
      </c>
      <c r="CQ564">
        <v>1</v>
      </c>
      <c r="CR564" s="142">
        <v>0</v>
      </c>
      <c r="CS564" s="142">
        <v>17</v>
      </c>
      <c r="CT564" s="157"/>
      <c r="CY564" s="157"/>
    </row>
    <row r="565" spans="1:103" x14ac:dyDescent="0.25">
      <c r="A565">
        <v>564</v>
      </c>
      <c r="B565">
        <v>38</v>
      </c>
      <c r="C565" s="25" t="s">
        <v>328</v>
      </c>
      <c r="D565" s="12">
        <v>10.9</v>
      </c>
      <c r="E565" s="14">
        <v>0.2</v>
      </c>
      <c r="F565" s="7">
        <f t="shared" si="139"/>
        <v>54.5</v>
      </c>
      <c r="G565" s="7">
        <f t="shared" si="125"/>
        <v>10.700000000000001</v>
      </c>
      <c r="H565" s="16">
        <f t="shared" si="126"/>
        <v>11.1</v>
      </c>
      <c r="I565" s="11">
        <f t="shared" si="129"/>
        <v>0.47861830766356356</v>
      </c>
      <c r="J565" s="33">
        <f t="shared" si="130"/>
        <v>8.7819872965791499E-3</v>
      </c>
      <c r="K565" s="33">
        <f t="shared" si="131"/>
        <v>113.86944278426938</v>
      </c>
      <c r="L565" s="8">
        <v>0</v>
      </c>
      <c r="M565" s="9">
        <v>1</v>
      </c>
      <c r="N565" s="8">
        <v>0</v>
      </c>
      <c r="O565" s="9">
        <v>0</v>
      </c>
      <c r="P565" s="9">
        <v>0</v>
      </c>
      <c r="Q565" s="9">
        <v>1</v>
      </c>
      <c r="R565" s="9">
        <v>0</v>
      </c>
      <c r="S565" s="8">
        <v>10001</v>
      </c>
      <c r="T565" s="9">
        <v>4</v>
      </c>
      <c r="U565" s="9">
        <f t="shared" si="127"/>
        <v>9996</v>
      </c>
      <c r="V565" s="9">
        <f t="shared" si="128"/>
        <v>50</v>
      </c>
      <c r="W565" s="7">
        <f t="shared" ref="W565:W614" si="144">(AK565*0+AL565*6+AM565*11+14*AN565)</f>
        <v>9.4307999999999996</v>
      </c>
      <c r="X565" s="7">
        <f t="shared" ref="X565:X614" si="145">BL565-W565-6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6">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v>0</v>
      </c>
      <c r="BF565" s="18">
        <v>0</v>
      </c>
      <c r="BG565">
        <v>1</v>
      </c>
      <c r="BH565">
        <v>0</v>
      </c>
      <c r="BI565" s="18">
        <v>0</v>
      </c>
      <c r="BJ565">
        <v>25208</v>
      </c>
      <c r="BK565">
        <v>1486</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9"/>
        <v>54.5</v>
      </c>
      <c r="G566" s="7">
        <f t="shared" si="125"/>
        <v>10.700000000000001</v>
      </c>
      <c r="H566" s="16">
        <f t="shared" si="126"/>
        <v>11.1</v>
      </c>
      <c r="I566" s="11">
        <f t="shared" si="129"/>
        <v>0.4871657385763617</v>
      </c>
      <c r="J566" s="33">
        <f t="shared" si="130"/>
        <v>8.9388208913093892E-3</v>
      </c>
      <c r="K566" s="33">
        <f t="shared" si="131"/>
        <v>111.87157815995981</v>
      </c>
      <c r="L566" s="8">
        <v>0</v>
      </c>
      <c r="M566" s="9">
        <v>1</v>
      </c>
      <c r="N566" s="8">
        <v>0</v>
      </c>
      <c r="O566" s="9">
        <v>0</v>
      </c>
      <c r="P566" s="9">
        <v>0</v>
      </c>
      <c r="Q566" s="9">
        <v>1</v>
      </c>
      <c r="R566" s="9">
        <v>0</v>
      </c>
      <c r="S566" s="8">
        <v>9550</v>
      </c>
      <c r="T566" s="9">
        <v>4</v>
      </c>
      <c r="U566" s="9">
        <f t="shared" si="127"/>
        <v>9545</v>
      </c>
      <c r="V566" s="9">
        <f t="shared" si="128"/>
        <v>50</v>
      </c>
      <c r="W566" s="7">
        <f t="shared" si="144"/>
        <v>9.4307999999999996</v>
      </c>
      <c r="X566" s="7">
        <f t="shared" si="145"/>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6"/>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v>0</v>
      </c>
      <c r="BF566" s="18">
        <v>0</v>
      </c>
      <c r="BG566">
        <v>1</v>
      </c>
      <c r="BH566">
        <v>0</v>
      </c>
      <c r="BI566" s="18">
        <v>0</v>
      </c>
      <c r="BJ566">
        <v>25208</v>
      </c>
      <c r="BK566">
        <v>1486</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9"/>
        <v>51.5</v>
      </c>
      <c r="G567" s="7">
        <f t="shared" si="125"/>
        <v>10.100000000000001</v>
      </c>
      <c r="H567" s="16">
        <f t="shared" si="126"/>
        <v>10.5</v>
      </c>
      <c r="I567" s="11">
        <f t="shared" si="129"/>
        <v>0.457922526787234</v>
      </c>
      <c r="J567" s="33">
        <f t="shared" si="130"/>
        <v>8.8916995492666785E-3</v>
      </c>
      <c r="K567" s="33">
        <f t="shared" si="131"/>
        <v>112.46443882401229</v>
      </c>
      <c r="L567" s="8">
        <v>0</v>
      </c>
      <c r="M567" s="9">
        <v>1</v>
      </c>
      <c r="N567" s="8">
        <v>0</v>
      </c>
      <c r="O567" s="9">
        <v>0</v>
      </c>
      <c r="P567" s="9">
        <v>0</v>
      </c>
      <c r="Q567" s="9">
        <v>1</v>
      </c>
      <c r="R567" s="9">
        <v>0</v>
      </c>
      <c r="S567" s="8">
        <v>10001</v>
      </c>
      <c r="T567" s="9">
        <v>4</v>
      </c>
      <c r="U567" s="9">
        <f t="shared" si="127"/>
        <v>9996</v>
      </c>
      <c r="V567" s="9">
        <f t="shared" si="128"/>
        <v>50</v>
      </c>
      <c r="W567" s="7">
        <f t="shared" si="144"/>
        <v>9.4307999999999996</v>
      </c>
      <c r="X567" s="7">
        <f t="shared" si="145"/>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6"/>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v>0</v>
      </c>
      <c r="BF567" s="18">
        <v>0</v>
      </c>
      <c r="BG567">
        <v>1</v>
      </c>
      <c r="BH567">
        <v>0</v>
      </c>
      <c r="BI567" s="18">
        <v>0</v>
      </c>
      <c r="BJ567">
        <v>25208</v>
      </c>
      <c r="BK567">
        <v>1486</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9"/>
        <v>34</v>
      </c>
      <c r="G568" s="7">
        <f t="shared" si="125"/>
        <v>9.8999999999999986</v>
      </c>
      <c r="H568" s="16">
        <f t="shared" si="126"/>
        <v>10.5</v>
      </c>
      <c r="I568" s="11">
        <f t="shared" si="129"/>
        <v>0.32867504798725355</v>
      </c>
      <c r="J568" s="33">
        <f t="shared" si="130"/>
        <v>9.6669131760956928E-3</v>
      </c>
      <c r="K568" s="33">
        <f t="shared" si="131"/>
        <v>103.4456378974</v>
      </c>
      <c r="L568" s="8">
        <v>0</v>
      </c>
      <c r="M568" s="9">
        <v>1</v>
      </c>
      <c r="N568" s="8">
        <v>0</v>
      </c>
      <c r="O568" s="9">
        <v>0</v>
      </c>
      <c r="P568" s="9">
        <v>0</v>
      </c>
      <c r="Q568" s="9">
        <v>1</v>
      </c>
      <c r="R568" s="9">
        <v>0</v>
      </c>
      <c r="S568" s="8">
        <v>9550</v>
      </c>
      <c r="T568" s="9">
        <v>4</v>
      </c>
      <c r="U568" s="9">
        <f t="shared" si="127"/>
        <v>9545</v>
      </c>
      <c r="V568" s="9">
        <f t="shared" si="128"/>
        <v>50</v>
      </c>
      <c r="W568" s="7">
        <f t="shared" si="144"/>
        <v>9.4307999999999996</v>
      </c>
      <c r="X568" s="7">
        <f t="shared" si="145"/>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6"/>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v>0</v>
      </c>
      <c r="BF568" s="18">
        <v>0</v>
      </c>
      <c r="BG568">
        <v>1</v>
      </c>
      <c r="BH568">
        <v>0</v>
      </c>
      <c r="BI568" s="18">
        <v>0</v>
      </c>
      <c r="BJ568">
        <v>25208</v>
      </c>
      <c r="BK568">
        <v>1486</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9"/>
        <v>32.049999999999997</v>
      </c>
      <c r="G569" s="7">
        <f t="shared" si="125"/>
        <v>6.21</v>
      </c>
      <c r="H569" s="16">
        <f t="shared" si="126"/>
        <v>6.61</v>
      </c>
      <c r="I569" s="11">
        <f t="shared" si="129"/>
        <v>0.30538767488256086</v>
      </c>
      <c r="J569" s="33">
        <f t="shared" si="130"/>
        <v>9.5284765953997149E-3</v>
      </c>
      <c r="K569" s="33">
        <f t="shared" si="131"/>
        <v>104.94857073824302</v>
      </c>
      <c r="L569" s="8">
        <v>0</v>
      </c>
      <c r="M569" s="9">
        <v>1</v>
      </c>
      <c r="N569" s="8">
        <v>0</v>
      </c>
      <c r="O569" s="9">
        <v>0</v>
      </c>
      <c r="P569" s="9">
        <v>0</v>
      </c>
      <c r="Q569" s="9">
        <v>1</v>
      </c>
      <c r="R569" s="9">
        <v>0</v>
      </c>
      <c r="S569" s="8">
        <v>10001</v>
      </c>
      <c r="T569" s="9">
        <v>13</v>
      </c>
      <c r="U569" s="9">
        <f t="shared" si="127"/>
        <v>9987</v>
      </c>
      <c r="V569" s="9">
        <f t="shared" si="128"/>
        <v>50</v>
      </c>
      <c r="W569" s="7">
        <f t="shared" si="144"/>
        <v>9.4307999999999996</v>
      </c>
      <c r="X569" s="7">
        <f t="shared" si="145"/>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6"/>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v>0</v>
      </c>
      <c r="BF569" s="18">
        <v>0</v>
      </c>
      <c r="BG569">
        <v>1</v>
      </c>
      <c r="BH569">
        <v>0</v>
      </c>
      <c r="BI569" s="18">
        <v>0</v>
      </c>
      <c r="BJ569">
        <v>25208</v>
      </c>
      <c r="BK569">
        <v>1486</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9"/>
        <v>51.349999999999994</v>
      </c>
      <c r="G570" s="7">
        <f t="shared" si="125"/>
        <v>10.07</v>
      </c>
      <c r="H570" s="16">
        <f t="shared" si="126"/>
        <v>10.469999999999999</v>
      </c>
      <c r="I570" s="11">
        <f t="shared" si="129"/>
        <v>0.46541974434467898</v>
      </c>
      <c r="J570" s="33">
        <f t="shared" si="130"/>
        <v>9.0636756444922879E-3</v>
      </c>
      <c r="K570" s="33">
        <f t="shared" si="131"/>
        <v>110.3305148179777</v>
      </c>
      <c r="L570" s="8">
        <v>0</v>
      </c>
      <c r="M570" s="9">
        <v>1</v>
      </c>
      <c r="N570" s="8">
        <v>0</v>
      </c>
      <c r="O570" s="9">
        <v>0</v>
      </c>
      <c r="P570" s="9">
        <v>0</v>
      </c>
      <c r="Q570" s="9">
        <v>1</v>
      </c>
      <c r="R570" s="9">
        <v>0</v>
      </c>
      <c r="S570" s="8">
        <v>9550</v>
      </c>
      <c r="T570" s="9">
        <v>13</v>
      </c>
      <c r="U570" s="9">
        <f t="shared" si="127"/>
        <v>9536</v>
      </c>
      <c r="V570" s="9">
        <f t="shared" si="128"/>
        <v>50</v>
      </c>
      <c r="W570" s="7">
        <f t="shared" si="144"/>
        <v>9.4307999999999996</v>
      </c>
      <c r="X570" s="7">
        <f t="shared" si="145"/>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6"/>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v>0</v>
      </c>
      <c r="BF570" s="18">
        <v>0</v>
      </c>
      <c r="BG570">
        <v>1</v>
      </c>
      <c r="BH570">
        <v>0</v>
      </c>
      <c r="BI570" s="18">
        <v>0</v>
      </c>
      <c r="BJ570">
        <v>25208</v>
      </c>
      <c r="BK570">
        <v>1486</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9"/>
        <v>23.033333333333335</v>
      </c>
      <c r="G571" s="7">
        <f t="shared" si="125"/>
        <v>6.61</v>
      </c>
      <c r="H571" s="16">
        <f t="shared" si="126"/>
        <v>7.21</v>
      </c>
      <c r="I571" s="11">
        <f t="shared" si="129"/>
        <v>0.22459486425879843</v>
      </c>
      <c r="J571" s="33">
        <f t="shared" si="130"/>
        <v>9.7508624135513068E-3</v>
      </c>
      <c r="K571" s="33">
        <f t="shared" si="131"/>
        <v>102.55503129756454</v>
      </c>
      <c r="L571" s="8">
        <v>0</v>
      </c>
      <c r="M571" s="9">
        <v>1</v>
      </c>
      <c r="N571" s="8">
        <v>0</v>
      </c>
      <c r="O571" s="9">
        <v>0</v>
      </c>
      <c r="P571" s="9">
        <v>0</v>
      </c>
      <c r="Q571" s="9">
        <v>1</v>
      </c>
      <c r="R571" s="9">
        <v>0</v>
      </c>
      <c r="S571" s="8">
        <v>10001</v>
      </c>
      <c r="T571" s="9">
        <v>13</v>
      </c>
      <c r="U571" s="9">
        <f t="shared" si="127"/>
        <v>9987</v>
      </c>
      <c r="V571" s="9">
        <f t="shared" si="128"/>
        <v>50</v>
      </c>
      <c r="W571" s="7">
        <f t="shared" si="144"/>
        <v>9.4307999999999996</v>
      </c>
      <c r="X571" s="7">
        <f t="shared" si="145"/>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6"/>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v>0</v>
      </c>
      <c r="BF571" s="18">
        <v>0</v>
      </c>
      <c r="BG571">
        <v>1</v>
      </c>
      <c r="BH571">
        <v>0</v>
      </c>
      <c r="BI571" s="18">
        <v>0</v>
      </c>
      <c r="BJ571">
        <v>25208</v>
      </c>
      <c r="BK571">
        <v>1486</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9"/>
        <v>51.6</v>
      </c>
      <c r="G572" s="7">
        <f t="shared" si="125"/>
        <v>10.120000000000001</v>
      </c>
      <c r="H572" s="16">
        <f t="shared" si="126"/>
        <v>10.52</v>
      </c>
      <c r="I572" s="11">
        <f t="shared" si="129"/>
        <v>0.46719202238124941</v>
      </c>
      <c r="J572" s="33">
        <f t="shared" si="130"/>
        <v>9.0541089608769266E-3</v>
      </c>
      <c r="K572" s="33">
        <f t="shared" si="131"/>
        <v>110.44709140579484</v>
      </c>
      <c r="L572" s="8">
        <v>0</v>
      </c>
      <c r="M572" s="9">
        <v>1</v>
      </c>
      <c r="N572" s="8">
        <v>0</v>
      </c>
      <c r="O572" s="9">
        <v>0</v>
      </c>
      <c r="P572" s="9">
        <v>0</v>
      </c>
      <c r="Q572" s="9">
        <v>1</v>
      </c>
      <c r="R572" s="9">
        <v>0</v>
      </c>
      <c r="S572" s="8">
        <v>9550</v>
      </c>
      <c r="T572" s="9">
        <v>13</v>
      </c>
      <c r="U572" s="9">
        <f t="shared" si="127"/>
        <v>9536</v>
      </c>
      <c r="V572" s="9">
        <f t="shared" si="128"/>
        <v>50</v>
      </c>
      <c r="W572" s="7">
        <f t="shared" si="144"/>
        <v>9.4307999999999996</v>
      </c>
      <c r="X572" s="7">
        <f t="shared" si="145"/>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6"/>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v>0</v>
      </c>
      <c r="BF572" s="18">
        <v>0</v>
      </c>
      <c r="BG572">
        <v>1</v>
      </c>
      <c r="BH572">
        <v>0</v>
      </c>
      <c r="BI572" s="18">
        <v>0</v>
      </c>
      <c r="BJ572">
        <v>25208</v>
      </c>
      <c r="BK572">
        <v>1486</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9"/>
        <v>6.4249999999999989</v>
      </c>
      <c r="G573" s="7">
        <f t="shared" si="125"/>
        <v>4.34</v>
      </c>
      <c r="H573" s="16">
        <f t="shared" si="126"/>
        <v>5.9399999999999995</v>
      </c>
      <c r="I573" s="11">
        <f t="shared" si="129"/>
        <v>0.15383847057732292</v>
      </c>
      <c r="J573" s="33">
        <f t="shared" si="130"/>
        <v>2.3943730829155321E-2</v>
      </c>
      <c r="K573" s="33">
        <f t="shared" si="131"/>
        <v>41.76458577551081</v>
      </c>
      <c r="L573" s="8">
        <v>0</v>
      </c>
      <c r="M573" s="9">
        <v>1</v>
      </c>
      <c r="N573" s="8">
        <v>0</v>
      </c>
      <c r="O573" s="9">
        <v>0</v>
      </c>
      <c r="P573" s="9">
        <v>0</v>
      </c>
      <c r="Q573" s="9">
        <v>1</v>
      </c>
      <c r="R573" s="9">
        <v>0</v>
      </c>
      <c r="S573" s="8">
        <v>1717</v>
      </c>
      <c r="T573" s="9">
        <v>13</v>
      </c>
      <c r="U573" s="9">
        <f t="shared" si="127"/>
        <v>1703</v>
      </c>
      <c r="V573" s="9">
        <f t="shared" si="128"/>
        <v>50</v>
      </c>
      <c r="W573" s="7">
        <f t="shared" si="144"/>
        <v>9.4307999999999996</v>
      </c>
      <c r="X573" s="7">
        <f t="shared" si="145"/>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6"/>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v>0</v>
      </c>
      <c r="BF573" s="18">
        <v>0</v>
      </c>
      <c r="BG573">
        <v>1</v>
      </c>
      <c r="BH573">
        <v>0</v>
      </c>
      <c r="BI573" s="18">
        <v>0</v>
      </c>
      <c r="BJ573">
        <v>25208</v>
      </c>
      <c r="BK573">
        <v>1486</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9"/>
        <v>5.0866666666666669</v>
      </c>
      <c r="G574" s="7">
        <f t="shared" si="125"/>
        <v>6.13</v>
      </c>
      <c r="H574" s="16">
        <f t="shared" si="126"/>
        <v>9.129999999999999</v>
      </c>
      <c r="I574" s="11">
        <f t="shared" si="129"/>
        <v>0.21215187684075204</v>
      </c>
      <c r="J574" s="33">
        <f t="shared" si="130"/>
        <v>4.1707446298968283E-2</v>
      </c>
      <c r="K574" s="33">
        <f t="shared" si="131"/>
        <v>23.976533898330214</v>
      </c>
      <c r="L574" s="8">
        <v>0</v>
      </c>
      <c r="M574" s="9">
        <v>1</v>
      </c>
      <c r="N574" s="8">
        <v>0</v>
      </c>
      <c r="O574" s="9">
        <v>0</v>
      </c>
      <c r="P574" s="9">
        <v>0</v>
      </c>
      <c r="Q574" s="9">
        <v>1</v>
      </c>
      <c r="R574" s="9">
        <v>0</v>
      </c>
      <c r="S574" s="8">
        <v>563</v>
      </c>
      <c r="T574" s="9">
        <v>13</v>
      </c>
      <c r="U574" s="9">
        <f t="shared" si="127"/>
        <v>549</v>
      </c>
      <c r="V574" s="9">
        <f t="shared" si="128"/>
        <v>50</v>
      </c>
      <c r="W574" s="7">
        <f t="shared" si="144"/>
        <v>9.4307999999999996</v>
      </c>
      <c r="X574" s="7">
        <f t="shared" si="145"/>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6"/>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v>0</v>
      </c>
      <c r="BF574" s="18">
        <v>0</v>
      </c>
      <c r="BG574">
        <v>1</v>
      </c>
      <c r="BH574">
        <v>0</v>
      </c>
      <c r="BI574" s="18">
        <v>0</v>
      </c>
      <c r="BJ574">
        <v>25208</v>
      </c>
      <c r="BK574">
        <v>1486</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9"/>
        <v>2.5090909090909088</v>
      </c>
      <c r="G575" s="7">
        <f t="shared" si="125"/>
        <v>3.3199999999999994</v>
      </c>
      <c r="H575" s="16">
        <f t="shared" si="126"/>
        <v>7.72</v>
      </c>
      <c r="I575" s="11">
        <f t="shared" si="129"/>
        <v>6.0688697608351397E-2</v>
      </c>
      <c r="J575" s="33">
        <f t="shared" si="130"/>
        <v>2.4187524409125558E-2</v>
      </c>
      <c r="K575" s="33">
        <f t="shared" si="131"/>
        <v>41.34362752819451</v>
      </c>
      <c r="L575" s="8">
        <v>0</v>
      </c>
      <c r="M575" s="9">
        <v>1</v>
      </c>
      <c r="N575" s="8">
        <v>0</v>
      </c>
      <c r="O575" s="9">
        <v>0</v>
      </c>
      <c r="P575" s="9">
        <v>0</v>
      </c>
      <c r="Q575" s="9">
        <v>1</v>
      </c>
      <c r="R575" s="9">
        <v>0</v>
      </c>
      <c r="S575" s="8">
        <v>1717</v>
      </c>
      <c r="T575" s="9">
        <v>13</v>
      </c>
      <c r="U575" s="9">
        <f t="shared" si="127"/>
        <v>1703</v>
      </c>
      <c r="V575" s="9">
        <f t="shared" si="128"/>
        <v>50</v>
      </c>
      <c r="W575" s="7">
        <f t="shared" si="144"/>
        <v>9.4307999999999996</v>
      </c>
      <c r="X575" s="7">
        <f t="shared" si="145"/>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6"/>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v>0</v>
      </c>
      <c r="BF575" s="18">
        <v>0</v>
      </c>
      <c r="BG575">
        <v>1</v>
      </c>
      <c r="BH575">
        <v>0</v>
      </c>
      <c r="BI575" s="18">
        <v>0</v>
      </c>
      <c r="BJ575">
        <v>25208</v>
      </c>
      <c r="BK575">
        <v>1486</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9"/>
        <v>1.187878787878788</v>
      </c>
      <c r="G576" s="7">
        <f t="shared" si="125"/>
        <v>1.2400000000000002</v>
      </c>
      <c r="H576" s="16">
        <f t="shared" si="126"/>
        <v>14.44</v>
      </c>
      <c r="I576" s="11">
        <f t="shared" si="129"/>
        <v>5.0632404551922874E-2</v>
      </c>
      <c r="J576" s="33">
        <f t="shared" si="130"/>
        <v>4.2624218117690169E-2</v>
      </c>
      <c r="K576" s="33">
        <f t="shared" si="131"/>
        <v>23.460840905958431</v>
      </c>
      <c r="L576" s="8">
        <v>0</v>
      </c>
      <c r="M576" s="9">
        <v>1</v>
      </c>
      <c r="N576" s="8">
        <v>0</v>
      </c>
      <c r="O576" s="9">
        <v>0</v>
      </c>
      <c r="P576" s="9">
        <v>0</v>
      </c>
      <c r="Q576" s="9">
        <v>1</v>
      </c>
      <c r="R576" s="9">
        <v>0</v>
      </c>
      <c r="S576" s="8">
        <v>563</v>
      </c>
      <c r="T576" s="9">
        <v>13</v>
      </c>
      <c r="U576" s="9">
        <f t="shared" si="127"/>
        <v>549</v>
      </c>
      <c r="V576" s="9">
        <f t="shared" si="128"/>
        <v>50</v>
      </c>
      <c r="W576" s="7">
        <f t="shared" si="144"/>
        <v>9.4307999999999996</v>
      </c>
      <c r="X576" s="7">
        <f t="shared" si="145"/>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6"/>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v>0</v>
      </c>
      <c r="BF576" s="18">
        <v>0</v>
      </c>
      <c r="BG576">
        <v>1</v>
      </c>
      <c r="BH576">
        <v>0</v>
      </c>
      <c r="BI576" s="18">
        <v>0</v>
      </c>
      <c r="BJ576">
        <v>25208</v>
      </c>
      <c r="BK576">
        <v>1486</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9"/>
        <v>15.285714285714286</v>
      </c>
      <c r="G577" s="7">
        <f t="shared" si="125"/>
        <v>10</v>
      </c>
      <c r="H577" s="16">
        <f t="shared" si="126"/>
        <v>11.399999999999999</v>
      </c>
      <c r="I577" s="11">
        <f t="shared" si="129"/>
        <v>0.26231557764971181</v>
      </c>
      <c r="J577" s="33">
        <f t="shared" si="130"/>
        <v>1.7160832182691425E-2</v>
      </c>
      <c r="K577" s="33">
        <f t="shared" si="131"/>
        <v>58.272232334315888</v>
      </c>
      <c r="L577" s="8">
        <v>0</v>
      </c>
      <c r="M577" s="9">
        <v>1</v>
      </c>
      <c r="N577" s="8">
        <v>0</v>
      </c>
      <c r="O577" s="9">
        <v>0</v>
      </c>
      <c r="P577" s="9">
        <v>0</v>
      </c>
      <c r="Q577" s="9">
        <v>1</v>
      </c>
      <c r="R577" s="9">
        <v>0</v>
      </c>
      <c r="S577" s="8">
        <v>3169</v>
      </c>
      <c r="T577" s="9">
        <v>6</v>
      </c>
      <c r="U577" s="9">
        <f t="shared" si="127"/>
        <v>3162</v>
      </c>
      <c r="V577" s="9">
        <f t="shared" si="128"/>
        <v>50</v>
      </c>
      <c r="W577" s="7">
        <f t="shared" si="144"/>
        <v>9.4307999999999996</v>
      </c>
      <c r="X577" s="7">
        <f t="shared" si="145"/>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6"/>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v>0</v>
      </c>
      <c r="BF577" s="18">
        <v>0</v>
      </c>
      <c r="BG577">
        <v>1</v>
      </c>
      <c r="BH577">
        <v>0</v>
      </c>
      <c r="BI577" s="18">
        <v>0</v>
      </c>
      <c r="BJ577">
        <v>25208</v>
      </c>
      <c r="BK577">
        <v>1486</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9"/>
        <v>10.166666666666666</v>
      </c>
      <c r="G578" s="7">
        <f t="shared" ref="G578:G641" si="147">D578-E578</f>
        <v>5.5</v>
      </c>
      <c r="H578" s="16">
        <f t="shared" ref="H578:H641" si="148">D578+E578</f>
        <v>6.6999999999999993</v>
      </c>
      <c r="I578" s="11">
        <f t="shared" si="129"/>
        <v>0.22306045616761169</v>
      </c>
      <c r="J578" s="33">
        <f t="shared" si="130"/>
        <v>2.1940372737797871E-2</v>
      </c>
      <c r="K578" s="33">
        <f t="shared" si="131"/>
        <v>45.578077088783715</v>
      </c>
      <c r="L578" s="8">
        <v>0</v>
      </c>
      <c r="M578" s="9">
        <v>1</v>
      </c>
      <c r="N578" s="8">
        <v>0</v>
      </c>
      <c r="O578" s="9">
        <v>0</v>
      </c>
      <c r="P578" s="9">
        <v>0</v>
      </c>
      <c r="Q578" s="9">
        <v>1</v>
      </c>
      <c r="R578" s="9">
        <v>0</v>
      </c>
      <c r="S578" s="8">
        <v>1981</v>
      </c>
      <c r="T578" s="9">
        <v>6</v>
      </c>
      <c r="U578" s="9">
        <f t="shared" ref="U578:U641" si="149">S578-T578-1</f>
        <v>1974</v>
      </c>
      <c r="V578" s="9">
        <f t="shared" ref="V578:V641" si="150">COUNTIF(B:B,B578)</f>
        <v>50</v>
      </c>
      <c r="W578" s="7">
        <f t="shared" si="144"/>
        <v>9.4307999999999996</v>
      </c>
      <c r="X578" s="7">
        <f t="shared" si="145"/>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6"/>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v>0</v>
      </c>
      <c r="BF578" s="18">
        <v>0</v>
      </c>
      <c r="BG578">
        <v>1</v>
      </c>
      <c r="BH578">
        <v>0</v>
      </c>
      <c r="BI578" s="18">
        <v>0</v>
      </c>
      <c r="BJ578">
        <v>25208</v>
      </c>
      <c r="BK578">
        <v>1486</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9"/>
        <v>15.285714285714286</v>
      </c>
      <c r="G579" s="7">
        <f t="shared" si="147"/>
        <v>10</v>
      </c>
      <c r="H579" s="16">
        <f t="shared" si="148"/>
        <v>11.399999999999999</v>
      </c>
      <c r="I579" s="11">
        <f t="shared" si="129"/>
        <v>0.26231557764971181</v>
      </c>
      <c r="J579" s="33">
        <f t="shared" si="130"/>
        <v>1.7160832182691425E-2</v>
      </c>
      <c r="K579" s="33">
        <f t="shared" si="131"/>
        <v>58.272232334315888</v>
      </c>
      <c r="L579" s="8">
        <v>0</v>
      </c>
      <c r="M579" s="9">
        <v>1</v>
      </c>
      <c r="N579" s="8">
        <v>0</v>
      </c>
      <c r="O579" s="9">
        <v>0</v>
      </c>
      <c r="P579" s="9">
        <v>0</v>
      </c>
      <c r="Q579" s="9">
        <v>1</v>
      </c>
      <c r="R579" s="9">
        <v>0</v>
      </c>
      <c r="S579" s="8">
        <v>3169</v>
      </c>
      <c r="T579" s="9">
        <v>6</v>
      </c>
      <c r="U579" s="9">
        <f t="shared" si="149"/>
        <v>3162</v>
      </c>
      <c r="V579" s="9">
        <f t="shared" si="150"/>
        <v>50</v>
      </c>
      <c r="W579" s="7">
        <f t="shared" si="144"/>
        <v>9.4307999999999996</v>
      </c>
      <c r="X579" s="7">
        <f t="shared" si="145"/>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6"/>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v>0</v>
      </c>
      <c r="BF579" s="18">
        <v>0</v>
      </c>
      <c r="BG579">
        <v>1</v>
      </c>
      <c r="BH579">
        <v>0</v>
      </c>
      <c r="BI579" s="18">
        <v>0</v>
      </c>
      <c r="BJ579">
        <v>25208</v>
      </c>
      <c r="BK579">
        <v>1486</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9"/>
        <v>10.166666666666666</v>
      </c>
      <c r="G580" s="7">
        <f t="shared" si="147"/>
        <v>5.5</v>
      </c>
      <c r="H580" s="16">
        <f t="shared" si="148"/>
        <v>6.6999999999999993</v>
      </c>
      <c r="I580" s="11">
        <f t="shared" si="129"/>
        <v>0.22306045616761169</v>
      </c>
      <c r="J580" s="33">
        <f t="shared" si="130"/>
        <v>2.1940372737797871E-2</v>
      </c>
      <c r="K580" s="33">
        <f t="shared" si="131"/>
        <v>45.578077088783715</v>
      </c>
      <c r="L580" s="8">
        <v>0</v>
      </c>
      <c r="M580" s="9">
        <v>1</v>
      </c>
      <c r="N580" s="8">
        <v>0</v>
      </c>
      <c r="O580" s="9">
        <v>0</v>
      </c>
      <c r="P580" s="9">
        <v>0</v>
      </c>
      <c r="Q580" s="9">
        <v>1</v>
      </c>
      <c r="R580" s="9">
        <v>0</v>
      </c>
      <c r="S580" s="8">
        <v>1981</v>
      </c>
      <c r="T580" s="9">
        <v>6</v>
      </c>
      <c r="U580" s="9">
        <f t="shared" si="149"/>
        <v>1974</v>
      </c>
      <c r="V580" s="9">
        <f t="shared" si="150"/>
        <v>50</v>
      </c>
      <c r="W580" s="7">
        <f t="shared" si="144"/>
        <v>9.4307999999999996</v>
      </c>
      <c r="X580" s="7">
        <f t="shared" si="145"/>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6"/>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v>0</v>
      </c>
      <c r="BF580" s="18">
        <v>0</v>
      </c>
      <c r="BG580">
        <v>1</v>
      </c>
      <c r="BH580">
        <v>0</v>
      </c>
      <c r="BI580" s="18">
        <v>0</v>
      </c>
      <c r="BJ580">
        <v>25208</v>
      </c>
      <c r="BK580">
        <v>1486</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9"/>
        <v>15.285714285714286</v>
      </c>
      <c r="G581" s="7">
        <f t="shared" si="147"/>
        <v>10</v>
      </c>
      <c r="H581" s="16">
        <f t="shared" si="148"/>
        <v>11.399999999999999</v>
      </c>
      <c r="I581" s="11">
        <f t="shared" si="129"/>
        <v>0.26231557764971181</v>
      </c>
      <c r="J581" s="33">
        <f t="shared" si="130"/>
        <v>1.7160832182691425E-2</v>
      </c>
      <c r="K581" s="33">
        <f t="shared" si="131"/>
        <v>58.272232334315888</v>
      </c>
      <c r="L581" s="8">
        <v>0</v>
      </c>
      <c r="M581" s="9">
        <v>1</v>
      </c>
      <c r="N581" s="8">
        <v>0</v>
      </c>
      <c r="O581" s="9">
        <v>0</v>
      </c>
      <c r="P581" s="9">
        <v>0</v>
      </c>
      <c r="Q581" s="9">
        <v>1</v>
      </c>
      <c r="R581" s="9">
        <v>0</v>
      </c>
      <c r="S581" s="8">
        <v>3169</v>
      </c>
      <c r="T581" s="9">
        <v>6</v>
      </c>
      <c r="U581" s="9">
        <f t="shared" si="149"/>
        <v>3162</v>
      </c>
      <c r="V581" s="9">
        <f t="shared" si="150"/>
        <v>50</v>
      </c>
      <c r="W581" s="7">
        <f t="shared" si="144"/>
        <v>9.4307999999999996</v>
      </c>
      <c r="X581" s="7">
        <f t="shared" si="145"/>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6"/>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v>0</v>
      </c>
      <c r="BF581" s="18">
        <v>0</v>
      </c>
      <c r="BG581">
        <v>1</v>
      </c>
      <c r="BH581">
        <v>0</v>
      </c>
      <c r="BI581" s="18">
        <v>0</v>
      </c>
      <c r="BJ581">
        <v>25208</v>
      </c>
      <c r="BK581">
        <v>1486</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9"/>
        <v>10.166666666666666</v>
      </c>
      <c r="G582" s="7">
        <f t="shared" si="147"/>
        <v>5.5</v>
      </c>
      <c r="H582" s="16">
        <f t="shared" si="148"/>
        <v>6.6999999999999993</v>
      </c>
      <c r="I582" s="11">
        <f t="shared" si="129"/>
        <v>0.22306045616761169</v>
      </c>
      <c r="J582" s="33">
        <f t="shared" si="130"/>
        <v>2.1940372737797871E-2</v>
      </c>
      <c r="K582" s="33">
        <f t="shared" si="131"/>
        <v>45.578077088783715</v>
      </c>
      <c r="L582" s="8">
        <v>0</v>
      </c>
      <c r="M582" s="9">
        <v>1</v>
      </c>
      <c r="N582" s="8">
        <v>0</v>
      </c>
      <c r="O582" s="9">
        <v>0</v>
      </c>
      <c r="P582" s="9">
        <v>0</v>
      </c>
      <c r="Q582" s="9">
        <v>1</v>
      </c>
      <c r="R582" s="9">
        <v>0</v>
      </c>
      <c r="S582" s="8">
        <v>1981</v>
      </c>
      <c r="T582" s="9">
        <v>6</v>
      </c>
      <c r="U582" s="9">
        <f t="shared" si="149"/>
        <v>1974</v>
      </c>
      <c r="V582" s="9">
        <f t="shared" si="150"/>
        <v>50</v>
      </c>
      <c r="W582" s="7">
        <f t="shared" si="144"/>
        <v>9.4307999999999996</v>
      </c>
      <c r="X582" s="7">
        <f t="shared" si="145"/>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6"/>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v>0</v>
      </c>
      <c r="BF582" s="18">
        <v>0</v>
      </c>
      <c r="BG582">
        <v>1</v>
      </c>
      <c r="BH582">
        <v>0</v>
      </c>
      <c r="BI582" s="18">
        <v>0</v>
      </c>
      <c r="BJ582">
        <v>25208</v>
      </c>
      <c r="BK582">
        <v>1486</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9"/>
        <v>7.5714285714285721</v>
      </c>
      <c r="G583" s="7">
        <f t="shared" si="147"/>
        <v>9.1999999999999993</v>
      </c>
      <c r="H583" s="16">
        <f t="shared" si="148"/>
        <v>12</v>
      </c>
      <c r="I583" s="11">
        <f t="shared" si="129"/>
        <v>0.13344285198072434</v>
      </c>
      <c r="J583" s="33">
        <f t="shared" si="130"/>
        <v>1.7624527620095667E-2</v>
      </c>
      <c r="K583" s="33">
        <f t="shared" si="131"/>
        <v>56.739109356882267</v>
      </c>
      <c r="L583" s="8">
        <v>0</v>
      </c>
      <c r="M583" s="9">
        <v>1</v>
      </c>
      <c r="N583" s="8">
        <v>0</v>
      </c>
      <c r="O583" s="9">
        <v>0</v>
      </c>
      <c r="P583" s="9">
        <v>0</v>
      </c>
      <c r="Q583" s="9">
        <v>1</v>
      </c>
      <c r="R583" s="9">
        <v>0</v>
      </c>
      <c r="S583" s="8">
        <v>3169</v>
      </c>
      <c r="T583" s="9">
        <v>6</v>
      </c>
      <c r="U583" s="9">
        <f t="shared" si="149"/>
        <v>3162</v>
      </c>
      <c r="V583" s="9">
        <f t="shared" si="150"/>
        <v>50</v>
      </c>
      <c r="W583" s="7">
        <f t="shared" si="144"/>
        <v>9.4307999999999996</v>
      </c>
      <c r="X583" s="7">
        <f t="shared" si="145"/>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6"/>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v>0</v>
      </c>
      <c r="BF583" s="18">
        <v>0</v>
      </c>
      <c r="BG583">
        <v>1</v>
      </c>
      <c r="BH583">
        <v>0</v>
      </c>
      <c r="BI583" s="18">
        <v>0</v>
      </c>
      <c r="BJ583">
        <v>25208</v>
      </c>
      <c r="BK583">
        <v>1486</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9"/>
        <v>9.8888888888888893</v>
      </c>
      <c r="G584" s="7">
        <f t="shared" si="147"/>
        <v>8</v>
      </c>
      <c r="H584" s="16">
        <f t="shared" si="148"/>
        <v>9.8000000000000007</v>
      </c>
      <c r="I584" s="11">
        <f t="shared" ref="I584:I647" si="151">IFERROR(F584/SQRT(F584^2+U584), "X")</f>
        <v>0.21725742008147989</v>
      </c>
      <c r="J584" s="33">
        <f t="shared" ref="J584:J647" si="152">IFERROR(SQRT((1-I584^2)/U584), "X")</f>
        <v>2.1969851468913698E-2</v>
      </c>
      <c r="K584" s="33">
        <f t="shared" ref="K584:K647" si="153">IFERROR(1/J584, "X")</f>
        <v>45.516921287108055</v>
      </c>
      <c r="L584" s="8">
        <v>0</v>
      </c>
      <c r="M584" s="9">
        <v>1</v>
      </c>
      <c r="N584" s="8">
        <v>0</v>
      </c>
      <c r="O584" s="9">
        <v>0</v>
      </c>
      <c r="P584" s="9">
        <v>0</v>
      </c>
      <c r="Q584" s="9">
        <v>1</v>
      </c>
      <c r="R584" s="9">
        <v>0</v>
      </c>
      <c r="S584" s="8">
        <v>1981</v>
      </c>
      <c r="T584" s="9">
        <v>6</v>
      </c>
      <c r="U584" s="9">
        <f t="shared" si="149"/>
        <v>1974</v>
      </c>
      <c r="V584" s="9">
        <f t="shared" si="150"/>
        <v>50</v>
      </c>
      <c r="W584" s="7">
        <f t="shared" si="144"/>
        <v>9.4307999999999996</v>
      </c>
      <c r="X584" s="7">
        <f t="shared" si="145"/>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6"/>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v>0</v>
      </c>
      <c r="BF584" s="18">
        <v>0</v>
      </c>
      <c r="BG584">
        <v>1</v>
      </c>
      <c r="BH584">
        <v>0</v>
      </c>
      <c r="BI584" s="18">
        <v>0</v>
      </c>
      <c r="BJ584">
        <v>25208</v>
      </c>
      <c r="BK584">
        <v>1486</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9"/>
        <v>12.5</v>
      </c>
      <c r="G585" s="7">
        <f t="shared" si="147"/>
        <v>9.1999999999999993</v>
      </c>
      <c r="H585" s="16">
        <f t="shared" si="148"/>
        <v>10.8</v>
      </c>
      <c r="I585" s="11">
        <f t="shared" si="151"/>
        <v>0.21699786527230083</v>
      </c>
      <c r="J585" s="33">
        <f t="shared" si="152"/>
        <v>1.7359829221784067E-2</v>
      </c>
      <c r="K585" s="33">
        <f t="shared" si="153"/>
        <v>57.604253315184984</v>
      </c>
      <c r="L585" s="8">
        <v>0</v>
      </c>
      <c r="M585" s="9">
        <v>1</v>
      </c>
      <c r="N585" s="8">
        <v>0</v>
      </c>
      <c r="O585" s="9">
        <v>0</v>
      </c>
      <c r="P585" s="9">
        <v>0</v>
      </c>
      <c r="Q585" s="9">
        <v>1</v>
      </c>
      <c r="R585" s="9">
        <v>0</v>
      </c>
      <c r="S585" s="8">
        <v>3169</v>
      </c>
      <c r="T585" s="9">
        <v>6</v>
      </c>
      <c r="U585" s="9">
        <f t="shared" si="149"/>
        <v>3162</v>
      </c>
      <c r="V585" s="9">
        <f t="shared" si="150"/>
        <v>50</v>
      </c>
      <c r="W585" s="7">
        <f t="shared" si="144"/>
        <v>9.4307999999999996</v>
      </c>
      <c r="X585" s="7">
        <f t="shared" si="145"/>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6"/>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v>0</v>
      </c>
      <c r="BF585" s="18">
        <v>0</v>
      </c>
      <c r="BG585">
        <v>1</v>
      </c>
      <c r="BH585">
        <v>0</v>
      </c>
      <c r="BI585" s="18">
        <v>0</v>
      </c>
      <c r="BJ585">
        <v>25208</v>
      </c>
      <c r="BK585">
        <v>1486</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9"/>
        <v>8.5</v>
      </c>
      <c r="G586" s="7">
        <f t="shared" si="147"/>
        <v>4.5</v>
      </c>
      <c r="H586" s="16">
        <f t="shared" si="148"/>
        <v>5.6999999999999993</v>
      </c>
      <c r="I586" s="11">
        <f t="shared" si="151"/>
        <v>0.18790553781709984</v>
      </c>
      <c r="J586" s="33">
        <f t="shared" si="152"/>
        <v>2.2106533860835276E-2</v>
      </c>
      <c r="K586" s="33">
        <f t="shared" si="153"/>
        <v>45.235494912734183</v>
      </c>
      <c r="L586" s="8">
        <v>0</v>
      </c>
      <c r="M586" s="9">
        <v>1</v>
      </c>
      <c r="N586" s="8">
        <v>0</v>
      </c>
      <c r="O586" s="9">
        <v>0</v>
      </c>
      <c r="P586" s="9">
        <v>0</v>
      </c>
      <c r="Q586" s="9">
        <v>1</v>
      </c>
      <c r="R586" s="9">
        <v>0</v>
      </c>
      <c r="S586" s="8">
        <v>1981</v>
      </c>
      <c r="T586" s="9">
        <v>6</v>
      </c>
      <c r="U586" s="9">
        <f t="shared" si="149"/>
        <v>1974</v>
      </c>
      <c r="V586" s="9">
        <f t="shared" si="150"/>
        <v>50</v>
      </c>
      <c r="W586" s="7">
        <f t="shared" si="144"/>
        <v>9.4307999999999996</v>
      </c>
      <c r="X586" s="7">
        <f t="shared" si="145"/>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6"/>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v>0</v>
      </c>
      <c r="BF586" s="18">
        <v>0</v>
      </c>
      <c r="BG586">
        <v>1</v>
      </c>
      <c r="BH586">
        <v>0</v>
      </c>
      <c r="BI586" s="18">
        <v>0</v>
      </c>
      <c r="BJ586">
        <v>25208</v>
      </c>
      <c r="BK586">
        <v>1486</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9"/>
        <v>9</v>
      </c>
      <c r="G587" s="7">
        <f t="shared" si="147"/>
        <v>7.1999999999999993</v>
      </c>
      <c r="H587" s="16">
        <f t="shared" si="148"/>
        <v>9</v>
      </c>
      <c r="I587" s="11">
        <f t="shared" si="151"/>
        <v>0.15804073293140256</v>
      </c>
      <c r="J587" s="33">
        <f t="shared" si="152"/>
        <v>1.7560081436822507E-2</v>
      </c>
      <c r="K587" s="33">
        <f t="shared" si="153"/>
        <v>56.947344099615393</v>
      </c>
      <c r="L587" s="8">
        <v>0</v>
      </c>
      <c r="M587" s="9">
        <v>1</v>
      </c>
      <c r="N587" s="8">
        <v>0</v>
      </c>
      <c r="O587" s="9">
        <v>0</v>
      </c>
      <c r="P587" s="9">
        <v>0</v>
      </c>
      <c r="Q587" s="9">
        <v>1</v>
      </c>
      <c r="R587" s="9">
        <v>0</v>
      </c>
      <c r="S587" s="8">
        <v>3169</v>
      </c>
      <c r="T587" s="9">
        <v>6</v>
      </c>
      <c r="U587" s="9">
        <f t="shared" si="149"/>
        <v>3162</v>
      </c>
      <c r="V587" s="9">
        <f t="shared" si="150"/>
        <v>50</v>
      </c>
      <c r="W587" s="7">
        <f t="shared" si="144"/>
        <v>9.4307999999999996</v>
      </c>
      <c r="X587" s="7">
        <f t="shared" si="145"/>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6"/>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v>0</v>
      </c>
      <c r="BF587" s="18">
        <v>0</v>
      </c>
      <c r="BG587">
        <v>1</v>
      </c>
      <c r="BH587">
        <v>0</v>
      </c>
      <c r="BI587" s="18">
        <v>0</v>
      </c>
      <c r="BJ587">
        <v>25208</v>
      </c>
      <c r="BK587">
        <v>1486</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9"/>
        <v>5.1428571428571432</v>
      </c>
      <c r="G588" s="7">
        <f t="shared" si="147"/>
        <v>2.9000000000000004</v>
      </c>
      <c r="H588" s="16">
        <f t="shared" si="148"/>
        <v>4.3</v>
      </c>
      <c r="I588" s="11">
        <f t="shared" si="151"/>
        <v>0.11498487595858155</v>
      </c>
      <c r="J588" s="33">
        <f t="shared" si="152"/>
        <v>2.2358170325279741E-2</v>
      </c>
      <c r="K588" s="33">
        <f t="shared" si="153"/>
        <v>44.726379012746349</v>
      </c>
      <c r="L588" s="8">
        <v>0</v>
      </c>
      <c r="M588" s="9">
        <v>1</v>
      </c>
      <c r="N588" s="8">
        <v>0</v>
      </c>
      <c r="O588" s="9">
        <v>0</v>
      </c>
      <c r="P588" s="9">
        <v>0</v>
      </c>
      <c r="Q588" s="9">
        <v>1</v>
      </c>
      <c r="R588" s="9">
        <v>0</v>
      </c>
      <c r="S588" s="8">
        <v>1981</v>
      </c>
      <c r="T588" s="9">
        <v>6</v>
      </c>
      <c r="U588" s="9">
        <f t="shared" si="149"/>
        <v>1974</v>
      </c>
      <c r="V588" s="9">
        <f t="shared" si="150"/>
        <v>50</v>
      </c>
      <c r="W588" s="7">
        <f t="shared" si="144"/>
        <v>9.4307999999999996</v>
      </c>
      <c r="X588" s="7">
        <f t="shared" si="145"/>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6"/>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v>0</v>
      </c>
      <c r="BF588" s="18">
        <v>0</v>
      </c>
      <c r="BG588">
        <v>1</v>
      </c>
      <c r="BH588">
        <v>0</v>
      </c>
      <c r="BI588" s="18">
        <v>0</v>
      </c>
      <c r="BJ588">
        <v>25208</v>
      </c>
      <c r="BK588">
        <v>1486</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9"/>
        <v>7.8888888888888884</v>
      </c>
      <c r="G589" s="7">
        <f t="shared" si="147"/>
        <v>6.1999999999999993</v>
      </c>
      <c r="H589" s="16">
        <f t="shared" si="148"/>
        <v>8</v>
      </c>
      <c r="I589" s="11">
        <f t="shared" si="151"/>
        <v>0.13893207571861219</v>
      </c>
      <c r="J589" s="33">
        <f t="shared" si="152"/>
        <v>1.7611108189683235E-2</v>
      </c>
      <c r="K589" s="33">
        <f t="shared" si="153"/>
        <v>56.782343804225228</v>
      </c>
      <c r="L589" s="8">
        <v>0</v>
      </c>
      <c r="M589" s="9">
        <v>1</v>
      </c>
      <c r="N589" s="8">
        <v>0</v>
      </c>
      <c r="O589" s="9">
        <v>0</v>
      </c>
      <c r="P589" s="9">
        <v>0</v>
      </c>
      <c r="Q589" s="9">
        <v>1</v>
      </c>
      <c r="R589" s="9">
        <v>0</v>
      </c>
      <c r="S589" s="8">
        <v>3169</v>
      </c>
      <c r="T589" s="9">
        <v>6</v>
      </c>
      <c r="U589" s="9">
        <f t="shared" si="149"/>
        <v>3162</v>
      </c>
      <c r="V589" s="9">
        <f t="shared" si="150"/>
        <v>50</v>
      </c>
      <c r="W589" s="7">
        <f t="shared" si="144"/>
        <v>9.4307999999999996</v>
      </c>
      <c r="X589" s="7">
        <f t="shared" si="145"/>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6"/>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v>0</v>
      </c>
      <c r="BF589" s="18">
        <v>0</v>
      </c>
      <c r="BG589">
        <v>1</v>
      </c>
      <c r="BH589">
        <v>0</v>
      </c>
      <c r="BI589" s="18">
        <v>0</v>
      </c>
      <c r="BJ589">
        <v>25208</v>
      </c>
      <c r="BK589">
        <v>1486</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9"/>
        <v>3.7142857142857149</v>
      </c>
      <c r="G590" s="7">
        <f t="shared" si="147"/>
        <v>1.9000000000000001</v>
      </c>
      <c r="H590" s="16">
        <f t="shared" si="148"/>
        <v>3.3</v>
      </c>
      <c r="I590" s="11">
        <f t="shared" si="151"/>
        <v>8.3308518375353649E-2</v>
      </c>
      <c r="J590" s="33">
        <f t="shared" si="152"/>
        <v>2.2429216485672133E-2</v>
      </c>
      <c r="K590" s="33">
        <f t="shared" si="153"/>
        <v>44.584704982396673</v>
      </c>
      <c r="L590" s="8">
        <v>0</v>
      </c>
      <c r="M590" s="9">
        <v>1</v>
      </c>
      <c r="N590" s="8">
        <v>0</v>
      </c>
      <c r="O590" s="9">
        <v>0</v>
      </c>
      <c r="P590" s="9">
        <v>0</v>
      </c>
      <c r="Q590" s="9">
        <v>1</v>
      </c>
      <c r="R590" s="9">
        <v>0</v>
      </c>
      <c r="S590" s="8">
        <v>1981</v>
      </c>
      <c r="T590" s="9">
        <v>6</v>
      </c>
      <c r="U590" s="9">
        <f t="shared" si="149"/>
        <v>1974</v>
      </c>
      <c r="V590" s="9">
        <f t="shared" si="150"/>
        <v>50</v>
      </c>
      <c r="W590" s="7">
        <f t="shared" si="144"/>
        <v>9.4307999999999996</v>
      </c>
      <c r="X590" s="7">
        <f t="shared" si="145"/>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6"/>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v>0</v>
      </c>
      <c r="BF590" s="18">
        <v>0</v>
      </c>
      <c r="BG590">
        <v>1</v>
      </c>
      <c r="BH590">
        <v>0</v>
      </c>
      <c r="BI590" s="18">
        <v>0</v>
      </c>
      <c r="BJ590">
        <v>25208</v>
      </c>
      <c r="BK590">
        <v>1486</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9"/>
        <v>5.9230769230769234</v>
      </c>
      <c r="G591" s="7">
        <f t="shared" si="147"/>
        <v>6.4</v>
      </c>
      <c r="H591" s="16">
        <f t="shared" si="148"/>
        <v>9</v>
      </c>
      <c r="I591" s="11">
        <f t="shared" si="151"/>
        <v>0.10475395483515031</v>
      </c>
      <c r="J591" s="33">
        <f t="shared" si="152"/>
        <v>1.7685732634505895E-2</v>
      </c>
      <c r="K591" s="33">
        <f t="shared" si="153"/>
        <v>56.542752322792765</v>
      </c>
      <c r="L591" s="8">
        <v>0</v>
      </c>
      <c r="M591" s="9">
        <v>1</v>
      </c>
      <c r="N591" s="8">
        <v>0</v>
      </c>
      <c r="O591" s="9">
        <v>0</v>
      </c>
      <c r="P591" s="9">
        <v>0</v>
      </c>
      <c r="Q591" s="9">
        <v>1</v>
      </c>
      <c r="R591" s="9">
        <v>0</v>
      </c>
      <c r="S591" s="8">
        <v>3169</v>
      </c>
      <c r="T591" s="9">
        <v>6</v>
      </c>
      <c r="U591" s="9">
        <f t="shared" si="149"/>
        <v>3162</v>
      </c>
      <c r="V591" s="9">
        <f t="shared" si="150"/>
        <v>50</v>
      </c>
      <c r="W591" s="7">
        <f t="shared" si="144"/>
        <v>9.4307999999999996</v>
      </c>
      <c r="X591" s="7">
        <f t="shared" si="145"/>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6"/>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v>0</v>
      </c>
      <c r="BF591" s="18">
        <v>0</v>
      </c>
      <c r="BG591">
        <v>1</v>
      </c>
      <c r="BH591">
        <v>0</v>
      </c>
      <c r="BI591" s="18">
        <v>0</v>
      </c>
      <c r="BJ591">
        <v>25208</v>
      </c>
      <c r="BK591">
        <v>1486</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9"/>
        <v>6.333333333333333</v>
      </c>
      <c r="G592" s="7">
        <f t="shared" si="147"/>
        <v>4.8</v>
      </c>
      <c r="H592" s="16">
        <f t="shared" si="148"/>
        <v>6.6000000000000005</v>
      </c>
      <c r="I592" s="11">
        <f t="shared" si="151"/>
        <v>0.14112067126126332</v>
      </c>
      <c r="J592" s="33">
        <f t="shared" si="152"/>
        <v>2.2282211251778417E-2</v>
      </c>
      <c r="K592" s="33">
        <f t="shared" si="153"/>
        <v>44.878849262331926</v>
      </c>
      <c r="L592" s="8">
        <v>0</v>
      </c>
      <c r="M592" s="9">
        <v>1</v>
      </c>
      <c r="N592" s="8">
        <v>0</v>
      </c>
      <c r="O592" s="9">
        <v>0</v>
      </c>
      <c r="P592" s="9">
        <v>0</v>
      </c>
      <c r="Q592" s="9">
        <v>1</v>
      </c>
      <c r="R592" s="9">
        <v>0</v>
      </c>
      <c r="S592" s="8">
        <v>1981</v>
      </c>
      <c r="T592" s="9">
        <v>6</v>
      </c>
      <c r="U592" s="9">
        <f t="shared" si="149"/>
        <v>1974</v>
      </c>
      <c r="V592" s="9">
        <f t="shared" si="150"/>
        <v>50</v>
      </c>
      <c r="W592" s="7">
        <f t="shared" si="144"/>
        <v>9.4307999999999996</v>
      </c>
      <c r="X592" s="7">
        <f t="shared" si="145"/>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6"/>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v>0</v>
      </c>
      <c r="BF592" s="18">
        <v>0</v>
      </c>
      <c r="BG592">
        <v>1</v>
      </c>
      <c r="BH592">
        <v>0</v>
      </c>
      <c r="BI592" s="18">
        <v>0</v>
      </c>
      <c r="BJ592">
        <v>25208</v>
      </c>
      <c r="BK592">
        <v>1486</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9"/>
        <v>32</v>
      </c>
      <c r="G593" s="7">
        <f t="shared" si="147"/>
        <v>6.2</v>
      </c>
      <c r="H593" s="16">
        <f t="shared" si="148"/>
        <v>6.6000000000000005</v>
      </c>
      <c r="I593" s="11">
        <f t="shared" si="151"/>
        <v>0.25757916462010488</v>
      </c>
      <c r="J593" s="33">
        <f t="shared" si="152"/>
        <v>8.0493488943782776E-3</v>
      </c>
      <c r="K593" s="33">
        <f t="shared" si="153"/>
        <v>124.23365083583433</v>
      </c>
      <c r="L593" s="8">
        <v>0</v>
      </c>
      <c r="M593" s="9">
        <v>1</v>
      </c>
      <c r="N593" s="8">
        <v>0</v>
      </c>
      <c r="O593" s="9">
        <v>0</v>
      </c>
      <c r="P593" s="9">
        <v>0</v>
      </c>
      <c r="Q593" s="9">
        <v>1</v>
      </c>
      <c r="R593" s="9">
        <v>0</v>
      </c>
      <c r="S593" s="8">
        <v>14424</v>
      </c>
      <c r="T593" s="9">
        <v>13</v>
      </c>
      <c r="U593" s="9">
        <f t="shared" si="149"/>
        <v>14410</v>
      </c>
      <c r="V593" s="9">
        <f t="shared" si="150"/>
        <v>50</v>
      </c>
      <c r="W593" s="7">
        <f t="shared" si="144"/>
        <v>9.4307999999999996</v>
      </c>
      <c r="X593" s="7">
        <f t="shared" si="145"/>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6"/>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v>0</v>
      </c>
      <c r="BF593" s="18">
        <v>0</v>
      </c>
      <c r="BG593">
        <v>1</v>
      </c>
      <c r="BH593">
        <v>0</v>
      </c>
      <c r="BI593" s="18">
        <v>0</v>
      </c>
      <c r="BJ593">
        <v>25208</v>
      </c>
      <c r="BK593">
        <v>1486</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9"/>
        <v>17.083333333333336</v>
      </c>
      <c r="G594" s="7">
        <f t="shared" si="147"/>
        <v>19.3</v>
      </c>
      <c r="H594" s="16">
        <f t="shared" si="148"/>
        <v>21.7</v>
      </c>
      <c r="I594" s="11">
        <f t="shared" si="151"/>
        <v>0.14089213975768597</v>
      </c>
      <c r="J594" s="33">
        <f t="shared" si="152"/>
        <v>8.2473447663035677E-3</v>
      </c>
      <c r="K594" s="33">
        <f t="shared" si="153"/>
        <v>121.25114546996156</v>
      </c>
      <c r="L594" s="8">
        <v>0</v>
      </c>
      <c r="M594" s="9">
        <v>1</v>
      </c>
      <c r="N594" s="8">
        <v>0</v>
      </c>
      <c r="O594" s="9">
        <v>0</v>
      </c>
      <c r="P594" s="9">
        <v>0</v>
      </c>
      <c r="Q594" s="9">
        <v>1</v>
      </c>
      <c r="R594" s="9">
        <v>0</v>
      </c>
      <c r="S594" s="8">
        <v>14424</v>
      </c>
      <c r="T594" s="9">
        <v>13</v>
      </c>
      <c r="U594" s="9">
        <f t="shared" si="149"/>
        <v>14410</v>
      </c>
      <c r="V594" s="9">
        <f t="shared" si="150"/>
        <v>50</v>
      </c>
      <c r="W594" s="7">
        <f t="shared" si="144"/>
        <v>9.4307999999999996</v>
      </c>
      <c r="X594" s="7">
        <f t="shared" si="145"/>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6"/>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v>0</v>
      </c>
      <c r="BF594" s="18">
        <v>0</v>
      </c>
      <c r="BG594">
        <v>1</v>
      </c>
      <c r="BH594">
        <v>0</v>
      </c>
      <c r="BI594" s="18">
        <v>0</v>
      </c>
      <c r="BJ594">
        <v>25208</v>
      </c>
      <c r="BK594">
        <v>1486</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9"/>
        <v>13.571428571428573</v>
      </c>
      <c r="G595" s="7">
        <f t="shared" si="147"/>
        <v>8.8000000000000007</v>
      </c>
      <c r="H595" s="16">
        <f t="shared" si="148"/>
        <v>10.199999999999999</v>
      </c>
      <c r="I595" s="11">
        <f t="shared" si="151"/>
        <v>0.10093927473308457</v>
      </c>
      <c r="J595" s="33">
        <f t="shared" si="152"/>
        <v>7.4376307698062307E-3</v>
      </c>
      <c r="K595" s="33">
        <f t="shared" si="153"/>
        <v>134.45141752123473</v>
      </c>
      <c r="L595" s="8">
        <v>0</v>
      </c>
      <c r="M595" s="9">
        <v>1</v>
      </c>
      <c r="N595" s="8">
        <v>0</v>
      </c>
      <c r="O595" s="9">
        <v>0</v>
      </c>
      <c r="P595" s="9">
        <v>0</v>
      </c>
      <c r="Q595" s="9">
        <v>1</v>
      </c>
      <c r="R595" s="9">
        <v>0</v>
      </c>
      <c r="S595" s="8">
        <v>17907</v>
      </c>
      <c r="T595" s="9">
        <v>13</v>
      </c>
      <c r="U595" s="9">
        <f t="shared" si="149"/>
        <v>17893</v>
      </c>
      <c r="V595" s="9">
        <f t="shared" si="150"/>
        <v>50</v>
      </c>
      <c r="W595" s="7">
        <f t="shared" si="144"/>
        <v>9.4307999999999996</v>
      </c>
      <c r="X595" s="7">
        <f t="shared" si="145"/>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6"/>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v>0</v>
      </c>
      <c r="BF595" s="18">
        <v>0</v>
      </c>
      <c r="BG595">
        <v>1</v>
      </c>
      <c r="BH595">
        <v>0</v>
      </c>
      <c r="BI595" s="18">
        <v>0</v>
      </c>
      <c r="BJ595">
        <v>25208</v>
      </c>
      <c r="BK595">
        <v>1486</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9"/>
        <v>32</v>
      </c>
      <c r="G596" s="7">
        <f t="shared" si="147"/>
        <v>6.2</v>
      </c>
      <c r="H596" s="16">
        <f t="shared" si="148"/>
        <v>6.6000000000000005</v>
      </c>
      <c r="I596" s="11">
        <f t="shared" si="151"/>
        <v>0.33193163431017081</v>
      </c>
      <c r="J596" s="33">
        <f t="shared" si="152"/>
        <v>1.0372863572192838E-2</v>
      </c>
      <c r="K596" s="33">
        <f t="shared" si="153"/>
        <v>96.405394039960228</v>
      </c>
      <c r="L596" s="8">
        <v>0</v>
      </c>
      <c r="M596" s="9">
        <v>1</v>
      </c>
      <c r="N596" s="8">
        <v>0</v>
      </c>
      <c r="O596" s="9">
        <v>0</v>
      </c>
      <c r="P596" s="9">
        <v>0</v>
      </c>
      <c r="Q596" s="9">
        <v>1</v>
      </c>
      <c r="R596" s="9">
        <v>0</v>
      </c>
      <c r="S596" s="8">
        <v>8284</v>
      </c>
      <c r="T596" s="9">
        <v>13</v>
      </c>
      <c r="U596" s="9">
        <f t="shared" si="149"/>
        <v>8270</v>
      </c>
      <c r="V596" s="9">
        <f t="shared" si="150"/>
        <v>50</v>
      </c>
      <c r="W596" s="7">
        <f t="shared" si="144"/>
        <v>9.4307999999999996</v>
      </c>
      <c r="X596" s="7">
        <f t="shared" si="145"/>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6"/>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v>0</v>
      </c>
      <c r="BF596" s="18">
        <v>0</v>
      </c>
      <c r="BG596">
        <v>1</v>
      </c>
      <c r="BH596">
        <v>0</v>
      </c>
      <c r="BI596" s="18">
        <v>0</v>
      </c>
      <c r="BJ596">
        <v>25208</v>
      </c>
      <c r="BK596">
        <v>1486</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9"/>
        <v>14.928571428571429</v>
      </c>
      <c r="G597" s="7">
        <f t="shared" si="147"/>
        <v>19.5</v>
      </c>
      <c r="H597" s="16">
        <f t="shared" si="148"/>
        <v>22.299999999999997</v>
      </c>
      <c r="I597" s="11">
        <f t="shared" si="151"/>
        <v>0.1619911208929482</v>
      </c>
      <c r="J597" s="33">
        <f t="shared" si="152"/>
        <v>1.0851079868427153E-2</v>
      </c>
      <c r="K597" s="33">
        <f t="shared" si="153"/>
        <v>92.156726530937277</v>
      </c>
      <c r="L597" s="8">
        <v>0</v>
      </c>
      <c r="M597" s="9">
        <v>1</v>
      </c>
      <c r="N597" s="8">
        <v>0</v>
      </c>
      <c r="O597" s="9">
        <v>0</v>
      </c>
      <c r="P597" s="9">
        <v>0</v>
      </c>
      <c r="Q597" s="9">
        <v>1</v>
      </c>
      <c r="R597" s="9">
        <v>0</v>
      </c>
      <c r="S597" s="8">
        <v>8284</v>
      </c>
      <c r="T597" s="9">
        <v>13</v>
      </c>
      <c r="U597" s="9">
        <f t="shared" si="149"/>
        <v>8270</v>
      </c>
      <c r="V597" s="9">
        <f t="shared" si="150"/>
        <v>50</v>
      </c>
      <c r="W597" s="7">
        <f t="shared" si="144"/>
        <v>9.4307999999999996</v>
      </c>
      <c r="X597" s="7">
        <f t="shared" si="145"/>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6"/>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v>0</v>
      </c>
      <c r="BF597" s="18">
        <v>0</v>
      </c>
      <c r="BG597">
        <v>1</v>
      </c>
      <c r="BH597">
        <v>0</v>
      </c>
      <c r="BI597" s="18">
        <v>0</v>
      </c>
      <c r="BJ597">
        <v>25208</v>
      </c>
      <c r="BK597">
        <v>1486</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9"/>
        <v>15</v>
      </c>
      <c r="G598" s="7">
        <f t="shared" si="147"/>
        <v>7</v>
      </c>
      <c r="H598" s="16">
        <f t="shared" si="148"/>
        <v>8</v>
      </c>
      <c r="I598" s="11">
        <f t="shared" si="151"/>
        <v>0.25800784355766804</v>
      </c>
      <c r="J598" s="33">
        <f t="shared" si="152"/>
        <v>1.7200522903844537E-2</v>
      </c>
      <c r="K598" s="33">
        <f t="shared" si="153"/>
        <v>58.137767414994528</v>
      </c>
      <c r="L598" s="8">
        <v>0</v>
      </c>
      <c r="M598" s="9">
        <v>1</v>
      </c>
      <c r="N598" s="8">
        <v>0</v>
      </c>
      <c r="O598" s="9">
        <v>0</v>
      </c>
      <c r="P598" s="9">
        <v>0</v>
      </c>
      <c r="Q598" s="9">
        <v>1</v>
      </c>
      <c r="R598" s="9">
        <v>0</v>
      </c>
      <c r="S598" s="8">
        <v>3169</v>
      </c>
      <c r="T598" s="9">
        <v>13</v>
      </c>
      <c r="U598" s="9">
        <f t="shared" si="149"/>
        <v>3155</v>
      </c>
      <c r="V598" s="9">
        <f t="shared" si="150"/>
        <v>50</v>
      </c>
      <c r="W598" s="7">
        <f t="shared" si="144"/>
        <v>9.4307999999999996</v>
      </c>
      <c r="X598" s="7">
        <f t="shared" si="145"/>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6"/>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v>0</v>
      </c>
      <c r="BF598" s="18">
        <v>0</v>
      </c>
      <c r="BG598">
        <v>1</v>
      </c>
      <c r="BH598">
        <v>0</v>
      </c>
      <c r="BI598" s="18">
        <v>0</v>
      </c>
      <c r="BJ598">
        <v>25208</v>
      </c>
      <c r="BK598">
        <v>1486</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9"/>
        <v>7.0000000000000009</v>
      </c>
      <c r="G599" s="7">
        <f t="shared" si="147"/>
        <v>17.400000000000002</v>
      </c>
      <c r="H599" s="16">
        <f t="shared" si="148"/>
        <v>23.2</v>
      </c>
      <c r="I599" s="11">
        <f t="shared" si="151"/>
        <v>0.12382109909351439</v>
      </c>
      <c r="J599" s="33">
        <f t="shared" si="152"/>
        <v>1.7688728441930625E-2</v>
      </c>
      <c r="K599" s="33">
        <f t="shared" si="153"/>
        <v>56.53317610041028</v>
      </c>
      <c r="L599" s="8">
        <v>0</v>
      </c>
      <c r="M599" s="9">
        <v>1</v>
      </c>
      <c r="N599" s="8">
        <v>0</v>
      </c>
      <c r="O599" s="9">
        <v>0</v>
      </c>
      <c r="P599" s="9">
        <v>0</v>
      </c>
      <c r="Q599" s="9">
        <v>1</v>
      </c>
      <c r="R599" s="9">
        <v>0</v>
      </c>
      <c r="S599" s="8">
        <v>3161</v>
      </c>
      <c r="T599" s="9">
        <v>13</v>
      </c>
      <c r="U599" s="9">
        <f t="shared" si="149"/>
        <v>3147</v>
      </c>
      <c r="V599" s="9">
        <f t="shared" si="150"/>
        <v>50</v>
      </c>
      <c r="W599" s="7">
        <f t="shared" si="144"/>
        <v>9.4307999999999996</v>
      </c>
      <c r="X599" s="7">
        <f t="shared" si="145"/>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6"/>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v>0</v>
      </c>
      <c r="BF599" s="18">
        <v>0</v>
      </c>
      <c r="BG599">
        <v>1</v>
      </c>
      <c r="BH599">
        <v>0</v>
      </c>
      <c r="BI599" s="18">
        <v>0</v>
      </c>
      <c r="BJ599">
        <v>25208</v>
      </c>
      <c r="BK599">
        <v>1486</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9"/>
        <v>2.8000000000000003</v>
      </c>
      <c r="G600" s="7">
        <f t="shared" si="147"/>
        <v>5.4</v>
      </c>
      <c r="H600" s="16">
        <f t="shared" si="148"/>
        <v>11.4</v>
      </c>
      <c r="I600" s="11">
        <f t="shared" si="151"/>
        <v>5.6227166832005605E-2</v>
      </c>
      <c r="J600" s="33">
        <f t="shared" si="152"/>
        <v>2.008113101143057E-2</v>
      </c>
      <c r="K600" s="33">
        <f t="shared" si="153"/>
        <v>49.797991927385986</v>
      </c>
      <c r="L600" s="8">
        <v>0</v>
      </c>
      <c r="M600" s="9">
        <v>1</v>
      </c>
      <c r="N600" s="8">
        <v>0</v>
      </c>
      <c r="O600" s="9">
        <v>0</v>
      </c>
      <c r="P600" s="9">
        <v>0</v>
      </c>
      <c r="Q600" s="9">
        <v>1</v>
      </c>
      <c r="R600" s="9">
        <v>0</v>
      </c>
      <c r="S600" s="8">
        <v>2486</v>
      </c>
      <c r="T600" s="9">
        <v>13</v>
      </c>
      <c r="U600" s="9">
        <f t="shared" si="149"/>
        <v>2472</v>
      </c>
      <c r="V600" s="9">
        <f t="shared" si="150"/>
        <v>50</v>
      </c>
      <c r="W600" s="7">
        <f t="shared" si="144"/>
        <v>9.4307999999999996</v>
      </c>
      <c r="X600" s="7">
        <f t="shared" si="145"/>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6"/>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v>0</v>
      </c>
      <c r="BF600" s="18">
        <v>0</v>
      </c>
      <c r="BG600">
        <v>1</v>
      </c>
      <c r="BH600">
        <v>0</v>
      </c>
      <c r="BI600" s="18">
        <v>0</v>
      </c>
      <c r="BJ600">
        <v>25208</v>
      </c>
      <c r="BK600">
        <v>1486</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9"/>
        <v>10.166666666666666</v>
      </c>
      <c r="G601" s="7">
        <f t="shared" si="147"/>
        <v>5.5</v>
      </c>
      <c r="H601" s="16">
        <f t="shared" si="148"/>
        <v>6.6999999999999993</v>
      </c>
      <c r="I601" s="11">
        <f t="shared" si="151"/>
        <v>0.17810617536526374</v>
      </c>
      <c r="J601" s="33">
        <f t="shared" si="152"/>
        <v>1.7518640199862007E-2</v>
      </c>
      <c r="K601" s="33">
        <f t="shared" si="153"/>
        <v>57.082055946778155</v>
      </c>
      <c r="L601" s="8">
        <v>0</v>
      </c>
      <c r="M601" s="9">
        <v>1</v>
      </c>
      <c r="N601" s="8">
        <v>0</v>
      </c>
      <c r="O601" s="9">
        <v>0</v>
      </c>
      <c r="P601" s="9">
        <v>0</v>
      </c>
      <c r="Q601" s="9">
        <v>1</v>
      </c>
      <c r="R601" s="9">
        <v>0</v>
      </c>
      <c r="S601" s="8">
        <v>3169</v>
      </c>
      <c r="T601" s="9">
        <v>13</v>
      </c>
      <c r="U601" s="9">
        <f t="shared" si="149"/>
        <v>3155</v>
      </c>
      <c r="V601" s="9">
        <f t="shared" si="150"/>
        <v>50</v>
      </c>
      <c r="W601" s="7">
        <f t="shared" si="144"/>
        <v>9.4307999999999996</v>
      </c>
      <c r="X601" s="7">
        <f t="shared" si="145"/>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6"/>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v>0</v>
      </c>
      <c r="BF601" s="18">
        <v>0</v>
      </c>
      <c r="BG601">
        <v>1</v>
      </c>
      <c r="BH601">
        <v>0</v>
      </c>
      <c r="BI601" s="18">
        <v>0</v>
      </c>
      <c r="BJ601">
        <v>25208</v>
      </c>
      <c r="BK601">
        <v>1486</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9"/>
        <v>6.161290322580645</v>
      </c>
      <c r="G602" s="7">
        <f t="shared" si="147"/>
        <v>16</v>
      </c>
      <c r="H602" s="16">
        <f t="shared" si="148"/>
        <v>22.200000000000003</v>
      </c>
      <c r="I602" s="11">
        <f t="shared" si="151"/>
        <v>0.12750634932750621</v>
      </c>
      <c r="J602" s="33">
        <f t="shared" si="152"/>
        <v>2.0694747796610954E-2</v>
      </c>
      <c r="K602" s="33">
        <f t="shared" si="153"/>
        <v>48.321439324994508</v>
      </c>
      <c r="L602" s="8">
        <v>0</v>
      </c>
      <c r="M602" s="9">
        <v>1</v>
      </c>
      <c r="N602" s="8">
        <v>0</v>
      </c>
      <c r="O602" s="9">
        <v>0</v>
      </c>
      <c r="P602" s="9">
        <v>0</v>
      </c>
      <c r="Q602" s="9">
        <v>1</v>
      </c>
      <c r="R602" s="9">
        <v>0</v>
      </c>
      <c r="S602" s="8">
        <v>2311</v>
      </c>
      <c r="T602" s="9">
        <v>13</v>
      </c>
      <c r="U602" s="9">
        <f t="shared" si="149"/>
        <v>2297</v>
      </c>
      <c r="V602" s="9">
        <f t="shared" si="150"/>
        <v>50</v>
      </c>
      <c r="W602" s="7">
        <f t="shared" si="144"/>
        <v>9.4307999999999996</v>
      </c>
      <c r="X602" s="7">
        <f t="shared" si="145"/>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6"/>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v>0</v>
      </c>
      <c r="BF602" s="18">
        <v>0</v>
      </c>
      <c r="BG602">
        <v>1</v>
      </c>
      <c r="BH602">
        <v>0</v>
      </c>
      <c r="BI602" s="18">
        <v>0</v>
      </c>
      <c r="BJ602">
        <v>25208</v>
      </c>
      <c r="BK602">
        <v>1486</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9"/>
        <v>2.4242424242424243</v>
      </c>
      <c r="G603" s="7">
        <f t="shared" si="147"/>
        <v>4.7</v>
      </c>
      <c r="H603" s="16">
        <f t="shared" si="148"/>
        <v>11.3</v>
      </c>
      <c r="I603" s="11">
        <f t="shared" si="151"/>
        <v>5.4703978219744508E-2</v>
      </c>
      <c r="J603" s="33">
        <f t="shared" si="152"/>
        <v>2.2565391015644611E-2</v>
      </c>
      <c r="K603" s="33">
        <f t="shared" si="153"/>
        <v>44.31565131340728</v>
      </c>
      <c r="L603" s="8">
        <v>0</v>
      </c>
      <c r="M603" s="9">
        <v>1</v>
      </c>
      <c r="N603" s="8">
        <v>0</v>
      </c>
      <c r="O603" s="9">
        <v>0</v>
      </c>
      <c r="P603" s="9">
        <v>0</v>
      </c>
      <c r="Q603" s="9">
        <v>1</v>
      </c>
      <c r="R603" s="9">
        <v>0</v>
      </c>
      <c r="S603" s="8">
        <v>1972</v>
      </c>
      <c r="T603" s="9">
        <v>13</v>
      </c>
      <c r="U603" s="9">
        <f t="shared" si="149"/>
        <v>1958</v>
      </c>
      <c r="V603" s="9">
        <f t="shared" si="150"/>
        <v>50</v>
      </c>
      <c r="W603" s="7">
        <f t="shared" si="144"/>
        <v>9.4307999999999996</v>
      </c>
      <c r="X603" s="7">
        <f t="shared" si="145"/>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6"/>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v>0</v>
      </c>
      <c r="BF603" s="18">
        <v>0</v>
      </c>
      <c r="BG603">
        <v>1</v>
      </c>
      <c r="BH603">
        <v>0</v>
      </c>
      <c r="BI603" s="18">
        <v>0</v>
      </c>
      <c r="BJ603">
        <v>25208</v>
      </c>
      <c r="BK603">
        <v>1486</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9"/>
        <v>45.999999999999993</v>
      </c>
      <c r="G604" s="7">
        <f t="shared" si="147"/>
        <v>9</v>
      </c>
      <c r="H604" s="16">
        <f t="shared" si="148"/>
        <v>9.3999999999999986</v>
      </c>
      <c r="I604" s="11">
        <f t="shared" si="151"/>
        <v>0.39071541861692216</v>
      </c>
      <c r="J604" s="33">
        <f t="shared" si="152"/>
        <v>8.4938134481939605E-3</v>
      </c>
      <c r="K604" s="33">
        <f t="shared" si="153"/>
        <v>117.7327482054165</v>
      </c>
      <c r="L604" s="8">
        <v>0</v>
      </c>
      <c r="M604" s="9">
        <v>1</v>
      </c>
      <c r="N604" s="8">
        <v>0</v>
      </c>
      <c r="O604" s="9">
        <v>0</v>
      </c>
      <c r="P604" s="9">
        <v>0</v>
      </c>
      <c r="Q604" s="9">
        <v>1</v>
      </c>
      <c r="R604" s="9">
        <v>0</v>
      </c>
      <c r="S604" s="8">
        <v>11759</v>
      </c>
      <c r="T604" s="9">
        <v>13</v>
      </c>
      <c r="U604" s="9">
        <f t="shared" si="149"/>
        <v>11745</v>
      </c>
      <c r="V604" s="9">
        <f t="shared" si="150"/>
        <v>50</v>
      </c>
      <c r="W604" s="7">
        <f t="shared" si="144"/>
        <v>9.4307999999999996</v>
      </c>
      <c r="X604" s="7">
        <f t="shared" si="145"/>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6"/>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v>0</v>
      </c>
      <c r="BF604" s="18">
        <v>0</v>
      </c>
      <c r="BG604">
        <v>1</v>
      </c>
      <c r="BH604">
        <v>0</v>
      </c>
      <c r="BI604" s="18">
        <v>0</v>
      </c>
      <c r="BJ604">
        <v>25208</v>
      </c>
      <c r="BK604">
        <v>1486</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9"/>
        <v>14.818181818181818</v>
      </c>
      <c r="G605" s="7">
        <f t="shared" si="147"/>
        <v>15.200000000000001</v>
      </c>
      <c r="H605" s="16">
        <f t="shared" si="148"/>
        <v>17.400000000000002</v>
      </c>
      <c r="I605" s="11">
        <f t="shared" si="151"/>
        <v>0.13547096277416754</v>
      </c>
      <c r="J605" s="33">
        <f t="shared" si="152"/>
        <v>9.1422122117536374E-3</v>
      </c>
      <c r="K605" s="33">
        <f t="shared" si="153"/>
        <v>109.38271578451824</v>
      </c>
      <c r="L605" s="8">
        <v>0</v>
      </c>
      <c r="M605" s="9">
        <v>1</v>
      </c>
      <c r="N605" s="8">
        <v>0</v>
      </c>
      <c r="O605" s="9">
        <v>0</v>
      </c>
      <c r="P605" s="9">
        <v>0</v>
      </c>
      <c r="Q605" s="9">
        <v>1</v>
      </c>
      <c r="R605" s="9">
        <v>0</v>
      </c>
      <c r="S605" s="8">
        <v>11759</v>
      </c>
      <c r="T605" s="9">
        <v>13</v>
      </c>
      <c r="U605" s="9">
        <f t="shared" si="149"/>
        <v>11745</v>
      </c>
      <c r="V605" s="9">
        <f t="shared" si="150"/>
        <v>50</v>
      </c>
      <c r="W605" s="7">
        <f t="shared" si="144"/>
        <v>9.4307999999999996</v>
      </c>
      <c r="X605" s="7">
        <f t="shared" si="145"/>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6"/>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v>0</v>
      </c>
      <c r="BF605" s="18">
        <v>0</v>
      </c>
      <c r="BG605">
        <v>1</v>
      </c>
      <c r="BH605">
        <v>0</v>
      </c>
      <c r="BI605" s="18">
        <v>0</v>
      </c>
      <c r="BJ605">
        <v>25208</v>
      </c>
      <c r="BK605">
        <v>1486</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9"/>
        <v>15.749999999999998</v>
      </c>
      <c r="G606" s="7">
        <f t="shared" si="147"/>
        <v>11.799999999999999</v>
      </c>
      <c r="H606" s="16">
        <f t="shared" si="148"/>
        <v>13.4</v>
      </c>
      <c r="I606" s="11">
        <f t="shared" si="151"/>
        <v>0.11981062609680501</v>
      </c>
      <c r="J606" s="33">
        <f t="shared" si="152"/>
        <v>7.607023879162224E-3</v>
      </c>
      <c r="K606" s="33">
        <f t="shared" si="153"/>
        <v>131.45745509479482</v>
      </c>
      <c r="L606" s="8">
        <v>0</v>
      </c>
      <c r="M606" s="9">
        <v>1</v>
      </c>
      <c r="N606" s="8">
        <v>0</v>
      </c>
      <c r="O606" s="9">
        <v>0</v>
      </c>
      <c r="P606" s="9">
        <v>0</v>
      </c>
      <c r="Q606" s="9">
        <v>1</v>
      </c>
      <c r="R606" s="9">
        <v>0</v>
      </c>
      <c r="S606" s="8">
        <v>17047</v>
      </c>
      <c r="T606" s="9">
        <v>13</v>
      </c>
      <c r="U606" s="9">
        <f t="shared" si="149"/>
        <v>17033</v>
      </c>
      <c r="V606" s="9">
        <f t="shared" si="150"/>
        <v>50</v>
      </c>
      <c r="W606" s="7">
        <f t="shared" si="144"/>
        <v>9.4307999999999996</v>
      </c>
      <c r="X606" s="7">
        <f t="shared" si="145"/>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6"/>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v>0</v>
      </c>
      <c r="BF606" s="18">
        <v>0</v>
      </c>
      <c r="BG606">
        <v>1</v>
      </c>
      <c r="BH606">
        <v>0</v>
      </c>
      <c r="BI606" s="18">
        <v>0</v>
      </c>
      <c r="BJ606">
        <v>25208</v>
      </c>
      <c r="BK606">
        <v>1486</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9"/>
        <v>51.5</v>
      </c>
      <c r="G607" s="7">
        <f t="shared" si="147"/>
        <v>10.100000000000001</v>
      </c>
      <c r="H607" s="16">
        <f t="shared" si="148"/>
        <v>10.5</v>
      </c>
      <c r="I607" s="11">
        <f t="shared" si="151"/>
        <v>0.47764592668287958</v>
      </c>
      <c r="J607" s="33">
        <f t="shared" si="152"/>
        <v>9.2746781880170773E-3</v>
      </c>
      <c r="K607" s="33">
        <f t="shared" si="153"/>
        <v>107.82045260524555</v>
      </c>
      <c r="L607" s="8">
        <v>0</v>
      </c>
      <c r="M607" s="9">
        <v>1</v>
      </c>
      <c r="N607" s="8">
        <v>0</v>
      </c>
      <c r="O607" s="9">
        <v>0</v>
      </c>
      <c r="P607" s="9">
        <v>0</v>
      </c>
      <c r="Q607" s="9">
        <v>1</v>
      </c>
      <c r="R607" s="9">
        <v>0</v>
      </c>
      <c r="S607" s="8">
        <v>8987</v>
      </c>
      <c r="T607" s="9">
        <v>13</v>
      </c>
      <c r="U607" s="9">
        <f t="shared" si="149"/>
        <v>8973</v>
      </c>
      <c r="V607" s="9">
        <f t="shared" si="150"/>
        <v>50</v>
      </c>
      <c r="W607" s="7">
        <f t="shared" si="144"/>
        <v>9.4307999999999996</v>
      </c>
      <c r="X607" s="7">
        <f t="shared" si="145"/>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6"/>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v>0</v>
      </c>
      <c r="BF607" s="18">
        <v>0</v>
      </c>
      <c r="BG607">
        <v>1</v>
      </c>
      <c r="BH607">
        <v>0</v>
      </c>
      <c r="BI607" s="18">
        <v>0</v>
      </c>
      <c r="BJ607">
        <v>25208</v>
      </c>
      <c r="BK607">
        <v>1486</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4">D608/E608</f>
        <v>15.272727272727272</v>
      </c>
      <c r="G608" s="7">
        <f t="shared" si="147"/>
        <v>15.700000000000001</v>
      </c>
      <c r="H608" s="16">
        <f t="shared" si="148"/>
        <v>17.900000000000002</v>
      </c>
      <c r="I608" s="11">
        <f t="shared" si="151"/>
        <v>0.15917507687208587</v>
      </c>
      <c r="J608" s="33">
        <f t="shared" si="152"/>
        <v>1.0422177652338957E-2</v>
      </c>
      <c r="K608" s="33">
        <f t="shared" si="153"/>
        <v>95.949237612120243</v>
      </c>
      <c r="L608" s="8">
        <v>0</v>
      </c>
      <c r="M608" s="9">
        <v>1</v>
      </c>
      <c r="N608" s="8">
        <v>0</v>
      </c>
      <c r="O608" s="9">
        <v>0</v>
      </c>
      <c r="P608" s="9">
        <v>0</v>
      </c>
      <c r="Q608" s="9">
        <v>1</v>
      </c>
      <c r="R608" s="9">
        <v>0</v>
      </c>
      <c r="S608" s="8">
        <v>8987</v>
      </c>
      <c r="T608" s="9">
        <v>13</v>
      </c>
      <c r="U608" s="9">
        <f t="shared" si="149"/>
        <v>8973</v>
      </c>
      <c r="V608" s="9">
        <f t="shared" si="150"/>
        <v>50</v>
      </c>
      <c r="W608" s="7">
        <f t="shared" si="144"/>
        <v>9.4307999999999996</v>
      </c>
      <c r="X608" s="7">
        <f t="shared" si="145"/>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6"/>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v>0</v>
      </c>
      <c r="BF608" s="18">
        <v>0</v>
      </c>
      <c r="BG608">
        <v>1</v>
      </c>
      <c r="BH608">
        <v>0</v>
      </c>
      <c r="BI608" s="18">
        <v>0</v>
      </c>
      <c r="BJ608">
        <v>25208</v>
      </c>
      <c r="BK608">
        <v>1486</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4"/>
        <v>20</v>
      </c>
      <c r="G609" s="7">
        <f t="shared" si="147"/>
        <v>11.4</v>
      </c>
      <c r="H609" s="16">
        <f t="shared" si="148"/>
        <v>12.6</v>
      </c>
      <c r="I609" s="11">
        <f t="shared" si="151"/>
        <v>0.38454428462686413</v>
      </c>
      <c r="J609" s="33">
        <f t="shared" si="152"/>
        <v>1.9227214231343204E-2</v>
      </c>
      <c r="K609" s="33">
        <f t="shared" si="153"/>
        <v>52.009614495783381</v>
      </c>
      <c r="L609" s="8">
        <v>0</v>
      </c>
      <c r="M609" s="9">
        <v>1</v>
      </c>
      <c r="N609" s="8">
        <v>0</v>
      </c>
      <c r="O609" s="9">
        <v>0</v>
      </c>
      <c r="P609" s="9">
        <v>0</v>
      </c>
      <c r="Q609" s="9">
        <v>1</v>
      </c>
      <c r="R609" s="9">
        <v>0</v>
      </c>
      <c r="S609" s="8">
        <v>2319</v>
      </c>
      <c r="T609" s="9">
        <v>13</v>
      </c>
      <c r="U609" s="9">
        <f t="shared" si="149"/>
        <v>2305</v>
      </c>
      <c r="V609" s="9">
        <f t="shared" si="150"/>
        <v>50</v>
      </c>
      <c r="W609" s="7">
        <f t="shared" si="144"/>
        <v>9.4307999999999996</v>
      </c>
      <c r="X609" s="7">
        <f t="shared" si="145"/>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6"/>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v>0</v>
      </c>
      <c r="BF609" s="18">
        <v>0</v>
      </c>
      <c r="BG609">
        <v>1</v>
      </c>
      <c r="BH609">
        <v>0</v>
      </c>
      <c r="BI609" s="18">
        <v>0</v>
      </c>
      <c r="BJ609">
        <v>25208</v>
      </c>
      <c r="BK609">
        <v>1486</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4"/>
        <v>8.0333333333333332</v>
      </c>
      <c r="G610" s="7">
        <f t="shared" si="147"/>
        <v>21.1</v>
      </c>
      <c r="H610" s="16">
        <f t="shared" si="148"/>
        <v>27.1</v>
      </c>
      <c r="I610" s="11">
        <f t="shared" si="151"/>
        <v>0.15218210253381906</v>
      </c>
      <c r="J610" s="33">
        <f t="shared" si="152"/>
        <v>1.8943830190931835E-2</v>
      </c>
      <c r="K610" s="33">
        <f t="shared" si="153"/>
        <v>52.787635336738134</v>
      </c>
      <c r="L610" s="8">
        <v>0</v>
      </c>
      <c r="M610" s="9">
        <v>1</v>
      </c>
      <c r="N610" s="8">
        <v>0</v>
      </c>
      <c r="O610" s="9">
        <v>0</v>
      </c>
      <c r="P610" s="9">
        <v>0</v>
      </c>
      <c r="Q610" s="9">
        <v>1</v>
      </c>
      <c r="R610" s="9">
        <v>0</v>
      </c>
      <c r="S610" s="8">
        <v>2736</v>
      </c>
      <c r="T610" s="9">
        <v>13</v>
      </c>
      <c r="U610" s="9">
        <f t="shared" si="149"/>
        <v>2722</v>
      </c>
      <c r="V610" s="9">
        <f t="shared" si="150"/>
        <v>50</v>
      </c>
      <c r="W610" s="7">
        <f t="shared" si="144"/>
        <v>9.4307999999999996</v>
      </c>
      <c r="X610" s="7">
        <f t="shared" si="145"/>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6"/>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v>0</v>
      </c>
      <c r="BF610" s="18">
        <v>0</v>
      </c>
      <c r="BG610">
        <v>1</v>
      </c>
      <c r="BH610">
        <v>0</v>
      </c>
      <c r="BI610" s="18">
        <v>0</v>
      </c>
      <c r="BJ610">
        <v>25208</v>
      </c>
      <c r="BK610">
        <v>1486</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4"/>
        <v>8.76</v>
      </c>
      <c r="G611" s="7">
        <f t="shared" si="147"/>
        <v>19.399999999999999</v>
      </c>
      <c r="H611" s="16">
        <f t="shared" si="148"/>
        <v>24.4</v>
      </c>
      <c r="I611" s="11">
        <f t="shared" si="151"/>
        <v>0.18622549971585556</v>
      </c>
      <c r="J611" s="33">
        <f t="shared" si="152"/>
        <v>2.1258618689024608E-2</v>
      </c>
      <c r="K611" s="33">
        <f t="shared" si="153"/>
        <v>47.039744897267461</v>
      </c>
      <c r="L611" s="8">
        <v>0</v>
      </c>
      <c r="M611" s="9">
        <v>1</v>
      </c>
      <c r="N611" s="8">
        <v>0</v>
      </c>
      <c r="O611" s="9">
        <v>0</v>
      </c>
      <c r="P611" s="9">
        <v>0</v>
      </c>
      <c r="Q611" s="9">
        <v>1</v>
      </c>
      <c r="R611" s="9">
        <v>0</v>
      </c>
      <c r="S611" s="8">
        <v>2150</v>
      </c>
      <c r="T611" s="9">
        <v>13</v>
      </c>
      <c r="U611" s="9">
        <f t="shared" si="149"/>
        <v>2136</v>
      </c>
      <c r="V611" s="9">
        <f t="shared" si="150"/>
        <v>50</v>
      </c>
      <c r="W611" s="7">
        <f t="shared" si="144"/>
        <v>9.4307999999999996</v>
      </c>
      <c r="X611" s="7">
        <f t="shared" si="145"/>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6"/>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v>0</v>
      </c>
      <c r="BF611" s="18">
        <v>0</v>
      </c>
      <c r="BG611">
        <v>1</v>
      </c>
      <c r="BH611">
        <v>0</v>
      </c>
      <c r="BI611" s="18">
        <v>0</v>
      </c>
      <c r="BJ611">
        <v>25208</v>
      </c>
      <c r="BK611">
        <v>1486</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4"/>
        <v>15.285714285714286</v>
      </c>
      <c r="G612" s="7">
        <f t="shared" si="147"/>
        <v>10</v>
      </c>
      <c r="H612" s="16">
        <f t="shared" si="148"/>
        <v>11.399999999999999</v>
      </c>
      <c r="I612" s="11">
        <f t="shared" si="151"/>
        <v>0.32584416439046376</v>
      </c>
      <c r="J612" s="33">
        <f t="shared" si="152"/>
        <v>2.1316907950777998E-2</v>
      </c>
      <c r="K612" s="33">
        <f t="shared" si="153"/>
        <v>46.911118737720273</v>
      </c>
      <c r="L612" s="8">
        <v>0</v>
      </c>
      <c r="M612" s="9">
        <v>1</v>
      </c>
      <c r="N612" s="8">
        <v>0</v>
      </c>
      <c r="O612" s="9">
        <v>0</v>
      </c>
      <c r="P612" s="9">
        <v>0</v>
      </c>
      <c r="Q612" s="9">
        <v>1</v>
      </c>
      <c r="R612" s="9">
        <v>0</v>
      </c>
      <c r="S612" s="8">
        <v>1981</v>
      </c>
      <c r="T612" s="9">
        <v>13</v>
      </c>
      <c r="U612" s="9">
        <f t="shared" si="149"/>
        <v>1967</v>
      </c>
      <c r="V612" s="9">
        <f t="shared" si="150"/>
        <v>50</v>
      </c>
      <c r="W612" s="7">
        <f t="shared" si="144"/>
        <v>9.4307999999999996</v>
      </c>
      <c r="X612" s="7">
        <f t="shared" si="145"/>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6"/>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v>0</v>
      </c>
      <c r="BF612" s="18">
        <v>0</v>
      </c>
      <c r="BG612">
        <v>1</v>
      </c>
      <c r="BH612">
        <v>0</v>
      </c>
      <c r="BI612" s="18">
        <v>0</v>
      </c>
      <c r="BJ612">
        <v>25208</v>
      </c>
      <c r="BK612">
        <v>1486</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4"/>
        <v>5</v>
      </c>
      <c r="G613" s="7">
        <f t="shared" si="147"/>
        <v>17.2</v>
      </c>
      <c r="H613" s="16">
        <f t="shared" si="148"/>
        <v>25.8</v>
      </c>
      <c r="I613" s="11">
        <f t="shared" si="151"/>
        <v>0.11211213233271874</v>
      </c>
      <c r="J613" s="33">
        <f t="shared" si="152"/>
        <v>2.242242646654375E-2</v>
      </c>
      <c r="K613" s="33">
        <f t="shared" si="153"/>
        <v>44.598206241955516</v>
      </c>
      <c r="L613" s="8">
        <v>0</v>
      </c>
      <c r="M613" s="9">
        <v>1</v>
      </c>
      <c r="N613" s="8">
        <v>0</v>
      </c>
      <c r="O613" s="9">
        <v>0</v>
      </c>
      <c r="P613" s="9">
        <v>0</v>
      </c>
      <c r="Q613" s="9">
        <v>1</v>
      </c>
      <c r="R613" s="9">
        <v>0</v>
      </c>
      <c r="S613" s="8">
        <v>1978</v>
      </c>
      <c r="T613" s="9">
        <v>13</v>
      </c>
      <c r="U613" s="9">
        <f t="shared" si="149"/>
        <v>1964</v>
      </c>
      <c r="V613" s="9">
        <f t="shared" si="150"/>
        <v>50</v>
      </c>
      <c r="W613" s="7">
        <f t="shared" si="144"/>
        <v>9.4307999999999996</v>
      </c>
      <c r="X613" s="7">
        <f t="shared" si="145"/>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6"/>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v>0</v>
      </c>
      <c r="BF613" s="18">
        <v>0</v>
      </c>
      <c r="BG613">
        <v>1</v>
      </c>
      <c r="BH613">
        <v>0</v>
      </c>
      <c r="BI613" s="18">
        <v>0</v>
      </c>
      <c r="BJ613">
        <v>25208</v>
      </c>
      <c r="BK613">
        <v>1486</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2" customFormat="1" x14ac:dyDescent="0.25">
      <c r="A614" s="142">
        <v>613</v>
      </c>
      <c r="B614" s="142">
        <v>38</v>
      </c>
      <c r="C614" s="143" t="s">
        <v>328</v>
      </c>
      <c r="D614" s="144">
        <v>20.7</v>
      </c>
      <c r="E614" s="145">
        <v>3.2</v>
      </c>
      <c r="F614" s="146">
        <f t="shared" si="154"/>
        <v>6.4687499999999991</v>
      </c>
      <c r="G614" s="146">
        <f t="shared" si="147"/>
        <v>17.5</v>
      </c>
      <c r="H614" s="147">
        <f t="shared" si="148"/>
        <v>23.9</v>
      </c>
      <c r="I614" s="11">
        <f t="shared" si="151"/>
        <v>0.15598245363248828</v>
      </c>
      <c r="J614" s="33">
        <f t="shared" si="152"/>
        <v>2.4113229547051335E-2</v>
      </c>
      <c r="K614" s="33">
        <f t="shared" si="153"/>
        <v>41.471010676887289</v>
      </c>
      <c r="L614" s="149">
        <v>0</v>
      </c>
      <c r="M614" s="150">
        <v>1</v>
      </c>
      <c r="N614" s="149">
        <v>0</v>
      </c>
      <c r="O614" s="150">
        <v>0</v>
      </c>
      <c r="P614" s="150">
        <v>0</v>
      </c>
      <c r="Q614" s="150">
        <v>1</v>
      </c>
      <c r="R614" s="150">
        <v>0</v>
      </c>
      <c r="S614" s="149">
        <v>1692</v>
      </c>
      <c r="T614" s="150">
        <v>13</v>
      </c>
      <c r="U614" s="150">
        <f t="shared" si="149"/>
        <v>1678</v>
      </c>
      <c r="V614" s="150">
        <f t="shared" si="150"/>
        <v>50</v>
      </c>
      <c r="W614" s="146">
        <f t="shared" si="144"/>
        <v>9.4307999999999996</v>
      </c>
      <c r="X614" s="146">
        <f t="shared" si="145"/>
        <v>23.669200000000004</v>
      </c>
      <c r="Y614" s="150">
        <v>1</v>
      </c>
      <c r="Z614" s="150">
        <v>0</v>
      </c>
      <c r="AA614" s="150">
        <v>1</v>
      </c>
      <c r="AB614" s="150">
        <v>0</v>
      </c>
      <c r="AC614" s="150">
        <v>0</v>
      </c>
      <c r="AD614" s="150">
        <v>0</v>
      </c>
      <c r="AE614" s="149">
        <v>1</v>
      </c>
      <c r="AF614" s="150">
        <v>0</v>
      </c>
      <c r="AG614" s="151">
        <v>0</v>
      </c>
      <c r="AH614" s="150">
        <v>0</v>
      </c>
      <c r="AI614" s="151">
        <v>1</v>
      </c>
      <c r="AJ614" s="152">
        <v>2001</v>
      </c>
      <c r="AK614" s="148">
        <v>0.13719999999999999</v>
      </c>
      <c r="AL614" s="148">
        <f t="shared" si="146"/>
        <v>0.2238</v>
      </c>
      <c r="AM614" s="148">
        <v>0.28599999999999998</v>
      </c>
      <c r="AN614" s="153">
        <v>0.35299999999999998</v>
      </c>
      <c r="AO614" s="154">
        <v>0.56999999999999995</v>
      </c>
      <c r="AP614" s="155">
        <v>0.43</v>
      </c>
      <c r="AQ614" s="142">
        <v>0</v>
      </c>
      <c r="AR614" s="156">
        <v>1</v>
      </c>
      <c r="AS614" s="142" t="s">
        <v>98</v>
      </c>
      <c r="AT614" s="156" t="s">
        <v>98</v>
      </c>
      <c r="AU614">
        <v>1</v>
      </c>
      <c r="AV614" s="155">
        <v>0</v>
      </c>
      <c r="AW614" s="142" t="s">
        <v>98</v>
      </c>
      <c r="AX614" s="155" t="s">
        <v>98</v>
      </c>
      <c r="AY614" s="155" t="s">
        <v>329</v>
      </c>
      <c r="AZ614">
        <v>1</v>
      </c>
      <c r="BA614">
        <v>0</v>
      </c>
      <c r="BB614">
        <v>1</v>
      </c>
      <c r="BC614">
        <v>0</v>
      </c>
      <c r="BD614">
        <v>0</v>
      </c>
      <c r="BE614">
        <v>0</v>
      </c>
      <c r="BF614" s="155">
        <v>0</v>
      </c>
      <c r="BG614">
        <v>1</v>
      </c>
      <c r="BH614">
        <v>0</v>
      </c>
      <c r="BI614" s="155">
        <v>0</v>
      </c>
      <c r="BJ614">
        <v>25208</v>
      </c>
      <c r="BK614">
        <v>1486</v>
      </c>
      <c r="BL614" s="143">
        <v>39.1</v>
      </c>
      <c r="BM614" s="142">
        <v>0</v>
      </c>
      <c r="BN614" s="142">
        <v>0</v>
      </c>
      <c r="BO614" s="142">
        <v>0</v>
      </c>
      <c r="BP614" s="142">
        <v>0</v>
      </c>
      <c r="BQ614" s="142">
        <v>0</v>
      </c>
      <c r="BR614" s="142">
        <v>0</v>
      </c>
      <c r="BS614" s="142">
        <v>0</v>
      </c>
      <c r="BT614" s="155">
        <v>1</v>
      </c>
      <c r="BU614" s="142">
        <v>0</v>
      </c>
      <c r="BV614" s="142">
        <v>0</v>
      </c>
      <c r="BW614" s="142">
        <v>1</v>
      </c>
      <c r="BX614" s="155">
        <v>0</v>
      </c>
      <c r="BY614" s="142">
        <v>0</v>
      </c>
      <c r="BZ614" s="142">
        <v>0</v>
      </c>
      <c r="CA614" s="142">
        <v>0</v>
      </c>
      <c r="CB614" s="142">
        <v>0</v>
      </c>
      <c r="CC614" s="155">
        <v>1</v>
      </c>
      <c r="CD614" s="142">
        <v>1</v>
      </c>
      <c r="CE614" s="142">
        <v>1</v>
      </c>
      <c r="CF614" s="142">
        <v>0</v>
      </c>
      <c r="CG614" s="142">
        <v>0</v>
      </c>
      <c r="CH614" s="142">
        <v>0</v>
      </c>
      <c r="CI614" s="142">
        <v>1</v>
      </c>
      <c r="CJ614" s="142">
        <v>0</v>
      </c>
      <c r="CK614" s="142">
        <v>0</v>
      </c>
      <c r="CL614" s="142">
        <v>0</v>
      </c>
      <c r="CM614" s="142">
        <v>0</v>
      </c>
      <c r="CN614" s="155">
        <v>1</v>
      </c>
      <c r="CO614">
        <v>0</v>
      </c>
      <c r="CP614">
        <v>43</v>
      </c>
      <c r="CQ614">
        <v>0</v>
      </c>
      <c r="CR614" s="142">
        <v>1</v>
      </c>
      <c r="CS614" s="142">
        <v>6</v>
      </c>
      <c r="CT614" s="157"/>
      <c r="CY614" s="157"/>
    </row>
    <row r="615" spans="1:103" x14ac:dyDescent="0.25">
      <c r="A615">
        <v>614</v>
      </c>
      <c r="B615">
        <v>39</v>
      </c>
      <c r="C615" s="25" t="s">
        <v>330</v>
      </c>
      <c r="D615" s="12">
        <v>5.6</v>
      </c>
      <c r="E615" s="14">
        <v>0.08</v>
      </c>
      <c r="F615" s="7">
        <f t="shared" si="154"/>
        <v>70</v>
      </c>
      <c r="G615" s="7">
        <f t="shared" si="147"/>
        <v>5.52</v>
      </c>
      <c r="H615" s="16">
        <f t="shared" si="148"/>
        <v>5.68</v>
      </c>
      <c r="I615" s="11">
        <f t="shared" si="151"/>
        <v>0.45067594598575533</v>
      </c>
      <c r="J615" s="33">
        <f t="shared" si="152"/>
        <v>6.4382277997965046E-3</v>
      </c>
      <c r="K615" s="33">
        <f t="shared" si="153"/>
        <v>155.32224567009067</v>
      </c>
      <c r="L615" s="8">
        <v>0</v>
      </c>
      <c r="M615" s="9">
        <v>1</v>
      </c>
      <c r="N615" s="8">
        <v>0</v>
      </c>
      <c r="O615" s="9">
        <v>0</v>
      </c>
      <c r="P615" s="9">
        <v>1</v>
      </c>
      <c r="Q615" s="9">
        <v>0</v>
      </c>
      <c r="R615" s="9">
        <v>0</v>
      </c>
      <c r="S615" s="8">
        <v>19234</v>
      </c>
      <c r="T615" s="9">
        <v>8</v>
      </c>
      <c r="U615" s="9">
        <f t="shared" si="149"/>
        <v>19225</v>
      </c>
      <c r="V615" s="9">
        <f t="shared" si="15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v>0</v>
      </c>
      <c r="BF615" s="18">
        <v>0</v>
      </c>
      <c r="BG615">
        <v>1</v>
      </c>
      <c r="BH615">
        <v>0</v>
      </c>
      <c r="BI615" s="18">
        <v>0</v>
      </c>
      <c r="BJ615">
        <v>15116</v>
      </c>
      <c r="BK615">
        <v>12548</v>
      </c>
      <c r="BL615" s="93">
        <f t="shared" ref="BL615:BL641" si="156">6+W615+X615</f>
        <v>33</v>
      </c>
      <c r="BM615">
        <v>1</v>
      </c>
      <c r="BN615">
        <v>0</v>
      </c>
      <c r="BO615">
        <v>0</v>
      </c>
      <c r="BP615">
        <v>0</v>
      </c>
      <c r="BQ615">
        <v>0</v>
      </c>
      <c r="BR615">
        <v>0</v>
      </c>
      <c r="BS615">
        <v>0</v>
      </c>
      <c r="BT615" s="18">
        <v>0</v>
      </c>
      <c r="BU615">
        <v>0</v>
      </c>
      <c r="BV615">
        <v>0</v>
      </c>
      <c r="BW615">
        <v>0</v>
      </c>
      <c r="BX615" s="18">
        <v>1</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4"/>
        <v>37.777777777777779</v>
      </c>
      <c r="G616" s="7">
        <f t="shared" si="147"/>
        <v>6.62</v>
      </c>
      <c r="H616" s="16">
        <f t="shared" si="148"/>
        <v>6.9799999999999995</v>
      </c>
      <c r="I616" s="11">
        <f t="shared" si="151"/>
        <v>0.26685477272919289</v>
      </c>
      <c r="J616" s="33">
        <f t="shared" si="152"/>
        <v>7.0638028075374589E-3</v>
      </c>
      <c r="K616" s="33">
        <f t="shared" si="153"/>
        <v>141.5668057626051</v>
      </c>
      <c r="L616" s="8">
        <v>0</v>
      </c>
      <c r="M616" s="9">
        <v>1</v>
      </c>
      <c r="N616" s="8">
        <v>0</v>
      </c>
      <c r="O616" s="9">
        <v>0</v>
      </c>
      <c r="P616" s="9">
        <v>1</v>
      </c>
      <c r="Q616" s="9">
        <v>0</v>
      </c>
      <c r="R616" s="9">
        <v>0</v>
      </c>
      <c r="S616" s="8">
        <v>18623</v>
      </c>
      <c r="T616" s="9">
        <v>8</v>
      </c>
      <c r="U616" s="9">
        <f t="shared" si="149"/>
        <v>18614</v>
      </c>
      <c r="V616" s="9">
        <f t="shared" si="15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v>0</v>
      </c>
      <c r="BF616" s="18">
        <v>0</v>
      </c>
      <c r="BG616">
        <v>1</v>
      </c>
      <c r="BH616">
        <v>0</v>
      </c>
      <c r="BI616" s="18">
        <v>0</v>
      </c>
      <c r="BJ616">
        <v>15116</v>
      </c>
      <c r="BK616">
        <v>12548</v>
      </c>
      <c r="BL616" s="93">
        <f t="shared" si="156"/>
        <v>33</v>
      </c>
      <c r="BM616">
        <v>0</v>
      </c>
      <c r="BN616">
        <v>0</v>
      </c>
      <c r="BO616">
        <v>0</v>
      </c>
      <c r="BP616">
        <v>0</v>
      </c>
      <c r="BQ616">
        <v>0</v>
      </c>
      <c r="BR616">
        <v>0</v>
      </c>
      <c r="BS616">
        <v>0</v>
      </c>
      <c r="BT616" s="18">
        <v>1</v>
      </c>
      <c r="BU616">
        <v>0</v>
      </c>
      <c r="BV616">
        <v>0</v>
      </c>
      <c r="BW616">
        <v>0</v>
      </c>
      <c r="BX616" s="18">
        <v>1</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4"/>
        <v>10.088888888888889</v>
      </c>
      <c r="G617" s="7">
        <f t="shared" si="147"/>
        <v>4.09</v>
      </c>
      <c r="H617" s="16">
        <f t="shared" si="148"/>
        <v>4.99</v>
      </c>
      <c r="I617" s="11">
        <f t="shared" si="151"/>
        <v>0.31287540391824742</v>
      </c>
      <c r="J617" s="33">
        <f t="shared" si="152"/>
        <v>3.101187924299809E-2</v>
      </c>
      <c r="K617" s="33">
        <f t="shared" si="153"/>
        <v>32.245707916129639</v>
      </c>
      <c r="L617" s="8">
        <v>0</v>
      </c>
      <c r="M617" s="9">
        <v>1</v>
      </c>
      <c r="N617" s="8">
        <v>0</v>
      </c>
      <c r="O617" s="9">
        <v>0</v>
      </c>
      <c r="P617" s="9">
        <v>1</v>
      </c>
      <c r="Q617" s="9">
        <v>0</v>
      </c>
      <c r="R617" s="9">
        <v>0</v>
      </c>
      <c r="S617" s="8">
        <v>947</v>
      </c>
      <c r="T617" s="9">
        <v>8</v>
      </c>
      <c r="U617" s="9">
        <f t="shared" si="149"/>
        <v>938</v>
      </c>
      <c r="V617" s="9">
        <f t="shared" si="150"/>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v>0</v>
      </c>
      <c r="BF617" s="18">
        <v>0</v>
      </c>
      <c r="BG617">
        <v>1</v>
      </c>
      <c r="BH617">
        <v>0</v>
      </c>
      <c r="BI617" s="18">
        <v>0</v>
      </c>
      <c r="BJ617">
        <v>15116</v>
      </c>
      <c r="BK617">
        <v>12548</v>
      </c>
      <c r="BL617" s="93">
        <f t="shared" si="156"/>
        <v>43.75</v>
      </c>
      <c r="BM617">
        <v>1</v>
      </c>
      <c r="BN617">
        <v>0</v>
      </c>
      <c r="BO617">
        <v>0</v>
      </c>
      <c r="BP617">
        <v>0</v>
      </c>
      <c r="BQ617">
        <v>0</v>
      </c>
      <c r="BR617">
        <v>0</v>
      </c>
      <c r="BS617">
        <v>0</v>
      </c>
      <c r="BT617" s="18">
        <v>0</v>
      </c>
      <c r="BU617">
        <v>0</v>
      </c>
      <c r="BV617">
        <v>0</v>
      </c>
      <c r="BW617">
        <v>0</v>
      </c>
      <c r="BX617" s="18">
        <v>1</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4"/>
        <v>6.5877192982456148</v>
      </c>
      <c r="G618" s="7">
        <f t="shared" si="147"/>
        <v>6.37</v>
      </c>
      <c r="H618" s="16">
        <f t="shared" si="148"/>
        <v>8.65</v>
      </c>
      <c r="I618" s="11">
        <f t="shared" si="151"/>
        <v>0.21346458722465919</v>
      </c>
      <c r="J618" s="33">
        <f t="shared" si="152"/>
        <v>3.2403412707871032E-2</v>
      </c>
      <c r="K618" s="33">
        <f t="shared" si="153"/>
        <v>30.860946932206698</v>
      </c>
      <c r="L618" s="8">
        <v>0</v>
      </c>
      <c r="M618" s="9">
        <v>1</v>
      </c>
      <c r="N618" s="8">
        <v>0</v>
      </c>
      <c r="O618" s="9">
        <v>0</v>
      </c>
      <c r="P618" s="9">
        <v>1</v>
      </c>
      <c r="Q618" s="9">
        <v>0</v>
      </c>
      <c r="R618" s="9">
        <v>0</v>
      </c>
      <c r="S618" s="8">
        <v>918</v>
      </c>
      <c r="T618" s="9">
        <v>8</v>
      </c>
      <c r="U618" s="9">
        <f t="shared" si="149"/>
        <v>909</v>
      </c>
      <c r="V618" s="9">
        <f t="shared" si="150"/>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v>0</v>
      </c>
      <c r="BF618" s="18">
        <v>0</v>
      </c>
      <c r="BG618">
        <v>1</v>
      </c>
      <c r="BH618">
        <v>0</v>
      </c>
      <c r="BI618" s="18">
        <v>0</v>
      </c>
      <c r="BJ618">
        <v>15116</v>
      </c>
      <c r="BK618">
        <v>12548</v>
      </c>
      <c r="BL618" s="93">
        <f t="shared" si="156"/>
        <v>43.75</v>
      </c>
      <c r="BM618">
        <v>0</v>
      </c>
      <c r="BN618">
        <v>0</v>
      </c>
      <c r="BO618">
        <v>0</v>
      </c>
      <c r="BP618">
        <v>0</v>
      </c>
      <c r="BQ618">
        <v>0</v>
      </c>
      <c r="BR618">
        <v>0</v>
      </c>
      <c r="BS618">
        <v>0</v>
      </c>
      <c r="BT618" s="18">
        <v>1</v>
      </c>
      <c r="BU618">
        <v>0</v>
      </c>
      <c r="BV618">
        <v>0</v>
      </c>
      <c r="BW618">
        <v>0</v>
      </c>
      <c r="BX618" s="18">
        <v>1</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4"/>
        <v>0.8472222222222221</v>
      </c>
      <c r="G619" s="7">
        <f t="shared" si="147"/>
        <v>-0.55000000000000027</v>
      </c>
      <c r="H619" s="16">
        <f t="shared" si="148"/>
        <v>6.65</v>
      </c>
      <c r="I619" s="11">
        <f t="shared" si="151"/>
        <v>2.3582057357347679E-2</v>
      </c>
      <c r="J619" s="33">
        <f t="shared" si="152"/>
        <v>2.7834559503754644E-2</v>
      </c>
      <c r="K619" s="33">
        <f t="shared" si="153"/>
        <v>35.926561002882352</v>
      </c>
      <c r="L619" s="8">
        <v>0</v>
      </c>
      <c r="M619" s="9">
        <v>1</v>
      </c>
      <c r="N619" s="8">
        <v>0</v>
      </c>
      <c r="O619" s="9">
        <v>0</v>
      </c>
      <c r="P619" s="9">
        <v>1</v>
      </c>
      <c r="Q619" s="9">
        <v>0</v>
      </c>
      <c r="R619" s="9">
        <v>0</v>
      </c>
      <c r="S619" s="8">
        <v>1299</v>
      </c>
      <c r="T619" s="9">
        <v>8</v>
      </c>
      <c r="U619" s="9">
        <f t="shared" si="149"/>
        <v>1290</v>
      </c>
      <c r="V619" s="9">
        <f t="shared" si="150"/>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v>0</v>
      </c>
      <c r="BF619" s="18">
        <v>0</v>
      </c>
      <c r="BG619">
        <v>1</v>
      </c>
      <c r="BH619">
        <v>0</v>
      </c>
      <c r="BI619" s="18">
        <v>0</v>
      </c>
      <c r="BJ619">
        <v>15116</v>
      </c>
      <c r="BK619">
        <v>12548</v>
      </c>
      <c r="BL619" s="93">
        <f t="shared" si="156"/>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4"/>
        <v>5.1363636363636367</v>
      </c>
      <c r="G620" s="7">
        <f t="shared" si="147"/>
        <v>4.5500000000000007</v>
      </c>
      <c r="H620" s="16">
        <f t="shared" si="148"/>
        <v>6.75</v>
      </c>
      <c r="I620" s="11">
        <f t="shared" si="151"/>
        <v>0.1445068320716868</v>
      </c>
      <c r="J620" s="33">
        <f t="shared" si="152"/>
        <v>2.8134073500682387E-2</v>
      </c>
      <c r="K620" s="33">
        <f t="shared" si="153"/>
        <v>35.544088557803235</v>
      </c>
      <c r="L620" s="8">
        <v>0</v>
      </c>
      <c r="M620" s="9">
        <v>1</v>
      </c>
      <c r="N620" s="8">
        <v>0</v>
      </c>
      <c r="O620" s="9">
        <v>0</v>
      </c>
      <c r="P620" s="9">
        <v>1</v>
      </c>
      <c r="Q620" s="9">
        <v>0</v>
      </c>
      <c r="R620" s="9">
        <v>0</v>
      </c>
      <c r="S620" s="8">
        <v>1246</v>
      </c>
      <c r="T620" s="9">
        <v>8</v>
      </c>
      <c r="U620" s="9">
        <f t="shared" si="149"/>
        <v>1237</v>
      </c>
      <c r="V620" s="9">
        <f t="shared" si="150"/>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v>0</v>
      </c>
      <c r="BF620" s="18">
        <v>0</v>
      </c>
      <c r="BG620">
        <v>1</v>
      </c>
      <c r="BH620">
        <v>0</v>
      </c>
      <c r="BI620" s="18">
        <v>0</v>
      </c>
      <c r="BJ620">
        <v>15116</v>
      </c>
      <c r="BK620">
        <v>12548</v>
      </c>
      <c r="BL620" s="93">
        <f t="shared" si="156"/>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4"/>
        <v>11.891891891891893</v>
      </c>
      <c r="G621" s="7">
        <f t="shared" si="147"/>
        <v>4.03</v>
      </c>
      <c r="H621" s="16">
        <f t="shared" si="148"/>
        <v>4.7700000000000005</v>
      </c>
      <c r="I621" s="11">
        <f t="shared" si="151"/>
        <v>0.30417954748127174</v>
      </c>
      <c r="J621" s="33">
        <f t="shared" si="152"/>
        <v>2.5578734674561485E-2</v>
      </c>
      <c r="K621" s="33">
        <f t="shared" si="153"/>
        <v>39.09497528798866</v>
      </c>
      <c r="L621" s="8">
        <v>0</v>
      </c>
      <c r="M621" s="9">
        <v>1</v>
      </c>
      <c r="N621" s="8">
        <v>0</v>
      </c>
      <c r="O621" s="9">
        <v>0</v>
      </c>
      <c r="P621" s="9">
        <v>1</v>
      </c>
      <c r="Q621" s="9">
        <v>0</v>
      </c>
      <c r="R621" s="9">
        <v>0</v>
      </c>
      <c r="S621" s="8">
        <v>1396</v>
      </c>
      <c r="T621" s="9">
        <v>8</v>
      </c>
      <c r="U621" s="9">
        <f t="shared" si="149"/>
        <v>1387</v>
      </c>
      <c r="V621" s="9">
        <f t="shared" si="15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v>0</v>
      </c>
      <c r="BF621" s="18">
        <v>0</v>
      </c>
      <c r="BG621">
        <v>1</v>
      </c>
      <c r="BH621">
        <v>0</v>
      </c>
      <c r="BI621" s="18">
        <v>0</v>
      </c>
      <c r="BJ621">
        <v>15116</v>
      </c>
      <c r="BK621">
        <v>12548</v>
      </c>
      <c r="BL621" s="93">
        <f t="shared" si="156"/>
        <v>34.86</v>
      </c>
      <c r="BM621">
        <v>1</v>
      </c>
      <c r="BN621">
        <v>0</v>
      </c>
      <c r="BO621">
        <v>0</v>
      </c>
      <c r="BP621">
        <v>0</v>
      </c>
      <c r="BQ621">
        <v>0</v>
      </c>
      <c r="BR621">
        <v>0</v>
      </c>
      <c r="BS621">
        <v>0</v>
      </c>
      <c r="BT621" s="18">
        <v>0</v>
      </c>
      <c r="BU621">
        <v>0</v>
      </c>
      <c r="BV621">
        <v>0</v>
      </c>
      <c r="BW621">
        <v>0</v>
      </c>
      <c r="BX621" s="18">
        <v>1</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4"/>
        <v>7.6972477064220186</v>
      </c>
      <c r="G622" s="7">
        <f t="shared" si="147"/>
        <v>7.3000000000000007</v>
      </c>
      <c r="H622" s="16">
        <f t="shared" si="148"/>
        <v>9.48</v>
      </c>
      <c r="I622" s="11">
        <f t="shared" si="151"/>
        <v>0.20547940779494051</v>
      </c>
      <c r="J622" s="33">
        <f t="shared" si="152"/>
        <v>2.6695179320200848E-2</v>
      </c>
      <c r="K622" s="33">
        <f t="shared" si="153"/>
        <v>37.459946906716496</v>
      </c>
      <c r="L622" s="8">
        <v>0</v>
      </c>
      <c r="M622" s="9">
        <v>1</v>
      </c>
      <c r="N622" s="8">
        <v>0</v>
      </c>
      <c r="O622" s="9">
        <v>0</v>
      </c>
      <c r="P622" s="9">
        <v>1</v>
      </c>
      <c r="Q622" s="9">
        <v>0</v>
      </c>
      <c r="R622" s="9">
        <v>0</v>
      </c>
      <c r="S622" s="8">
        <v>1353</v>
      </c>
      <c r="T622" s="9">
        <v>8</v>
      </c>
      <c r="U622" s="9">
        <f t="shared" si="149"/>
        <v>1344</v>
      </c>
      <c r="V622" s="9">
        <f t="shared" si="15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v>0</v>
      </c>
      <c r="BF622" s="18">
        <v>0</v>
      </c>
      <c r="BG622">
        <v>1</v>
      </c>
      <c r="BH622">
        <v>0</v>
      </c>
      <c r="BI622" s="18">
        <v>0</v>
      </c>
      <c r="BJ622">
        <v>15116</v>
      </c>
      <c r="BK622">
        <v>12548</v>
      </c>
      <c r="BL622" s="93">
        <f t="shared" si="156"/>
        <v>34.86</v>
      </c>
      <c r="BM622">
        <v>0</v>
      </c>
      <c r="BN622">
        <v>0</v>
      </c>
      <c r="BO622">
        <v>0</v>
      </c>
      <c r="BP622">
        <v>0</v>
      </c>
      <c r="BQ622">
        <v>0</v>
      </c>
      <c r="BR622">
        <v>0</v>
      </c>
      <c r="BS622">
        <v>0</v>
      </c>
      <c r="BT622" s="18">
        <v>1</v>
      </c>
      <c r="BU622">
        <v>0</v>
      </c>
      <c r="BV622">
        <v>0</v>
      </c>
      <c r="BW622">
        <v>0</v>
      </c>
      <c r="BX622" s="18">
        <v>1</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4"/>
        <v>6.615384615384615</v>
      </c>
      <c r="G623" s="7">
        <f t="shared" si="147"/>
        <v>2.19</v>
      </c>
      <c r="H623" s="16">
        <f t="shared" si="148"/>
        <v>2.97</v>
      </c>
      <c r="I623" s="11">
        <f t="shared" si="151"/>
        <v>0.21637359917513771</v>
      </c>
      <c r="J623" s="33">
        <f t="shared" si="152"/>
        <v>3.2707637084613848E-2</v>
      </c>
      <c r="K623" s="33">
        <f t="shared" si="153"/>
        <v>30.573899221549535</v>
      </c>
      <c r="L623" s="8">
        <v>0</v>
      </c>
      <c r="M623" s="9">
        <v>1</v>
      </c>
      <c r="N623" s="8">
        <v>0</v>
      </c>
      <c r="O623" s="9">
        <v>0</v>
      </c>
      <c r="P623" s="9">
        <v>1</v>
      </c>
      <c r="Q623" s="9">
        <v>0</v>
      </c>
      <c r="R623" s="9">
        <v>0</v>
      </c>
      <c r="S623" s="8">
        <v>900</v>
      </c>
      <c r="T623" s="9">
        <v>8</v>
      </c>
      <c r="U623" s="9">
        <f t="shared" si="149"/>
        <v>891</v>
      </c>
      <c r="V623" s="9">
        <f t="shared" si="15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v>0</v>
      </c>
      <c r="BF623" s="18">
        <v>0</v>
      </c>
      <c r="BG623">
        <v>1</v>
      </c>
      <c r="BH623">
        <v>0</v>
      </c>
      <c r="BI623" s="18">
        <v>0</v>
      </c>
      <c r="BJ623">
        <v>15116</v>
      </c>
      <c r="BK623">
        <v>12548</v>
      </c>
      <c r="BL623" s="93">
        <f t="shared" si="156"/>
        <v>30.17</v>
      </c>
      <c r="BM623">
        <v>1</v>
      </c>
      <c r="BN623">
        <v>0</v>
      </c>
      <c r="BO623">
        <v>0</v>
      </c>
      <c r="BP623">
        <v>0</v>
      </c>
      <c r="BQ623">
        <v>0</v>
      </c>
      <c r="BR623">
        <v>0</v>
      </c>
      <c r="BS623">
        <v>0</v>
      </c>
      <c r="BT623" s="18">
        <v>0</v>
      </c>
      <c r="BU623">
        <v>0</v>
      </c>
      <c r="BV623">
        <v>0</v>
      </c>
      <c r="BW623">
        <v>0</v>
      </c>
      <c r="BX623" s="18">
        <v>1</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2" customFormat="1" x14ac:dyDescent="0.25">
      <c r="A624" s="142">
        <v>623</v>
      </c>
      <c r="B624" s="142">
        <v>39</v>
      </c>
      <c r="C624" s="143" t="s">
        <v>330</v>
      </c>
      <c r="D624" s="144">
        <v>3.13</v>
      </c>
      <c r="E624" s="145">
        <v>1.03</v>
      </c>
      <c r="F624" s="146">
        <f t="shared" si="154"/>
        <v>3.0388349514563107</v>
      </c>
      <c r="G624" s="146">
        <f t="shared" si="147"/>
        <v>2.0999999999999996</v>
      </c>
      <c r="H624" s="147">
        <f t="shared" si="148"/>
        <v>4.16</v>
      </c>
      <c r="I624" s="11">
        <f t="shared" si="151"/>
        <v>0.10366955995013886</v>
      </c>
      <c r="J624" s="33">
        <f t="shared" si="152"/>
        <v>3.4114903114582436E-2</v>
      </c>
      <c r="K624" s="33">
        <f t="shared" si="153"/>
        <v>29.312702329573654</v>
      </c>
      <c r="L624" s="149">
        <v>0</v>
      </c>
      <c r="M624" s="150">
        <v>1</v>
      </c>
      <c r="N624" s="149">
        <v>0</v>
      </c>
      <c r="O624" s="150">
        <v>0</v>
      </c>
      <c r="P624" s="150">
        <v>1</v>
      </c>
      <c r="Q624" s="150">
        <v>0</v>
      </c>
      <c r="R624" s="150">
        <v>0</v>
      </c>
      <c r="S624" s="149">
        <v>859</v>
      </c>
      <c r="T624" s="150">
        <v>8</v>
      </c>
      <c r="U624" s="150">
        <f t="shared" si="149"/>
        <v>850</v>
      </c>
      <c r="V624" s="150">
        <f t="shared" si="150"/>
        <v>10</v>
      </c>
      <c r="W624" s="146">
        <v>9.9600000000000009</v>
      </c>
      <c r="X624" s="146">
        <v>14.21</v>
      </c>
      <c r="Y624" s="150">
        <v>1</v>
      </c>
      <c r="Z624" s="150">
        <v>0</v>
      </c>
      <c r="AA624" s="150">
        <v>0</v>
      </c>
      <c r="AB624" s="150">
        <v>0</v>
      </c>
      <c r="AC624" s="150">
        <v>1</v>
      </c>
      <c r="AD624" s="150">
        <v>0</v>
      </c>
      <c r="AE624" s="149">
        <v>0</v>
      </c>
      <c r="AF624" s="150">
        <v>1</v>
      </c>
      <c r="AG624" s="151">
        <v>0</v>
      </c>
      <c r="AH624" s="150">
        <v>0</v>
      </c>
      <c r="AI624" s="151">
        <v>1</v>
      </c>
      <c r="AJ624" s="152">
        <v>2001</v>
      </c>
      <c r="AK624" s="148" t="s">
        <v>98</v>
      </c>
      <c r="AL624" s="148" t="s">
        <v>98</v>
      </c>
      <c r="AM624" s="148" t="s">
        <v>98</v>
      </c>
      <c r="AN624" s="153" t="s">
        <v>98</v>
      </c>
      <c r="AO624" s="154">
        <v>1</v>
      </c>
      <c r="AP624" s="155">
        <v>0</v>
      </c>
      <c r="AQ624" s="142">
        <v>0</v>
      </c>
      <c r="AR624" s="156">
        <v>1</v>
      </c>
      <c r="AS624" s="142">
        <v>0</v>
      </c>
      <c r="AT624" s="156">
        <v>1</v>
      </c>
      <c r="AU624">
        <v>1</v>
      </c>
      <c r="AV624" s="155">
        <v>0</v>
      </c>
      <c r="AW624" s="142" t="s">
        <v>98</v>
      </c>
      <c r="AX624" s="155" t="s">
        <v>98</v>
      </c>
      <c r="AY624" s="155" t="s">
        <v>26</v>
      </c>
      <c r="AZ624">
        <v>1</v>
      </c>
      <c r="BA624">
        <v>0</v>
      </c>
      <c r="BB624">
        <v>0</v>
      </c>
      <c r="BC624">
        <v>0</v>
      </c>
      <c r="BD624">
        <v>0</v>
      </c>
      <c r="BE624">
        <v>0</v>
      </c>
      <c r="BF624" s="155">
        <v>0</v>
      </c>
      <c r="BG624">
        <v>1</v>
      </c>
      <c r="BH624">
        <v>0</v>
      </c>
      <c r="BI624" s="155">
        <v>0</v>
      </c>
      <c r="BJ624">
        <v>15116</v>
      </c>
      <c r="BK624">
        <v>12548</v>
      </c>
      <c r="BL624" s="168">
        <f t="shared" si="156"/>
        <v>30.17</v>
      </c>
      <c r="BM624" s="142">
        <v>0</v>
      </c>
      <c r="BN624" s="142">
        <v>0</v>
      </c>
      <c r="BO624" s="142">
        <v>0</v>
      </c>
      <c r="BP624" s="142">
        <v>0</v>
      </c>
      <c r="BQ624" s="142">
        <v>0</v>
      </c>
      <c r="BR624" s="142">
        <v>0</v>
      </c>
      <c r="BS624" s="142">
        <v>0</v>
      </c>
      <c r="BT624" s="155">
        <v>1</v>
      </c>
      <c r="BU624" s="142">
        <v>0</v>
      </c>
      <c r="BV624" s="142">
        <v>0</v>
      </c>
      <c r="BW624" s="142">
        <v>0</v>
      </c>
      <c r="BX624" s="155">
        <v>1</v>
      </c>
      <c r="BY624" s="142">
        <v>0</v>
      </c>
      <c r="BZ624" s="142">
        <v>0</v>
      </c>
      <c r="CA624" s="142">
        <v>0</v>
      </c>
      <c r="CB624" s="142">
        <v>0</v>
      </c>
      <c r="CC624" s="155">
        <v>1</v>
      </c>
      <c r="CD624" s="142">
        <v>0</v>
      </c>
      <c r="CE624" s="142">
        <v>0</v>
      </c>
      <c r="CF624" s="142">
        <v>1</v>
      </c>
      <c r="CG624" s="142">
        <v>1</v>
      </c>
      <c r="CH624" s="142">
        <v>0</v>
      </c>
      <c r="CI624" s="142">
        <v>0</v>
      </c>
      <c r="CJ624" s="142">
        <v>0</v>
      </c>
      <c r="CK624" s="142">
        <v>0</v>
      </c>
      <c r="CL624" s="142">
        <v>0</v>
      </c>
      <c r="CM624" s="142">
        <v>0</v>
      </c>
      <c r="CN624" s="155">
        <v>0</v>
      </c>
      <c r="CO624">
        <v>0</v>
      </c>
      <c r="CP624">
        <v>0</v>
      </c>
      <c r="CQ624">
        <v>0</v>
      </c>
      <c r="CR624">
        <v>1</v>
      </c>
      <c r="CS624">
        <v>10</v>
      </c>
      <c r="CT624" s="157"/>
      <c r="CY624" s="157"/>
    </row>
    <row r="625" spans="1:103" x14ac:dyDescent="0.25">
      <c r="A625">
        <v>624</v>
      </c>
      <c r="B625">
        <v>40</v>
      </c>
      <c r="C625" s="25" t="s">
        <v>333</v>
      </c>
      <c r="D625" s="12">
        <v>8.6</v>
      </c>
      <c r="E625" s="14">
        <v>0.3</v>
      </c>
      <c r="F625" s="7">
        <f t="shared" si="154"/>
        <v>28.666666666666668</v>
      </c>
      <c r="G625" s="7">
        <f t="shared" si="147"/>
        <v>8.2999999999999989</v>
      </c>
      <c r="H625" s="16">
        <f t="shared" si="148"/>
        <v>8.9</v>
      </c>
      <c r="I625" s="11">
        <f t="shared" si="151"/>
        <v>0.30072687606952542</v>
      </c>
      <c r="J625" s="33">
        <f t="shared" si="152"/>
        <v>1.0490472421029956E-2</v>
      </c>
      <c r="K625" s="33">
        <f t="shared" si="153"/>
        <v>95.324591673805656</v>
      </c>
      <c r="L625" s="8">
        <v>1</v>
      </c>
      <c r="M625" s="9">
        <v>0</v>
      </c>
      <c r="N625" s="8">
        <v>0</v>
      </c>
      <c r="O625" s="9">
        <v>0</v>
      </c>
      <c r="P625" s="9">
        <v>1</v>
      </c>
      <c r="Q625" s="9">
        <v>0</v>
      </c>
      <c r="R625" s="9">
        <v>0</v>
      </c>
      <c r="S625" s="8">
        <v>8270</v>
      </c>
      <c r="T625" s="9">
        <v>4</v>
      </c>
      <c r="U625" s="9">
        <f t="shared" si="149"/>
        <v>8265</v>
      </c>
      <c r="V625" s="9">
        <f t="shared" si="15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v>0</v>
      </c>
      <c r="BF625" s="18">
        <v>0</v>
      </c>
      <c r="BG625">
        <v>0</v>
      </c>
      <c r="BH625">
        <v>1</v>
      </c>
      <c r="BI625" s="18">
        <v>0</v>
      </c>
      <c r="BJ625">
        <v>942</v>
      </c>
      <c r="BK625">
        <v>131</v>
      </c>
      <c r="BL625" s="25">
        <f t="shared" si="156"/>
        <v>37.39</v>
      </c>
      <c r="BM625">
        <v>1</v>
      </c>
      <c r="BN625">
        <v>0</v>
      </c>
      <c r="BO625">
        <v>0</v>
      </c>
      <c r="BP625">
        <v>0</v>
      </c>
      <c r="BQ625">
        <v>0</v>
      </c>
      <c r="BR625">
        <v>0</v>
      </c>
      <c r="BS625">
        <v>0</v>
      </c>
      <c r="BT625" s="18">
        <v>0</v>
      </c>
      <c r="BU625">
        <v>0</v>
      </c>
      <c r="BV625">
        <v>0</v>
      </c>
      <c r="BW625">
        <v>1</v>
      </c>
      <c r="BX625" s="18">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4"/>
        <v>41.5</v>
      </c>
      <c r="G626" s="7">
        <f t="shared" si="147"/>
        <v>8.1000000000000014</v>
      </c>
      <c r="H626" s="16">
        <f t="shared" si="148"/>
        <v>8.5</v>
      </c>
      <c r="I626" s="11">
        <f t="shared" si="151"/>
        <v>0.41530640149835174</v>
      </c>
      <c r="J626" s="33">
        <f t="shared" si="152"/>
        <v>1.0007383168634981E-2</v>
      </c>
      <c r="K626" s="33">
        <f t="shared" si="153"/>
        <v>99.926222784612449</v>
      </c>
      <c r="L626" s="8">
        <v>1</v>
      </c>
      <c r="M626" s="9">
        <v>0</v>
      </c>
      <c r="N626" s="8">
        <v>0</v>
      </c>
      <c r="O626" s="9">
        <v>0</v>
      </c>
      <c r="P626" s="9">
        <v>1</v>
      </c>
      <c r="Q626" s="9">
        <v>0</v>
      </c>
      <c r="R626" s="9">
        <v>0</v>
      </c>
      <c r="S626" s="8">
        <v>8270</v>
      </c>
      <c r="T626" s="9">
        <v>6</v>
      </c>
      <c r="U626" s="9">
        <f t="shared" si="149"/>
        <v>8263</v>
      </c>
      <c r="V626" s="9">
        <f t="shared" si="15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v>0</v>
      </c>
      <c r="BF626" s="18">
        <v>0</v>
      </c>
      <c r="BG626">
        <v>0</v>
      </c>
      <c r="BH626">
        <v>1</v>
      </c>
      <c r="BI626" s="18">
        <v>0</v>
      </c>
      <c r="BJ626">
        <v>942</v>
      </c>
      <c r="BK626">
        <v>131</v>
      </c>
      <c r="BL626" s="25">
        <f t="shared" si="156"/>
        <v>37.39</v>
      </c>
      <c r="BM626">
        <v>1</v>
      </c>
      <c r="BN626">
        <v>0</v>
      </c>
      <c r="BO626">
        <v>0</v>
      </c>
      <c r="BP626">
        <v>0</v>
      </c>
      <c r="BQ626">
        <v>0</v>
      </c>
      <c r="BR626">
        <v>0</v>
      </c>
      <c r="BS626">
        <v>0</v>
      </c>
      <c r="BT626" s="18">
        <v>0</v>
      </c>
      <c r="BU626">
        <v>0</v>
      </c>
      <c r="BV626">
        <v>0</v>
      </c>
      <c r="BW626">
        <v>1</v>
      </c>
      <c r="BX626" s="18">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4"/>
        <v>32.999999999999993</v>
      </c>
      <c r="G627" s="7">
        <f t="shared" si="147"/>
        <v>6.3999999999999995</v>
      </c>
      <c r="H627" s="16">
        <f t="shared" si="148"/>
        <v>6.8</v>
      </c>
      <c r="I627" s="11">
        <f t="shared" si="151"/>
        <v>0.34124138094380424</v>
      </c>
      <c r="J627" s="33">
        <f t="shared" si="152"/>
        <v>1.034064790738801E-2</v>
      </c>
      <c r="K627" s="33">
        <f t="shared" si="153"/>
        <v>96.705739229892643</v>
      </c>
      <c r="L627" s="8">
        <v>1</v>
      </c>
      <c r="M627" s="9">
        <v>0</v>
      </c>
      <c r="N627" s="8">
        <v>0</v>
      </c>
      <c r="O627" s="9">
        <v>0</v>
      </c>
      <c r="P627" s="9">
        <v>1</v>
      </c>
      <c r="Q627" s="9">
        <v>0</v>
      </c>
      <c r="R627" s="9">
        <v>0</v>
      </c>
      <c r="S627" s="8">
        <v>8270</v>
      </c>
      <c r="T627" s="9">
        <v>6</v>
      </c>
      <c r="U627" s="9">
        <f t="shared" si="149"/>
        <v>8263</v>
      </c>
      <c r="V627" s="9">
        <f t="shared" si="15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v>0</v>
      </c>
      <c r="BF627" s="18">
        <v>0</v>
      </c>
      <c r="BG627">
        <v>0</v>
      </c>
      <c r="BH627">
        <v>1</v>
      </c>
      <c r="BI627" s="18">
        <v>0</v>
      </c>
      <c r="BJ627">
        <v>942</v>
      </c>
      <c r="BK627">
        <v>131</v>
      </c>
      <c r="BL627" s="25">
        <f t="shared" si="156"/>
        <v>37.39</v>
      </c>
      <c r="BM627">
        <v>1</v>
      </c>
      <c r="BN627">
        <v>0</v>
      </c>
      <c r="BO627">
        <v>0</v>
      </c>
      <c r="BP627">
        <v>0</v>
      </c>
      <c r="BQ627">
        <v>0</v>
      </c>
      <c r="BR627">
        <v>0</v>
      </c>
      <c r="BS627">
        <v>0</v>
      </c>
      <c r="BT627" s="18">
        <v>0</v>
      </c>
      <c r="BU627">
        <v>0</v>
      </c>
      <c r="BV627">
        <v>0</v>
      </c>
      <c r="BW627">
        <v>1</v>
      </c>
      <c r="BX627" s="18">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4"/>
        <v>22.666666666666668</v>
      </c>
      <c r="G628" s="7">
        <f t="shared" si="147"/>
        <v>6.5</v>
      </c>
      <c r="H628" s="16">
        <f t="shared" si="148"/>
        <v>7.1</v>
      </c>
      <c r="I628" s="11">
        <f t="shared" si="151"/>
        <v>0.24202966751607363</v>
      </c>
      <c r="J628" s="33">
        <f t="shared" si="152"/>
        <v>1.0677779449238542E-2</v>
      </c>
      <c r="K628" s="33">
        <f t="shared" si="153"/>
        <v>93.652430709393641</v>
      </c>
      <c r="L628" s="8">
        <v>1</v>
      </c>
      <c r="M628" s="9">
        <v>0</v>
      </c>
      <c r="N628" s="8">
        <v>0</v>
      </c>
      <c r="O628" s="9">
        <v>0</v>
      </c>
      <c r="P628" s="9">
        <v>1</v>
      </c>
      <c r="Q628" s="9">
        <v>0</v>
      </c>
      <c r="R628" s="9">
        <v>0</v>
      </c>
      <c r="S628" s="8">
        <v>8270</v>
      </c>
      <c r="T628" s="9">
        <v>12</v>
      </c>
      <c r="U628" s="9">
        <f t="shared" si="149"/>
        <v>8257</v>
      </c>
      <c r="V628" s="9">
        <f t="shared" si="15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v>0</v>
      </c>
      <c r="BF628" s="18">
        <v>0</v>
      </c>
      <c r="BG628">
        <v>0</v>
      </c>
      <c r="BH628">
        <v>1</v>
      </c>
      <c r="BI628" s="18">
        <v>0</v>
      </c>
      <c r="BJ628">
        <v>942</v>
      </c>
      <c r="BK628">
        <v>131</v>
      </c>
      <c r="BL628" s="25">
        <f t="shared" si="156"/>
        <v>37.39</v>
      </c>
      <c r="BM628">
        <v>1</v>
      </c>
      <c r="BN628">
        <v>0</v>
      </c>
      <c r="BO628">
        <v>0</v>
      </c>
      <c r="BP628">
        <v>0</v>
      </c>
      <c r="BQ628">
        <v>0</v>
      </c>
      <c r="BR628">
        <v>0</v>
      </c>
      <c r="BS628">
        <v>0</v>
      </c>
      <c r="BT628" s="18">
        <v>0</v>
      </c>
      <c r="BU628">
        <v>0</v>
      </c>
      <c r="BV628">
        <v>0</v>
      </c>
      <c r="BW628">
        <v>1</v>
      </c>
      <c r="BX628" s="1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4"/>
        <v>22.666666666666668</v>
      </c>
      <c r="G629" s="7">
        <f t="shared" si="147"/>
        <v>6.5</v>
      </c>
      <c r="H629" s="16">
        <f t="shared" si="148"/>
        <v>7.1</v>
      </c>
      <c r="I629" s="11">
        <f t="shared" si="151"/>
        <v>0.24202966751607363</v>
      </c>
      <c r="J629" s="33">
        <f t="shared" si="152"/>
        <v>1.0677779449238542E-2</v>
      </c>
      <c r="K629" s="33">
        <f t="shared" si="153"/>
        <v>93.652430709393641</v>
      </c>
      <c r="L629" s="8">
        <v>1</v>
      </c>
      <c r="M629" s="9">
        <v>0</v>
      </c>
      <c r="N629" s="8">
        <v>0</v>
      </c>
      <c r="O629" s="9">
        <v>0</v>
      </c>
      <c r="P629" s="9">
        <v>1</v>
      </c>
      <c r="Q629" s="9">
        <v>0</v>
      </c>
      <c r="R629" s="9">
        <v>0</v>
      </c>
      <c r="S629" s="8">
        <v>8270</v>
      </c>
      <c r="T629" s="9">
        <v>12</v>
      </c>
      <c r="U629" s="9">
        <f t="shared" si="149"/>
        <v>8257</v>
      </c>
      <c r="V629" s="9">
        <f t="shared" si="15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v>0</v>
      </c>
      <c r="BF629" s="18">
        <v>0</v>
      </c>
      <c r="BG629">
        <v>0</v>
      </c>
      <c r="BH629">
        <v>1</v>
      </c>
      <c r="BI629" s="18">
        <v>0</v>
      </c>
      <c r="BJ629">
        <v>942</v>
      </c>
      <c r="BK629">
        <v>131</v>
      </c>
      <c r="BL629" s="25">
        <f t="shared" si="156"/>
        <v>37.39</v>
      </c>
      <c r="BM629">
        <v>1</v>
      </c>
      <c r="BN629">
        <v>0</v>
      </c>
      <c r="BO629">
        <v>0</v>
      </c>
      <c r="BP629">
        <v>0</v>
      </c>
      <c r="BQ629">
        <v>0</v>
      </c>
      <c r="BR629">
        <v>0</v>
      </c>
      <c r="BS629">
        <v>0</v>
      </c>
      <c r="BT629" s="18">
        <v>0</v>
      </c>
      <c r="BU629">
        <v>0</v>
      </c>
      <c r="BV629">
        <v>0</v>
      </c>
      <c r="BW629">
        <v>1</v>
      </c>
      <c r="BX629" s="18">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4"/>
        <v>15</v>
      </c>
      <c r="G630" s="7">
        <f t="shared" si="147"/>
        <v>5.6</v>
      </c>
      <c r="H630" s="16">
        <f t="shared" si="148"/>
        <v>6.4</v>
      </c>
      <c r="I630" s="11">
        <f t="shared" si="151"/>
        <v>0.16287038575505658</v>
      </c>
      <c r="J630" s="33">
        <f t="shared" si="152"/>
        <v>1.0858025717003773E-2</v>
      </c>
      <c r="K630" s="33">
        <f t="shared" si="153"/>
        <v>92.097774131626011</v>
      </c>
      <c r="L630" s="8">
        <v>1</v>
      </c>
      <c r="M630" s="9">
        <v>0</v>
      </c>
      <c r="N630" s="8">
        <v>0</v>
      </c>
      <c r="O630" s="9">
        <v>0</v>
      </c>
      <c r="P630" s="9">
        <v>1</v>
      </c>
      <c r="Q630" s="9">
        <v>0</v>
      </c>
      <c r="R630" s="9">
        <v>0</v>
      </c>
      <c r="S630" s="8">
        <v>8270</v>
      </c>
      <c r="T630" s="9">
        <v>12</v>
      </c>
      <c r="U630" s="9">
        <f t="shared" si="149"/>
        <v>8257</v>
      </c>
      <c r="V630" s="9">
        <f t="shared" si="15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v>0</v>
      </c>
      <c r="BF630" s="18">
        <v>0</v>
      </c>
      <c r="BG630">
        <v>0</v>
      </c>
      <c r="BH630">
        <v>1</v>
      </c>
      <c r="BI630" s="18">
        <v>0</v>
      </c>
      <c r="BJ630">
        <v>942</v>
      </c>
      <c r="BK630">
        <v>131</v>
      </c>
      <c r="BL630" s="25">
        <f t="shared" si="156"/>
        <v>37.39</v>
      </c>
      <c r="BM630">
        <v>1</v>
      </c>
      <c r="BN630">
        <v>0</v>
      </c>
      <c r="BO630">
        <v>0</v>
      </c>
      <c r="BP630">
        <v>0</v>
      </c>
      <c r="BQ630">
        <v>0</v>
      </c>
      <c r="BR630">
        <v>0</v>
      </c>
      <c r="BS630">
        <v>0</v>
      </c>
      <c r="BT630" s="18">
        <v>0</v>
      </c>
      <c r="BU630">
        <v>0</v>
      </c>
      <c r="BV630">
        <v>0</v>
      </c>
      <c r="BW630">
        <v>1</v>
      </c>
      <c r="BX630" s="18">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4"/>
        <v>15</v>
      </c>
      <c r="G631" s="7">
        <f t="shared" si="147"/>
        <v>5.6</v>
      </c>
      <c r="H631" s="16">
        <f t="shared" si="148"/>
        <v>6.4</v>
      </c>
      <c r="I631" s="11">
        <f t="shared" si="151"/>
        <v>0.16287038575505658</v>
      </c>
      <c r="J631" s="33">
        <f t="shared" si="152"/>
        <v>1.0858025717003773E-2</v>
      </c>
      <c r="K631" s="33">
        <f t="shared" si="153"/>
        <v>92.097774131626011</v>
      </c>
      <c r="L631" s="8">
        <v>1</v>
      </c>
      <c r="M631" s="9">
        <v>0</v>
      </c>
      <c r="N631" s="8">
        <v>0</v>
      </c>
      <c r="O631" s="9">
        <v>0</v>
      </c>
      <c r="P631" s="9">
        <v>1</v>
      </c>
      <c r="Q631" s="9">
        <v>0</v>
      </c>
      <c r="R631" s="9">
        <v>0</v>
      </c>
      <c r="S631" s="8">
        <v>8270</v>
      </c>
      <c r="T631" s="9">
        <v>12</v>
      </c>
      <c r="U631" s="9">
        <f t="shared" si="149"/>
        <v>8257</v>
      </c>
      <c r="V631" s="9">
        <f t="shared" si="15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v>0</v>
      </c>
      <c r="BF631" s="18">
        <v>0</v>
      </c>
      <c r="BG631">
        <v>0</v>
      </c>
      <c r="BH631">
        <v>1</v>
      </c>
      <c r="BI631" s="18">
        <v>0</v>
      </c>
      <c r="BJ631">
        <v>942</v>
      </c>
      <c r="BK631">
        <v>131</v>
      </c>
      <c r="BL631" s="25">
        <f t="shared" si="156"/>
        <v>37.39</v>
      </c>
      <c r="BM631">
        <v>1</v>
      </c>
      <c r="BN631">
        <v>0</v>
      </c>
      <c r="BO631">
        <v>0</v>
      </c>
      <c r="BP631">
        <v>0</v>
      </c>
      <c r="BQ631">
        <v>0</v>
      </c>
      <c r="BR631">
        <v>0</v>
      </c>
      <c r="BS631">
        <v>0</v>
      </c>
      <c r="BT631" s="18">
        <v>0</v>
      </c>
      <c r="BU631">
        <v>0</v>
      </c>
      <c r="BV631">
        <v>0</v>
      </c>
      <c r="BW631">
        <v>1</v>
      </c>
      <c r="BX631" s="18">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4"/>
        <v>18</v>
      </c>
      <c r="G632" s="7">
        <f t="shared" si="147"/>
        <v>6.8</v>
      </c>
      <c r="H632" s="16">
        <f t="shared" si="148"/>
        <v>7.6000000000000005</v>
      </c>
      <c r="I632" s="11">
        <f t="shared" si="151"/>
        <v>0.19431375937366141</v>
      </c>
      <c r="J632" s="33">
        <f t="shared" si="152"/>
        <v>1.0795208854092301E-2</v>
      </c>
      <c r="K632" s="33">
        <f t="shared" si="153"/>
        <v>92.633687176966021</v>
      </c>
      <c r="L632" s="8">
        <v>1</v>
      </c>
      <c r="M632" s="9">
        <v>0</v>
      </c>
      <c r="N632" s="8">
        <v>0</v>
      </c>
      <c r="O632" s="9">
        <v>0</v>
      </c>
      <c r="P632" s="9">
        <v>1</v>
      </c>
      <c r="Q632" s="9">
        <v>0</v>
      </c>
      <c r="R632" s="9">
        <v>0</v>
      </c>
      <c r="S632" s="8">
        <v>8270</v>
      </c>
      <c r="T632" s="9">
        <v>12</v>
      </c>
      <c r="U632" s="9">
        <f t="shared" si="149"/>
        <v>8257</v>
      </c>
      <c r="V632" s="9">
        <f t="shared" si="15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v>0</v>
      </c>
      <c r="BF632" s="18">
        <v>0</v>
      </c>
      <c r="BG632">
        <v>0</v>
      </c>
      <c r="BH632">
        <v>1</v>
      </c>
      <c r="BI632" s="18">
        <v>0</v>
      </c>
      <c r="BJ632">
        <v>942</v>
      </c>
      <c r="BK632">
        <v>131</v>
      </c>
      <c r="BL632" s="25">
        <f t="shared" si="156"/>
        <v>37.39</v>
      </c>
      <c r="BM632">
        <v>0</v>
      </c>
      <c r="BN632">
        <v>0</v>
      </c>
      <c r="BO632">
        <v>1</v>
      </c>
      <c r="BP632">
        <v>0</v>
      </c>
      <c r="BQ632">
        <v>0</v>
      </c>
      <c r="BR632">
        <v>0</v>
      </c>
      <c r="BS632">
        <v>0</v>
      </c>
      <c r="BT632" s="18">
        <v>0</v>
      </c>
      <c r="BU632">
        <v>0</v>
      </c>
      <c r="BV632">
        <v>0</v>
      </c>
      <c r="BW632">
        <v>1</v>
      </c>
      <c r="BX632" s="18">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4"/>
        <v>18</v>
      </c>
      <c r="G633" s="7">
        <f t="shared" si="147"/>
        <v>6.8</v>
      </c>
      <c r="H633" s="16">
        <f t="shared" si="148"/>
        <v>7.6000000000000005</v>
      </c>
      <c r="I633" s="11">
        <f t="shared" si="151"/>
        <v>0.19431375937366141</v>
      </c>
      <c r="J633" s="33">
        <f t="shared" si="152"/>
        <v>1.0795208854092301E-2</v>
      </c>
      <c r="K633" s="33">
        <f t="shared" si="153"/>
        <v>92.633687176966021</v>
      </c>
      <c r="L633" s="8">
        <v>1</v>
      </c>
      <c r="M633" s="9">
        <v>0</v>
      </c>
      <c r="N633" s="8">
        <v>0</v>
      </c>
      <c r="O633" s="9">
        <v>0</v>
      </c>
      <c r="P633" s="9">
        <v>1</v>
      </c>
      <c r="Q633" s="9">
        <v>0</v>
      </c>
      <c r="R633" s="9">
        <v>0</v>
      </c>
      <c r="S633" s="8">
        <v>8270</v>
      </c>
      <c r="T633" s="9">
        <v>12</v>
      </c>
      <c r="U633" s="9">
        <f t="shared" si="149"/>
        <v>8257</v>
      </c>
      <c r="V633" s="9">
        <f t="shared" si="15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v>0</v>
      </c>
      <c r="BF633" s="18">
        <v>0</v>
      </c>
      <c r="BG633">
        <v>0</v>
      </c>
      <c r="BH633">
        <v>1</v>
      </c>
      <c r="BI633" s="18">
        <v>0</v>
      </c>
      <c r="BJ633">
        <v>942</v>
      </c>
      <c r="BK633">
        <v>131</v>
      </c>
      <c r="BL633" s="25">
        <f t="shared" si="156"/>
        <v>37.39</v>
      </c>
      <c r="BM633">
        <v>0</v>
      </c>
      <c r="BN633">
        <v>0</v>
      </c>
      <c r="BO633">
        <v>1</v>
      </c>
      <c r="BP633">
        <v>0</v>
      </c>
      <c r="BQ633">
        <v>0</v>
      </c>
      <c r="BR633">
        <v>0</v>
      </c>
      <c r="BS633">
        <v>0</v>
      </c>
      <c r="BT633" s="18">
        <v>0</v>
      </c>
      <c r="BU633">
        <v>0</v>
      </c>
      <c r="BV633">
        <v>0</v>
      </c>
      <c r="BW633">
        <v>1</v>
      </c>
      <c r="BX633" s="18">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4"/>
        <v>14.8</v>
      </c>
      <c r="G634" s="7">
        <f t="shared" si="147"/>
        <v>6.9</v>
      </c>
      <c r="H634" s="16">
        <f t="shared" si="148"/>
        <v>7.9</v>
      </c>
      <c r="I634" s="11">
        <f t="shared" si="151"/>
        <v>0.16075526904413717</v>
      </c>
      <c r="J634" s="33">
        <f t="shared" si="152"/>
        <v>1.0861842502982241E-2</v>
      </c>
      <c r="K634" s="33">
        <f t="shared" si="153"/>
        <v>92.065411528977592</v>
      </c>
      <c r="L634" s="8">
        <v>1</v>
      </c>
      <c r="M634" s="9">
        <v>0</v>
      </c>
      <c r="N634" s="8">
        <v>0</v>
      </c>
      <c r="O634" s="9">
        <v>0</v>
      </c>
      <c r="P634" s="9">
        <v>1</v>
      </c>
      <c r="Q634" s="9">
        <v>0</v>
      </c>
      <c r="R634" s="9">
        <v>0</v>
      </c>
      <c r="S634" s="8">
        <v>8270</v>
      </c>
      <c r="T634" s="9">
        <v>12</v>
      </c>
      <c r="U634" s="9">
        <f t="shared" si="149"/>
        <v>8257</v>
      </c>
      <c r="V634" s="9">
        <f t="shared" si="15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v>0</v>
      </c>
      <c r="BF634" s="18">
        <v>0</v>
      </c>
      <c r="BG634">
        <v>0</v>
      </c>
      <c r="BH634">
        <v>1</v>
      </c>
      <c r="BI634" s="18">
        <v>0</v>
      </c>
      <c r="BJ634">
        <v>942</v>
      </c>
      <c r="BK634">
        <v>131</v>
      </c>
      <c r="BL634" s="25">
        <f t="shared" si="156"/>
        <v>37.39</v>
      </c>
      <c r="BM634">
        <v>0</v>
      </c>
      <c r="BN634">
        <v>0</v>
      </c>
      <c r="BO634">
        <v>1</v>
      </c>
      <c r="BP634">
        <v>0</v>
      </c>
      <c r="BQ634">
        <v>0</v>
      </c>
      <c r="BR634">
        <v>0</v>
      </c>
      <c r="BS634">
        <v>0</v>
      </c>
      <c r="BT634" s="18">
        <v>0</v>
      </c>
      <c r="BU634">
        <v>0</v>
      </c>
      <c r="BV634">
        <v>0</v>
      </c>
      <c r="BW634">
        <v>1</v>
      </c>
      <c r="BX634" s="18">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4"/>
        <v>14.6</v>
      </c>
      <c r="G635" s="7">
        <f t="shared" si="147"/>
        <v>6.8</v>
      </c>
      <c r="H635" s="16">
        <f t="shared" si="148"/>
        <v>7.8</v>
      </c>
      <c r="I635" s="11">
        <f t="shared" si="151"/>
        <v>0.15863793525842246</v>
      </c>
      <c r="J635" s="33">
        <f t="shared" si="152"/>
        <v>1.0865612004001537E-2</v>
      </c>
      <c r="K635" s="33">
        <f t="shared" si="153"/>
        <v>92.033472171813671</v>
      </c>
      <c r="L635" s="8">
        <v>1</v>
      </c>
      <c r="M635" s="9">
        <v>0</v>
      </c>
      <c r="N635" s="8">
        <v>0</v>
      </c>
      <c r="O635" s="9">
        <v>0</v>
      </c>
      <c r="P635" s="9">
        <v>1</v>
      </c>
      <c r="Q635" s="9">
        <v>0</v>
      </c>
      <c r="R635" s="9">
        <v>0</v>
      </c>
      <c r="S635" s="8">
        <v>8270</v>
      </c>
      <c r="T635" s="9">
        <v>12</v>
      </c>
      <c r="U635" s="9">
        <f t="shared" si="149"/>
        <v>8257</v>
      </c>
      <c r="V635" s="9">
        <f t="shared" si="15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v>0</v>
      </c>
      <c r="BF635" s="18">
        <v>0</v>
      </c>
      <c r="BG635">
        <v>0</v>
      </c>
      <c r="BH635">
        <v>1</v>
      </c>
      <c r="BI635" s="18">
        <v>0</v>
      </c>
      <c r="BJ635">
        <v>942</v>
      </c>
      <c r="BK635">
        <v>131</v>
      </c>
      <c r="BL635" s="25">
        <f t="shared" si="156"/>
        <v>37.39</v>
      </c>
      <c r="BM635">
        <v>0</v>
      </c>
      <c r="BN635">
        <v>0</v>
      </c>
      <c r="BO635">
        <v>1</v>
      </c>
      <c r="BP635">
        <v>0</v>
      </c>
      <c r="BQ635">
        <v>0</v>
      </c>
      <c r="BR635">
        <v>0</v>
      </c>
      <c r="BS635">
        <v>0</v>
      </c>
      <c r="BT635" s="18">
        <v>0</v>
      </c>
      <c r="BU635">
        <v>0</v>
      </c>
      <c r="BV635">
        <v>0</v>
      </c>
      <c r="BW635">
        <v>1</v>
      </c>
      <c r="BX635" s="18">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4"/>
        <v>9.4999999999999982</v>
      </c>
      <c r="G636" s="7">
        <f t="shared" si="147"/>
        <v>6.8</v>
      </c>
      <c r="H636" s="16">
        <f t="shared" si="148"/>
        <v>8.4</v>
      </c>
      <c r="I636" s="11">
        <f t="shared" si="151"/>
        <v>0.10398049842845901</v>
      </c>
      <c r="J636" s="33">
        <f t="shared" si="152"/>
        <v>1.0945315624048319E-2</v>
      </c>
      <c r="K636" s="33">
        <f t="shared" si="153"/>
        <v>91.363285842837328</v>
      </c>
      <c r="L636" s="8">
        <v>1</v>
      </c>
      <c r="M636" s="9">
        <v>0</v>
      </c>
      <c r="N636" s="8">
        <v>0</v>
      </c>
      <c r="O636" s="9">
        <v>0</v>
      </c>
      <c r="P636" s="9">
        <v>1</v>
      </c>
      <c r="Q636" s="9">
        <v>0</v>
      </c>
      <c r="R636" s="9">
        <v>0</v>
      </c>
      <c r="S636" s="8">
        <v>8270</v>
      </c>
      <c r="T636" s="9">
        <v>12</v>
      </c>
      <c r="U636" s="9">
        <f t="shared" si="149"/>
        <v>8257</v>
      </c>
      <c r="V636" s="9">
        <f t="shared" si="15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v>0</v>
      </c>
      <c r="BF636" s="18">
        <v>0</v>
      </c>
      <c r="BG636">
        <v>0</v>
      </c>
      <c r="BH636">
        <v>1</v>
      </c>
      <c r="BI636" s="18">
        <v>0</v>
      </c>
      <c r="BJ636">
        <v>942</v>
      </c>
      <c r="BK636">
        <v>131</v>
      </c>
      <c r="BL636" s="25">
        <f t="shared" si="156"/>
        <v>37.39</v>
      </c>
      <c r="BM636">
        <v>0</v>
      </c>
      <c r="BN636">
        <v>0</v>
      </c>
      <c r="BO636">
        <v>1</v>
      </c>
      <c r="BP636">
        <v>0</v>
      </c>
      <c r="BQ636">
        <v>0</v>
      </c>
      <c r="BR636">
        <v>0</v>
      </c>
      <c r="BS636">
        <v>0</v>
      </c>
      <c r="BT636" s="18">
        <v>0</v>
      </c>
      <c r="BU636">
        <v>0</v>
      </c>
      <c r="BV636">
        <v>0</v>
      </c>
      <c r="BW636">
        <v>1</v>
      </c>
      <c r="BX636" s="18">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4"/>
        <v>9.375</v>
      </c>
      <c r="G637" s="7">
        <f t="shared" si="147"/>
        <v>6.7</v>
      </c>
      <c r="H637" s="16">
        <f t="shared" si="148"/>
        <v>8.3000000000000007</v>
      </c>
      <c r="I637" s="11">
        <f t="shared" si="151"/>
        <v>0.10262683889087333</v>
      </c>
      <c r="J637" s="33">
        <f t="shared" si="152"/>
        <v>1.0946862815026489E-2</v>
      </c>
      <c r="K637" s="33">
        <f t="shared" si="153"/>
        <v>91.35037287827565</v>
      </c>
      <c r="L637" s="8">
        <v>1</v>
      </c>
      <c r="M637" s="9">
        <v>0</v>
      </c>
      <c r="N637" s="8">
        <v>0</v>
      </c>
      <c r="O637" s="9">
        <v>0</v>
      </c>
      <c r="P637" s="9">
        <v>1</v>
      </c>
      <c r="Q637" s="9">
        <v>0</v>
      </c>
      <c r="R637" s="9">
        <v>0</v>
      </c>
      <c r="S637" s="8">
        <v>8270</v>
      </c>
      <c r="T637" s="9">
        <v>12</v>
      </c>
      <c r="U637" s="9">
        <f t="shared" si="149"/>
        <v>8257</v>
      </c>
      <c r="V637" s="9">
        <f t="shared" si="15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v>0</v>
      </c>
      <c r="BF637" s="18">
        <v>0</v>
      </c>
      <c r="BG637">
        <v>0</v>
      </c>
      <c r="BH637">
        <v>1</v>
      </c>
      <c r="BI637" s="18">
        <v>0</v>
      </c>
      <c r="BJ637">
        <v>942</v>
      </c>
      <c r="BK637">
        <v>131</v>
      </c>
      <c r="BL637" s="25">
        <f t="shared" si="156"/>
        <v>37.39</v>
      </c>
      <c r="BM637">
        <v>0</v>
      </c>
      <c r="BN637">
        <v>0</v>
      </c>
      <c r="BO637">
        <v>1</v>
      </c>
      <c r="BP637">
        <v>0</v>
      </c>
      <c r="BQ637">
        <v>0</v>
      </c>
      <c r="BR637">
        <v>0</v>
      </c>
      <c r="BS637">
        <v>0</v>
      </c>
      <c r="BT637" s="18">
        <v>0</v>
      </c>
      <c r="BU637">
        <v>0</v>
      </c>
      <c r="BV637">
        <v>0</v>
      </c>
      <c r="BW637">
        <v>1</v>
      </c>
      <c r="BX637" s="18">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4"/>
        <v>21.666666666666668</v>
      </c>
      <c r="G638" s="7">
        <f t="shared" si="147"/>
        <v>6.2</v>
      </c>
      <c r="H638" s="16">
        <f t="shared" si="148"/>
        <v>6.8</v>
      </c>
      <c r="I638" s="11">
        <f t="shared" si="151"/>
        <v>0.23193881706518138</v>
      </c>
      <c r="J638" s="33">
        <f t="shared" si="152"/>
        <v>1.0704868479931448E-2</v>
      </c>
      <c r="K638" s="33">
        <f t="shared" si="153"/>
        <v>93.415440075206206</v>
      </c>
      <c r="L638" s="8">
        <v>1</v>
      </c>
      <c r="M638" s="9">
        <v>0</v>
      </c>
      <c r="N638" s="8">
        <v>0</v>
      </c>
      <c r="O638" s="9">
        <v>0</v>
      </c>
      <c r="P638" s="9">
        <v>1</v>
      </c>
      <c r="Q638" s="9">
        <v>0</v>
      </c>
      <c r="R638" s="9">
        <v>0</v>
      </c>
      <c r="S638" s="8">
        <v>8270</v>
      </c>
      <c r="T638" s="9">
        <v>12</v>
      </c>
      <c r="U638" s="9">
        <f t="shared" si="149"/>
        <v>8257</v>
      </c>
      <c r="V638" s="9">
        <f t="shared" si="15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v>0</v>
      </c>
      <c r="BF638" s="18">
        <v>0</v>
      </c>
      <c r="BG638">
        <v>0</v>
      </c>
      <c r="BH638">
        <v>1</v>
      </c>
      <c r="BI638" s="18">
        <v>0</v>
      </c>
      <c r="BJ638">
        <v>942</v>
      </c>
      <c r="BK638">
        <v>131</v>
      </c>
      <c r="BL638" s="25">
        <f t="shared" si="156"/>
        <v>37.39</v>
      </c>
      <c r="BM638">
        <v>0</v>
      </c>
      <c r="BN638">
        <v>0</v>
      </c>
      <c r="BO638">
        <v>1</v>
      </c>
      <c r="BP638">
        <v>0</v>
      </c>
      <c r="BQ638">
        <v>0</v>
      </c>
      <c r="BR638">
        <v>0</v>
      </c>
      <c r="BS638">
        <v>0</v>
      </c>
      <c r="BT638" s="18">
        <v>0</v>
      </c>
      <c r="BU638">
        <v>0</v>
      </c>
      <c r="BV638">
        <v>0</v>
      </c>
      <c r="BW638">
        <v>1</v>
      </c>
      <c r="BX638" s="1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4"/>
        <v>21.666666666666668</v>
      </c>
      <c r="G639" s="7">
        <f t="shared" si="147"/>
        <v>6.2</v>
      </c>
      <c r="H639" s="16">
        <f t="shared" si="148"/>
        <v>6.8</v>
      </c>
      <c r="I639" s="11">
        <f t="shared" si="151"/>
        <v>0.23193881706518138</v>
      </c>
      <c r="J639" s="33">
        <f t="shared" si="152"/>
        <v>1.0704868479931448E-2</v>
      </c>
      <c r="K639" s="33">
        <f t="shared" si="153"/>
        <v>93.415440075206206</v>
      </c>
      <c r="L639" s="8">
        <v>1</v>
      </c>
      <c r="M639" s="9">
        <v>0</v>
      </c>
      <c r="N639" s="8">
        <v>0</v>
      </c>
      <c r="O639" s="9">
        <v>0</v>
      </c>
      <c r="P639" s="9">
        <v>1</v>
      </c>
      <c r="Q639" s="9">
        <v>0</v>
      </c>
      <c r="R639" s="9">
        <v>0</v>
      </c>
      <c r="S639" s="8">
        <v>8270</v>
      </c>
      <c r="T639" s="9">
        <v>12</v>
      </c>
      <c r="U639" s="9">
        <f t="shared" si="149"/>
        <v>8257</v>
      </c>
      <c r="V639" s="9">
        <f t="shared" si="15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v>0</v>
      </c>
      <c r="BF639" s="18">
        <v>0</v>
      </c>
      <c r="BG639">
        <v>0</v>
      </c>
      <c r="BH639">
        <v>1</v>
      </c>
      <c r="BI639" s="18">
        <v>0</v>
      </c>
      <c r="BJ639">
        <v>942</v>
      </c>
      <c r="BK639">
        <v>131</v>
      </c>
      <c r="BL639" s="25">
        <f t="shared" si="156"/>
        <v>37.39</v>
      </c>
      <c r="BM639">
        <v>0</v>
      </c>
      <c r="BN639">
        <v>0</v>
      </c>
      <c r="BO639">
        <v>1</v>
      </c>
      <c r="BP639">
        <v>0</v>
      </c>
      <c r="BQ639">
        <v>0</v>
      </c>
      <c r="BR639">
        <v>0</v>
      </c>
      <c r="BS639">
        <v>0</v>
      </c>
      <c r="BT639" s="18">
        <v>0</v>
      </c>
      <c r="BU639">
        <v>0</v>
      </c>
      <c r="BV639">
        <v>0</v>
      </c>
      <c r="BW639">
        <v>1</v>
      </c>
      <c r="BX639" s="18">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4"/>
        <v>10.749999999999998</v>
      </c>
      <c r="G640" s="7">
        <f t="shared" si="147"/>
        <v>3.9</v>
      </c>
      <c r="H640" s="16">
        <f t="shared" si="148"/>
        <v>4.7</v>
      </c>
      <c r="I640" s="11">
        <f t="shared" si="151"/>
        <v>0.11748414622991958</v>
      </c>
      <c r="J640" s="33">
        <f t="shared" si="152"/>
        <v>1.092875778882973E-2</v>
      </c>
      <c r="K640" s="33">
        <f t="shared" si="153"/>
        <v>91.501707634338715</v>
      </c>
      <c r="L640" s="8">
        <v>1</v>
      </c>
      <c r="M640" s="9">
        <v>0</v>
      </c>
      <c r="N640" s="8">
        <v>0</v>
      </c>
      <c r="O640" s="9">
        <v>0</v>
      </c>
      <c r="P640" s="9">
        <v>1</v>
      </c>
      <c r="Q640" s="9">
        <v>0</v>
      </c>
      <c r="R640" s="9">
        <v>0</v>
      </c>
      <c r="S640" s="8">
        <v>8270</v>
      </c>
      <c r="T640" s="9">
        <v>12</v>
      </c>
      <c r="U640" s="9">
        <f t="shared" si="149"/>
        <v>8257</v>
      </c>
      <c r="V640" s="9">
        <f t="shared" si="15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v>0</v>
      </c>
      <c r="BF640" s="18">
        <v>0</v>
      </c>
      <c r="BG640">
        <v>0</v>
      </c>
      <c r="BH640">
        <v>1</v>
      </c>
      <c r="BI640" s="18">
        <v>0</v>
      </c>
      <c r="BJ640">
        <v>942</v>
      </c>
      <c r="BK640">
        <v>131</v>
      </c>
      <c r="BL640" s="25">
        <f t="shared" si="156"/>
        <v>37.39</v>
      </c>
      <c r="BM640">
        <v>0</v>
      </c>
      <c r="BN640">
        <v>0</v>
      </c>
      <c r="BO640">
        <v>1</v>
      </c>
      <c r="BP640">
        <v>0</v>
      </c>
      <c r="BQ640">
        <v>0</v>
      </c>
      <c r="BR640">
        <v>0</v>
      </c>
      <c r="BS640">
        <v>0</v>
      </c>
      <c r="BT640" s="18">
        <v>0</v>
      </c>
      <c r="BU640">
        <v>0</v>
      </c>
      <c r="BV640">
        <v>0</v>
      </c>
      <c r="BW640">
        <v>1</v>
      </c>
      <c r="BX640" s="18">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2" customFormat="1" x14ac:dyDescent="0.25">
      <c r="A641" s="142">
        <v>640</v>
      </c>
      <c r="B641" s="142">
        <v>40</v>
      </c>
      <c r="C641" s="143" t="s">
        <v>333</v>
      </c>
      <c r="D641" s="144">
        <v>4.2</v>
      </c>
      <c r="E641" s="145">
        <v>0.4</v>
      </c>
      <c r="F641" s="146">
        <f t="shared" si="154"/>
        <v>10.5</v>
      </c>
      <c r="G641" s="146">
        <f t="shared" si="147"/>
        <v>3.8000000000000003</v>
      </c>
      <c r="H641" s="147">
        <f t="shared" si="148"/>
        <v>4.6000000000000005</v>
      </c>
      <c r="I641" s="11">
        <f t="shared" si="151"/>
        <v>0.11478837992273992</v>
      </c>
      <c r="J641" s="33">
        <f t="shared" si="152"/>
        <v>1.0932226659308564E-2</v>
      </c>
      <c r="K641" s="33">
        <f t="shared" si="153"/>
        <v>91.472673515099572</v>
      </c>
      <c r="L641" s="149">
        <v>1</v>
      </c>
      <c r="M641" s="150">
        <v>0</v>
      </c>
      <c r="N641" s="149">
        <v>0</v>
      </c>
      <c r="O641" s="150">
        <v>0</v>
      </c>
      <c r="P641" s="150">
        <v>1</v>
      </c>
      <c r="Q641" s="150">
        <v>0</v>
      </c>
      <c r="R641" s="150">
        <v>0</v>
      </c>
      <c r="S641" s="149">
        <v>8270</v>
      </c>
      <c r="T641" s="150">
        <v>12</v>
      </c>
      <c r="U641" s="150">
        <f t="shared" si="149"/>
        <v>8257</v>
      </c>
      <c r="V641" s="150">
        <f t="shared" si="150"/>
        <v>17</v>
      </c>
      <c r="W641" s="146">
        <v>11.13</v>
      </c>
      <c r="X641" s="146">
        <v>20.260000000000002</v>
      </c>
      <c r="Y641" s="150">
        <v>1</v>
      </c>
      <c r="Z641" s="150">
        <v>0</v>
      </c>
      <c r="AA641" s="150">
        <v>1</v>
      </c>
      <c r="AB641" s="150">
        <v>0</v>
      </c>
      <c r="AC641" s="150">
        <v>0</v>
      </c>
      <c r="AD641" s="150">
        <v>0</v>
      </c>
      <c r="AE641" s="149">
        <v>1</v>
      </c>
      <c r="AF641" s="150">
        <v>0</v>
      </c>
      <c r="AG641" s="151">
        <v>0</v>
      </c>
      <c r="AH641" s="150">
        <v>1</v>
      </c>
      <c r="AI641" s="151">
        <v>0</v>
      </c>
      <c r="AJ641" s="152">
        <v>2002</v>
      </c>
      <c r="AK641" s="148">
        <f t="shared" si="157"/>
        <v>3.0000000000000027E-2</v>
      </c>
      <c r="AL641" s="148">
        <v>0.26100000000000001</v>
      </c>
      <c r="AM641" s="148">
        <v>0.45100000000000001</v>
      </c>
      <c r="AN641" s="153">
        <v>0.25800000000000001</v>
      </c>
      <c r="AO641" s="154">
        <v>1</v>
      </c>
      <c r="AP641" s="155">
        <v>0</v>
      </c>
      <c r="AQ641" s="142">
        <v>0.55100000000000005</v>
      </c>
      <c r="AR641" s="156">
        <v>0.44900000000000001</v>
      </c>
      <c r="AS641" s="142" t="s">
        <v>98</v>
      </c>
      <c r="AT641" s="156" t="s">
        <v>98</v>
      </c>
      <c r="AU641">
        <v>0</v>
      </c>
      <c r="AV641" s="155">
        <v>1</v>
      </c>
      <c r="AW641" s="142">
        <v>0</v>
      </c>
      <c r="AX641" s="155">
        <v>1</v>
      </c>
      <c r="AY641" s="155" t="s">
        <v>5</v>
      </c>
      <c r="AZ641">
        <v>0</v>
      </c>
      <c r="BA641">
        <v>1</v>
      </c>
      <c r="BB641">
        <v>0</v>
      </c>
      <c r="BC641">
        <v>0</v>
      </c>
      <c r="BD641">
        <v>0</v>
      </c>
      <c r="BE641">
        <v>0</v>
      </c>
      <c r="BF641" s="155">
        <v>0</v>
      </c>
      <c r="BG641">
        <v>0</v>
      </c>
      <c r="BH641">
        <v>1</v>
      </c>
      <c r="BI641" s="155">
        <v>0</v>
      </c>
      <c r="BJ641">
        <v>942</v>
      </c>
      <c r="BK641">
        <v>131</v>
      </c>
      <c r="BL641" s="143">
        <f t="shared" si="156"/>
        <v>37.39</v>
      </c>
      <c r="BM641" s="142">
        <v>0</v>
      </c>
      <c r="BN641" s="142">
        <v>0</v>
      </c>
      <c r="BO641" s="142">
        <v>1</v>
      </c>
      <c r="BP641" s="142">
        <v>0</v>
      </c>
      <c r="BQ641" s="142">
        <v>0</v>
      </c>
      <c r="BR641" s="142">
        <v>0</v>
      </c>
      <c r="BS641" s="142">
        <v>0</v>
      </c>
      <c r="BT641" s="155">
        <v>0</v>
      </c>
      <c r="BU641" s="142">
        <v>0</v>
      </c>
      <c r="BV641" s="142">
        <v>0</v>
      </c>
      <c r="BW641" s="142">
        <v>1</v>
      </c>
      <c r="BX641" s="155">
        <v>0</v>
      </c>
      <c r="BY641" s="142">
        <v>0</v>
      </c>
      <c r="BZ641" s="142">
        <v>0</v>
      </c>
      <c r="CA641" s="142">
        <v>0</v>
      </c>
      <c r="CB641" s="142">
        <v>0</v>
      </c>
      <c r="CC641" s="155">
        <v>0</v>
      </c>
      <c r="CD641" s="142">
        <v>0</v>
      </c>
      <c r="CE641" s="142">
        <v>0</v>
      </c>
      <c r="CF641" s="142">
        <v>1</v>
      </c>
      <c r="CG641" s="142">
        <v>1</v>
      </c>
      <c r="CH641" s="142">
        <v>0</v>
      </c>
      <c r="CI641" s="142">
        <v>0</v>
      </c>
      <c r="CJ641" s="142">
        <v>0</v>
      </c>
      <c r="CK641" s="142">
        <v>0</v>
      </c>
      <c r="CL641" s="142">
        <v>0</v>
      </c>
      <c r="CM641" s="142">
        <v>0</v>
      </c>
      <c r="CN641" s="155">
        <v>0</v>
      </c>
      <c r="CO641">
        <v>0.17100000000000001</v>
      </c>
      <c r="CP641">
        <v>66</v>
      </c>
      <c r="CQ641">
        <v>1</v>
      </c>
      <c r="CR641" s="142">
        <v>0</v>
      </c>
      <c r="CS641" s="142">
        <v>15</v>
      </c>
      <c r="CT641" s="157"/>
      <c r="CY641" s="157"/>
    </row>
    <row r="642" spans="1:103"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si="151"/>
        <v>0.21871410847199574</v>
      </c>
      <c r="J642" s="33">
        <f t="shared" si="152"/>
        <v>1.0668980901072963E-2</v>
      </c>
      <c r="K642" s="33">
        <f t="shared" si="153"/>
        <v>93.729664461151259</v>
      </c>
      <c r="L642" s="8">
        <v>1</v>
      </c>
      <c r="M642" s="9">
        <v>0</v>
      </c>
      <c r="N642" s="8">
        <v>0</v>
      </c>
      <c r="O642" s="9">
        <v>1</v>
      </c>
      <c r="P642" s="9">
        <v>0</v>
      </c>
      <c r="Q642" s="9">
        <v>0</v>
      </c>
      <c r="R642" s="9">
        <v>0</v>
      </c>
      <c r="S642" s="8">
        <v>8369</v>
      </c>
      <c r="T642" s="9">
        <v>3</v>
      </c>
      <c r="U642" s="9">
        <f t="shared" ref="U642:U705" si="160">S642-T642-1</f>
        <v>8365</v>
      </c>
      <c r="V642" s="9">
        <f t="shared" ref="V642:V705" si="161">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2">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0</v>
      </c>
      <c r="BD642">
        <v>1</v>
      </c>
      <c r="BE642">
        <v>0</v>
      </c>
      <c r="BF642" s="18">
        <v>0</v>
      </c>
      <c r="BG642">
        <v>0</v>
      </c>
      <c r="BH642">
        <v>1</v>
      </c>
      <c r="BI642" s="18">
        <v>0</v>
      </c>
      <c r="BJ642">
        <v>2675</v>
      </c>
      <c r="BK642">
        <v>153</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4"/>
        <v>11</v>
      </c>
      <c r="G643" s="7">
        <f t="shared" si="158"/>
        <v>2</v>
      </c>
      <c r="H643" s="16">
        <f t="shared" si="159"/>
        <v>2.4000000000000004</v>
      </c>
      <c r="I643" s="11">
        <f t="shared" si="151"/>
        <v>0.15786943985836729</v>
      </c>
      <c r="J643" s="33">
        <f t="shared" si="152"/>
        <v>1.4351767259851572E-2</v>
      </c>
      <c r="K643" s="33">
        <f t="shared" si="153"/>
        <v>69.677830046579373</v>
      </c>
      <c r="L643" s="8">
        <v>1</v>
      </c>
      <c r="M643" s="9">
        <v>0</v>
      </c>
      <c r="N643" s="8">
        <v>0</v>
      </c>
      <c r="O643" s="9">
        <v>1</v>
      </c>
      <c r="P643" s="9">
        <v>0</v>
      </c>
      <c r="Q643" s="9">
        <v>0</v>
      </c>
      <c r="R643" s="9">
        <v>0</v>
      </c>
      <c r="S643" s="8">
        <v>4738</v>
      </c>
      <c r="T643" s="9">
        <v>3</v>
      </c>
      <c r="U643" s="9">
        <f t="shared" si="160"/>
        <v>4734</v>
      </c>
      <c r="V643" s="9">
        <f t="shared" si="161"/>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2"/>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0</v>
      </c>
      <c r="BD643">
        <v>1</v>
      </c>
      <c r="BE643">
        <v>0</v>
      </c>
      <c r="BF643" s="18">
        <v>0</v>
      </c>
      <c r="BG643">
        <v>0</v>
      </c>
      <c r="BH643">
        <v>1</v>
      </c>
      <c r="BI643" s="18">
        <v>0</v>
      </c>
      <c r="BJ643">
        <v>2675</v>
      </c>
      <c r="BK643">
        <v>153</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4"/>
        <v>26.499999999999996</v>
      </c>
      <c r="G644" s="7">
        <f t="shared" si="158"/>
        <v>5.0999999999999996</v>
      </c>
      <c r="H644" s="16">
        <f t="shared" si="159"/>
        <v>5.5</v>
      </c>
      <c r="I644" s="11">
        <f t="shared" si="151"/>
        <v>0.40275370209545769</v>
      </c>
      <c r="J644" s="33">
        <f t="shared" si="152"/>
        <v>1.5198252909262555E-2</v>
      </c>
      <c r="K644" s="33">
        <f t="shared" si="153"/>
        <v>65.797036407424912</v>
      </c>
      <c r="L644" s="8">
        <v>1</v>
      </c>
      <c r="M644" s="9">
        <v>0</v>
      </c>
      <c r="N644" s="8">
        <v>0</v>
      </c>
      <c r="O644" s="9">
        <v>1</v>
      </c>
      <c r="P644" s="9">
        <v>0</v>
      </c>
      <c r="Q644" s="9">
        <v>0</v>
      </c>
      <c r="R644" s="9">
        <v>0</v>
      </c>
      <c r="S644" s="8">
        <v>3631</v>
      </c>
      <c r="T644" s="9">
        <v>3</v>
      </c>
      <c r="U644" s="9">
        <f t="shared" si="160"/>
        <v>3627</v>
      </c>
      <c r="V644" s="9">
        <f t="shared" si="161"/>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2"/>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0</v>
      </c>
      <c r="BD644">
        <v>1</v>
      </c>
      <c r="BE644">
        <v>0</v>
      </c>
      <c r="BF644" s="18">
        <v>0</v>
      </c>
      <c r="BG644">
        <v>0</v>
      </c>
      <c r="BH644">
        <v>1</v>
      </c>
      <c r="BI644" s="18">
        <v>0</v>
      </c>
      <c r="BJ644">
        <v>2675</v>
      </c>
      <c r="BK644">
        <v>153</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4"/>
        <v>3.6</v>
      </c>
      <c r="G645" s="7">
        <f t="shared" si="158"/>
        <v>1.3</v>
      </c>
      <c r="H645" s="16">
        <f t="shared" si="159"/>
        <v>2.2999999999999998</v>
      </c>
      <c r="I645" s="11">
        <f t="shared" si="151"/>
        <v>7.4951869287651629E-2</v>
      </c>
      <c r="J645" s="33">
        <f t="shared" si="152"/>
        <v>2.081996369101434E-2</v>
      </c>
      <c r="K645" s="33">
        <f t="shared" si="153"/>
        <v>48.030823436622448</v>
      </c>
      <c r="L645" s="8">
        <v>1</v>
      </c>
      <c r="M645" s="9">
        <v>0</v>
      </c>
      <c r="N645" s="8">
        <v>0</v>
      </c>
      <c r="O645" s="9">
        <v>1</v>
      </c>
      <c r="P645" s="9">
        <v>0</v>
      </c>
      <c r="Q645" s="9">
        <v>0</v>
      </c>
      <c r="R645" s="9">
        <v>0</v>
      </c>
      <c r="S645" s="8">
        <v>2298</v>
      </c>
      <c r="T645" s="9">
        <v>3</v>
      </c>
      <c r="U645" s="9">
        <f t="shared" si="160"/>
        <v>2294</v>
      </c>
      <c r="V645" s="9">
        <f t="shared" si="161"/>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2"/>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0</v>
      </c>
      <c r="BD645">
        <v>1</v>
      </c>
      <c r="BE645">
        <v>0</v>
      </c>
      <c r="BF645" s="18">
        <v>0</v>
      </c>
      <c r="BG645">
        <v>0</v>
      </c>
      <c r="BH645">
        <v>1</v>
      </c>
      <c r="BI645" s="18">
        <v>0</v>
      </c>
      <c r="BJ645">
        <v>2675</v>
      </c>
      <c r="BK645">
        <v>153</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4"/>
        <v>1</v>
      </c>
      <c r="G646" s="7">
        <f t="shared" si="158"/>
        <v>0</v>
      </c>
      <c r="H646" s="16">
        <f t="shared" si="159"/>
        <v>1.4</v>
      </c>
      <c r="I646" s="11">
        <f t="shared" si="151"/>
        <v>2.4640709031819093E-2</v>
      </c>
      <c r="J646" s="33">
        <f t="shared" si="152"/>
        <v>2.4640709031819093E-2</v>
      </c>
      <c r="K646" s="33">
        <f t="shared" si="153"/>
        <v>40.583247775406051</v>
      </c>
      <c r="L646" s="8">
        <v>1</v>
      </c>
      <c r="M646" s="9">
        <v>0</v>
      </c>
      <c r="N646" s="8">
        <v>0</v>
      </c>
      <c r="O646" s="9">
        <v>1</v>
      </c>
      <c r="P646" s="9">
        <v>0</v>
      </c>
      <c r="Q646" s="9">
        <v>0</v>
      </c>
      <c r="R646" s="9">
        <v>0</v>
      </c>
      <c r="S646" s="8">
        <v>1650</v>
      </c>
      <c r="T646" s="9">
        <v>3</v>
      </c>
      <c r="U646" s="9">
        <f t="shared" si="160"/>
        <v>1646</v>
      </c>
      <c r="V646" s="9">
        <f t="shared" si="161"/>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2"/>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0</v>
      </c>
      <c r="BD646">
        <v>1</v>
      </c>
      <c r="BE646">
        <v>0</v>
      </c>
      <c r="BF646" s="18">
        <v>0</v>
      </c>
      <c r="BG646">
        <v>0</v>
      </c>
      <c r="BH646">
        <v>1</v>
      </c>
      <c r="BI646" s="18">
        <v>0</v>
      </c>
      <c r="BJ646">
        <v>2675</v>
      </c>
      <c r="BK646">
        <v>153</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1.2962962962962969</v>
      </c>
      <c r="G647" s="7">
        <f t="shared" si="158"/>
        <v>0.13142947423105011</v>
      </c>
      <c r="H647" s="16">
        <f t="shared" si="159"/>
        <v>1.0185784252906376</v>
      </c>
      <c r="I647" s="11">
        <f t="shared" si="151"/>
        <v>1.4173581477609E-2</v>
      </c>
      <c r="J647" s="33">
        <f t="shared" si="152"/>
        <v>1.0933905711298366E-2</v>
      </c>
      <c r="K647" s="33">
        <f t="shared" si="153"/>
        <v>91.458626624762914</v>
      </c>
      <c r="L647" s="8">
        <v>1</v>
      </c>
      <c r="M647" s="9">
        <v>0</v>
      </c>
      <c r="N647" s="8">
        <v>0</v>
      </c>
      <c r="O647" s="9">
        <v>1</v>
      </c>
      <c r="P647" s="9">
        <v>0</v>
      </c>
      <c r="Q647" s="9">
        <v>0</v>
      </c>
      <c r="R647" s="9">
        <v>0</v>
      </c>
      <c r="S647" s="8">
        <v>8371</v>
      </c>
      <c r="T647" s="9">
        <v>7</v>
      </c>
      <c r="U647" s="9">
        <f t="shared" si="160"/>
        <v>8363</v>
      </c>
      <c r="V647" s="9">
        <f t="shared" si="161"/>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2"/>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0</v>
      </c>
      <c r="BD647">
        <v>1</v>
      </c>
      <c r="BE647">
        <v>0</v>
      </c>
      <c r="BF647" s="18">
        <v>0</v>
      </c>
      <c r="BG647">
        <v>0</v>
      </c>
      <c r="BH647">
        <v>1</v>
      </c>
      <c r="BI647" s="18">
        <v>0</v>
      </c>
      <c r="BJ647">
        <v>2675</v>
      </c>
      <c r="BK647">
        <v>153</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v>
      </c>
      <c r="E648" s="14">
        <v>0.50767807745258353</v>
      </c>
      <c r="F648" s="7">
        <v>2.4</v>
      </c>
      <c r="G648" s="7">
        <f t="shared" si="158"/>
        <v>0.7107493084336165</v>
      </c>
      <c r="H648" s="16">
        <f t="shared" si="159"/>
        <v>1.7261054633387836</v>
      </c>
      <c r="I648" s="11">
        <f t="shared" ref="I648:I711" si="163">IFERROR(F648/SQRT(F648^2+U648), "X")</f>
        <v>2.6234976834956101E-2</v>
      </c>
      <c r="J648" s="33">
        <f t="shared" ref="J648:J711" si="164">IFERROR(SQRT((1-I648^2)/U648), "X")</f>
        <v>1.0931240347898375E-2</v>
      </c>
      <c r="K648" s="33">
        <f t="shared" ref="K648:K711" si="165">IFERROR(1/J648, "X")</f>
        <v>91.480926973877999</v>
      </c>
      <c r="L648" s="8">
        <v>1</v>
      </c>
      <c r="M648" s="9">
        <v>0</v>
      </c>
      <c r="N648" s="8">
        <v>0</v>
      </c>
      <c r="O648" s="9">
        <v>1</v>
      </c>
      <c r="P648" s="9">
        <v>0</v>
      </c>
      <c r="Q648" s="9">
        <v>0</v>
      </c>
      <c r="R648" s="9">
        <v>0</v>
      </c>
      <c r="S648" s="8">
        <v>8371</v>
      </c>
      <c r="T648" s="9">
        <v>7</v>
      </c>
      <c r="U648" s="9">
        <f t="shared" si="160"/>
        <v>8363</v>
      </c>
      <c r="V648" s="9">
        <f t="shared" si="161"/>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2"/>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0</v>
      </c>
      <c r="BD648">
        <v>1</v>
      </c>
      <c r="BE648">
        <v>0</v>
      </c>
      <c r="BF648" s="18">
        <v>0</v>
      </c>
      <c r="BG648">
        <v>0</v>
      </c>
      <c r="BH648">
        <v>1</v>
      </c>
      <c r="BI648" s="18">
        <v>0</v>
      </c>
      <c r="BJ648">
        <v>2675</v>
      </c>
      <c r="BK648">
        <v>153</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4.6168956617874226</v>
      </c>
      <c r="E649" s="14">
        <v>0.44679635436652487</v>
      </c>
      <c r="F649" s="7">
        <v>10.33333333333333</v>
      </c>
      <c r="G649" s="7">
        <f t="shared" si="158"/>
        <v>4.1700993074208981</v>
      </c>
      <c r="H649" s="16">
        <f t="shared" si="159"/>
        <v>5.0636920161539472</v>
      </c>
      <c r="I649" s="11">
        <f t="shared" si="163"/>
        <v>0.1122805241073615</v>
      </c>
      <c r="J649" s="33">
        <f t="shared" si="164"/>
        <v>1.0865857171680147E-2</v>
      </c>
      <c r="K649" s="33">
        <f t="shared" si="165"/>
        <v>92.031395609203813</v>
      </c>
      <c r="L649" s="8">
        <v>1</v>
      </c>
      <c r="M649" s="9">
        <v>0</v>
      </c>
      <c r="N649" s="8">
        <v>0</v>
      </c>
      <c r="O649" s="9">
        <v>1</v>
      </c>
      <c r="P649" s="9">
        <v>0</v>
      </c>
      <c r="Q649" s="9">
        <v>0</v>
      </c>
      <c r="R649" s="9">
        <v>0</v>
      </c>
      <c r="S649" s="8">
        <v>8371</v>
      </c>
      <c r="T649" s="9">
        <v>7</v>
      </c>
      <c r="U649" s="9">
        <f t="shared" si="160"/>
        <v>8363</v>
      </c>
      <c r="V649" s="9">
        <f t="shared" si="161"/>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2"/>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0</v>
      </c>
      <c r="BD649">
        <v>1</v>
      </c>
      <c r="BE649">
        <v>0</v>
      </c>
      <c r="BF649" s="18">
        <v>0</v>
      </c>
      <c r="BG649">
        <v>0</v>
      </c>
      <c r="BH649">
        <v>1</v>
      </c>
      <c r="BI649" s="18">
        <v>0</v>
      </c>
      <c r="BJ649">
        <v>2675</v>
      </c>
      <c r="BK649">
        <v>153</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5.1923910316380004</v>
      </c>
      <c r="E650" s="14">
        <v>0.99007456111741521</v>
      </c>
      <c r="F650" s="7">
        <v>5.2444444444444436</v>
      </c>
      <c r="G650" s="7">
        <f t="shared" si="158"/>
        <v>4.2023164705205849</v>
      </c>
      <c r="H650" s="16">
        <f t="shared" si="159"/>
        <v>6.182465592755416</v>
      </c>
      <c r="I650" s="11">
        <f t="shared" si="163"/>
        <v>5.7253950698126874E-2</v>
      </c>
      <c r="J650" s="33">
        <f t="shared" si="164"/>
        <v>1.0917066870405549E-2</v>
      </c>
      <c r="K650" s="33">
        <f t="shared" si="165"/>
        <v>91.599695400862913</v>
      </c>
      <c r="L650" s="8">
        <v>1</v>
      </c>
      <c r="M650" s="9">
        <v>0</v>
      </c>
      <c r="N650" s="8">
        <v>0</v>
      </c>
      <c r="O650" s="9">
        <v>1</v>
      </c>
      <c r="P650" s="9">
        <v>0</v>
      </c>
      <c r="Q650" s="9">
        <v>0</v>
      </c>
      <c r="R650" s="9">
        <v>0</v>
      </c>
      <c r="S650" s="8">
        <v>8371</v>
      </c>
      <c r="T650" s="9">
        <v>7</v>
      </c>
      <c r="U650" s="9">
        <f t="shared" si="160"/>
        <v>8363</v>
      </c>
      <c r="V650" s="9">
        <f t="shared" si="161"/>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2"/>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0</v>
      </c>
      <c r="BD650">
        <v>1</v>
      </c>
      <c r="BE650">
        <v>0</v>
      </c>
      <c r="BF650" s="18">
        <v>0</v>
      </c>
      <c r="BG650">
        <v>0</v>
      </c>
      <c r="BH650">
        <v>1</v>
      </c>
      <c r="BI650" s="18">
        <v>0</v>
      </c>
      <c r="BJ650">
        <v>2675</v>
      </c>
      <c r="BK650">
        <v>153</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23.541666666666661</v>
      </c>
      <c r="G651" s="7">
        <f t="shared" si="158"/>
        <v>7.056533754319906</v>
      </c>
      <c r="H651" s="16">
        <f t="shared" si="159"/>
        <v>7.6826217768843339</v>
      </c>
      <c r="I651" s="11">
        <f t="shared" si="163"/>
        <v>0.24930024610104234</v>
      </c>
      <c r="J651" s="33">
        <f t="shared" si="164"/>
        <v>1.0589744967123924E-2</v>
      </c>
      <c r="K651" s="33">
        <f t="shared" si="165"/>
        <v>94.43098045368609</v>
      </c>
      <c r="L651" s="8">
        <v>1</v>
      </c>
      <c r="M651" s="9">
        <v>0</v>
      </c>
      <c r="N651" s="8">
        <v>0</v>
      </c>
      <c r="O651" s="9">
        <v>1</v>
      </c>
      <c r="P651" s="9">
        <v>0</v>
      </c>
      <c r="Q651" s="9">
        <v>0</v>
      </c>
      <c r="R651" s="9">
        <v>0</v>
      </c>
      <c r="S651" s="8">
        <v>8371</v>
      </c>
      <c r="T651" s="9">
        <v>7</v>
      </c>
      <c r="U651" s="9">
        <f t="shared" si="160"/>
        <v>8363</v>
      </c>
      <c r="V651" s="9">
        <f t="shared" si="161"/>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2"/>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0</v>
      </c>
      <c r="BD651">
        <v>1</v>
      </c>
      <c r="BE651">
        <v>0</v>
      </c>
      <c r="BF651" s="18">
        <v>0</v>
      </c>
      <c r="BG651">
        <v>0</v>
      </c>
      <c r="BH651">
        <v>1</v>
      </c>
      <c r="BI651" s="18">
        <v>0</v>
      </c>
      <c r="BJ651">
        <v>2675</v>
      </c>
      <c r="BK651">
        <v>153</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3"/>
        <v>1.9784568514971724E-2</v>
      </c>
      <c r="J652" s="33">
        <f t="shared" si="164"/>
        <v>2.0883711210247929E-2</v>
      </c>
      <c r="K652" s="33">
        <f t="shared" si="165"/>
        <v>47.884209369323493</v>
      </c>
      <c r="L652" s="8">
        <v>1</v>
      </c>
      <c r="M652" s="9">
        <v>0</v>
      </c>
      <c r="N652" s="8">
        <v>0</v>
      </c>
      <c r="O652" s="9">
        <v>1</v>
      </c>
      <c r="P652" s="9">
        <v>0</v>
      </c>
      <c r="Q652" s="9">
        <v>0</v>
      </c>
      <c r="R652" s="9">
        <v>0</v>
      </c>
      <c r="S652" s="8">
        <v>2300</v>
      </c>
      <c r="T652" s="9">
        <v>7</v>
      </c>
      <c r="U652" s="9">
        <f t="shared" si="160"/>
        <v>2292</v>
      </c>
      <c r="V652" s="9">
        <f t="shared" si="161"/>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2"/>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0</v>
      </c>
      <c r="BD652">
        <v>1</v>
      </c>
      <c r="BE652">
        <v>0</v>
      </c>
      <c r="BF652" s="18">
        <v>0</v>
      </c>
      <c r="BG652">
        <v>0</v>
      </c>
      <c r="BH652">
        <v>1</v>
      </c>
      <c r="BI652" s="18">
        <v>0</v>
      </c>
      <c r="BJ652">
        <v>2675</v>
      </c>
      <c r="BK652">
        <v>153</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-1.9995149914251</v>
      </c>
      <c r="F653" s="7">
        <v>0.42028985507246369</v>
      </c>
      <c r="G653" s="7">
        <f t="shared" si="158"/>
        <v>1.1591391254638264</v>
      </c>
      <c r="H653" s="16">
        <f t="shared" si="159"/>
        <v>-2.8398908573863739</v>
      </c>
      <c r="I653" s="11">
        <f t="shared" si="163"/>
        <v>8.7785920158698506E-3</v>
      </c>
      <c r="J653" s="33">
        <f t="shared" si="164"/>
        <v>2.0886994796379989E-2</v>
      </c>
      <c r="K653" s="33">
        <f t="shared" si="165"/>
        <v>47.876681626469029</v>
      </c>
      <c r="L653" s="8">
        <v>1</v>
      </c>
      <c r="M653" s="9">
        <v>0</v>
      </c>
      <c r="N653" s="8">
        <v>0</v>
      </c>
      <c r="O653" s="9">
        <v>1</v>
      </c>
      <c r="P653" s="9">
        <v>0</v>
      </c>
      <c r="Q653" s="9">
        <v>0</v>
      </c>
      <c r="R653" s="9">
        <v>0</v>
      </c>
      <c r="S653" s="8">
        <v>2300</v>
      </c>
      <c r="T653" s="9">
        <v>7</v>
      </c>
      <c r="U653" s="9">
        <f t="shared" si="160"/>
        <v>2292</v>
      </c>
      <c r="V653" s="9">
        <f t="shared" si="161"/>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2"/>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0</v>
      </c>
      <c r="BD653">
        <v>1</v>
      </c>
      <c r="BE653">
        <v>0</v>
      </c>
      <c r="BF653" s="18">
        <v>0</v>
      </c>
      <c r="BG653">
        <v>0</v>
      </c>
      <c r="BH653">
        <v>1</v>
      </c>
      <c r="BI653" s="18">
        <v>0</v>
      </c>
      <c r="BJ653">
        <v>2675</v>
      </c>
      <c r="BK653">
        <v>153</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v>
      </c>
      <c r="E654" s="14">
        <v>1.281398960308354</v>
      </c>
      <c r="F654" s="7">
        <v>1.8545454545454541</v>
      </c>
      <c r="G654" s="7">
        <f t="shared" si="158"/>
        <v>1.095013656990774</v>
      </c>
      <c r="H654" s="16">
        <f t="shared" si="159"/>
        <v>3.657811577607482</v>
      </c>
      <c r="I654" s="11">
        <f t="shared" si="163"/>
        <v>3.8708342234612926E-2</v>
      </c>
      <c r="J654" s="33">
        <f t="shared" si="164"/>
        <v>2.0872145322585408E-2</v>
      </c>
      <c r="K654" s="33">
        <f t="shared" si="165"/>
        <v>47.910743459509952</v>
      </c>
      <c r="L654" s="8">
        <v>1</v>
      </c>
      <c r="M654" s="9">
        <v>0</v>
      </c>
      <c r="N654" s="8">
        <v>0</v>
      </c>
      <c r="O654" s="9">
        <v>1</v>
      </c>
      <c r="P654" s="9">
        <v>0</v>
      </c>
      <c r="Q654" s="9">
        <v>0</v>
      </c>
      <c r="R654" s="9">
        <v>0</v>
      </c>
      <c r="S654" s="8">
        <v>2300</v>
      </c>
      <c r="T654" s="9">
        <v>7</v>
      </c>
      <c r="U654" s="9">
        <f t="shared" si="160"/>
        <v>2292</v>
      </c>
      <c r="V654" s="9">
        <f t="shared" si="161"/>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2"/>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0</v>
      </c>
      <c r="BD654">
        <v>1</v>
      </c>
      <c r="BE654">
        <v>0</v>
      </c>
      <c r="BF654" s="18">
        <v>0</v>
      </c>
      <c r="BG654">
        <v>0</v>
      </c>
      <c r="BH654">
        <v>1</v>
      </c>
      <c r="BI654" s="18">
        <v>0</v>
      </c>
      <c r="BJ654">
        <v>2675</v>
      </c>
      <c r="BK654">
        <v>153</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2.312765468399514</v>
      </c>
      <c r="E655" s="14">
        <v>2.6134249792914499</v>
      </c>
      <c r="F655" s="7">
        <v>0.88495575221238942</v>
      </c>
      <c r="G655" s="7">
        <f t="shared" si="158"/>
        <v>-0.30065951089193588</v>
      </c>
      <c r="H655" s="16">
        <f t="shared" si="159"/>
        <v>4.9261904476909635</v>
      </c>
      <c r="I655" s="11">
        <f t="shared" si="163"/>
        <v>1.848162126220294E-2</v>
      </c>
      <c r="J655" s="33">
        <f t="shared" si="164"/>
        <v>2.0884232026289321E-2</v>
      </c>
      <c r="K655" s="33">
        <f t="shared" si="165"/>
        <v>47.883015221301321</v>
      </c>
      <c r="L655" s="8">
        <v>1</v>
      </c>
      <c r="M655" s="9">
        <v>0</v>
      </c>
      <c r="N655" s="8">
        <v>0</v>
      </c>
      <c r="O655" s="9">
        <v>1</v>
      </c>
      <c r="P655" s="9">
        <v>0</v>
      </c>
      <c r="Q655" s="9">
        <v>0</v>
      </c>
      <c r="R655" s="9">
        <v>0</v>
      </c>
      <c r="S655" s="8">
        <v>2300</v>
      </c>
      <c r="T655" s="9">
        <v>7</v>
      </c>
      <c r="U655" s="9">
        <f t="shared" si="160"/>
        <v>2292</v>
      </c>
      <c r="V655" s="9">
        <f t="shared" si="161"/>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2"/>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0</v>
      </c>
      <c r="BD655">
        <v>1</v>
      </c>
      <c r="BE655">
        <v>0</v>
      </c>
      <c r="BF655" s="18">
        <v>0</v>
      </c>
      <c r="BG655">
        <v>0</v>
      </c>
      <c r="BH655">
        <v>1</v>
      </c>
      <c r="BI655" s="18">
        <v>0</v>
      </c>
      <c r="BJ655">
        <v>2675</v>
      </c>
      <c r="BK655">
        <v>153</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2" customFormat="1" x14ac:dyDescent="0.25">
      <c r="A656" s="142">
        <v>655</v>
      </c>
      <c r="B656" s="142">
        <v>41</v>
      </c>
      <c r="C656" s="143" t="s">
        <v>334</v>
      </c>
      <c r="D656" s="144">
        <v>3.9364104664247002</v>
      </c>
      <c r="E656" s="145">
        <v>1.090990166724449</v>
      </c>
      <c r="F656" s="146">
        <v>3.6081081081081079</v>
      </c>
      <c r="G656" s="146">
        <f t="shared" si="158"/>
        <v>2.8454202997002511</v>
      </c>
      <c r="H656" s="147">
        <f t="shared" si="159"/>
        <v>5.0274006331491492</v>
      </c>
      <c r="I656" s="11">
        <f t="shared" si="163"/>
        <v>7.5152310851901452E-2</v>
      </c>
      <c r="J656" s="33">
        <f t="shared" si="164"/>
        <v>2.0828730348467071E-2</v>
      </c>
      <c r="K656" s="33">
        <f t="shared" si="165"/>
        <v>48.010607620814334</v>
      </c>
      <c r="L656" s="149">
        <v>1</v>
      </c>
      <c r="M656" s="150">
        <v>0</v>
      </c>
      <c r="N656" s="149">
        <v>0</v>
      </c>
      <c r="O656" s="150">
        <v>1</v>
      </c>
      <c r="P656" s="150">
        <v>0</v>
      </c>
      <c r="Q656" s="150">
        <v>0</v>
      </c>
      <c r="R656" s="150">
        <v>0</v>
      </c>
      <c r="S656" s="149">
        <v>2300</v>
      </c>
      <c r="T656" s="150">
        <v>7</v>
      </c>
      <c r="U656" s="150">
        <f t="shared" si="160"/>
        <v>2292</v>
      </c>
      <c r="V656" s="150">
        <f t="shared" si="161"/>
        <v>15</v>
      </c>
      <c r="W656" s="146">
        <v>9.81</v>
      </c>
      <c r="X656" s="146">
        <v>11.78</v>
      </c>
      <c r="Y656" s="150">
        <v>0</v>
      </c>
      <c r="Z656" s="150">
        <v>1</v>
      </c>
      <c r="AA656" s="150">
        <v>1</v>
      </c>
      <c r="AB656" s="150">
        <v>0</v>
      </c>
      <c r="AC656" s="150">
        <v>0</v>
      </c>
      <c r="AD656" s="150">
        <v>0</v>
      </c>
      <c r="AE656" s="149">
        <v>0</v>
      </c>
      <c r="AF656" s="150">
        <v>1</v>
      </c>
      <c r="AG656" s="151">
        <v>0</v>
      </c>
      <c r="AH656" s="150">
        <v>0</v>
      </c>
      <c r="AI656" s="151">
        <v>1</v>
      </c>
      <c r="AJ656" s="152">
        <v>2012</v>
      </c>
      <c r="AK656" s="148">
        <v>0.19700000000000001</v>
      </c>
      <c r="AL656" s="148">
        <v>0.12</v>
      </c>
      <c r="AM656" s="148">
        <f t="shared" si="162"/>
        <v>0.43999999999999995</v>
      </c>
      <c r="AN656" s="153">
        <v>0.24299999999999999</v>
      </c>
      <c r="AO656" s="154">
        <v>1</v>
      </c>
      <c r="AP656" s="155">
        <v>0</v>
      </c>
      <c r="AQ656" s="142">
        <v>1</v>
      </c>
      <c r="AR656" s="156">
        <v>0</v>
      </c>
      <c r="AS656" s="142">
        <v>55.2</v>
      </c>
      <c r="AT656" s="156">
        <v>44.8</v>
      </c>
      <c r="AU656">
        <v>0</v>
      </c>
      <c r="AV656" s="155">
        <v>1</v>
      </c>
      <c r="AW656" s="142" t="s">
        <v>98</v>
      </c>
      <c r="AX656" s="155" t="s">
        <v>98</v>
      </c>
      <c r="AY656" s="155" t="s">
        <v>6</v>
      </c>
      <c r="AZ656">
        <v>0</v>
      </c>
      <c r="BA656">
        <v>0</v>
      </c>
      <c r="BB656">
        <v>0</v>
      </c>
      <c r="BC656">
        <v>0</v>
      </c>
      <c r="BD656">
        <v>1</v>
      </c>
      <c r="BE656">
        <v>0</v>
      </c>
      <c r="BF656" s="155">
        <v>0</v>
      </c>
      <c r="BG656">
        <v>0</v>
      </c>
      <c r="BH656">
        <v>1</v>
      </c>
      <c r="BI656" s="155">
        <v>0</v>
      </c>
      <c r="BJ656">
        <v>2675</v>
      </c>
      <c r="BK656">
        <v>153</v>
      </c>
      <c r="BL656" s="143">
        <v>29.52</v>
      </c>
      <c r="BM656" s="142">
        <v>0</v>
      </c>
      <c r="BN656" s="142">
        <v>0</v>
      </c>
      <c r="BO656" s="142">
        <v>0</v>
      </c>
      <c r="BP656" s="142">
        <v>1</v>
      </c>
      <c r="BQ656" s="142">
        <v>0</v>
      </c>
      <c r="BR656" s="142">
        <v>0</v>
      </c>
      <c r="BS656" s="142">
        <v>0</v>
      </c>
      <c r="BT656" s="155">
        <v>0</v>
      </c>
      <c r="BU656" s="142">
        <v>0</v>
      </c>
      <c r="BV656" s="142">
        <v>0</v>
      </c>
      <c r="BW656" s="142">
        <v>1</v>
      </c>
      <c r="BX656" s="155">
        <v>0</v>
      </c>
      <c r="BY656" s="142">
        <v>0</v>
      </c>
      <c r="BZ656" s="142">
        <v>0</v>
      </c>
      <c r="CA656" s="142">
        <v>0</v>
      </c>
      <c r="CB656" s="142">
        <v>0</v>
      </c>
      <c r="CC656" s="155">
        <v>0</v>
      </c>
      <c r="CD656" s="142">
        <v>0</v>
      </c>
      <c r="CE656" s="142">
        <v>0</v>
      </c>
      <c r="CF656" s="142">
        <v>1</v>
      </c>
      <c r="CG656" s="142">
        <v>1</v>
      </c>
      <c r="CH656" s="142">
        <v>0</v>
      </c>
      <c r="CI656" s="142">
        <v>0</v>
      </c>
      <c r="CJ656" s="142">
        <v>0</v>
      </c>
      <c r="CK656" s="142">
        <v>1</v>
      </c>
      <c r="CL656" s="142">
        <v>0</v>
      </c>
      <c r="CM656" s="142">
        <v>0</v>
      </c>
      <c r="CN656" s="155">
        <v>0</v>
      </c>
      <c r="CO656">
        <v>0.13900000000000001</v>
      </c>
      <c r="CP656">
        <v>42</v>
      </c>
      <c r="CQ656">
        <v>1</v>
      </c>
      <c r="CR656">
        <v>0</v>
      </c>
      <c r="CS656">
        <v>22</v>
      </c>
      <c r="CT656" s="157"/>
      <c r="CY656" s="157"/>
    </row>
    <row r="657" spans="1:103"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3"/>
        <v>0.18043874177926347</v>
      </c>
      <c r="J657" s="33">
        <f t="shared" si="164"/>
        <v>1.7184642074215568E-2</v>
      </c>
      <c r="K657" s="33">
        <f t="shared" si="165"/>
        <v>58.191494223812469</v>
      </c>
      <c r="L657" s="8">
        <v>1</v>
      </c>
      <c r="M657" s="9">
        <v>0</v>
      </c>
      <c r="N657" s="8">
        <v>0</v>
      </c>
      <c r="O657" s="9">
        <v>0</v>
      </c>
      <c r="P657" s="9">
        <v>1</v>
      </c>
      <c r="Q657" s="9">
        <v>0</v>
      </c>
      <c r="R657" s="9">
        <v>0</v>
      </c>
      <c r="S657" s="8">
        <v>3302</v>
      </c>
      <c r="T657" s="9">
        <v>25</v>
      </c>
      <c r="U657" s="9">
        <f t="shared" si="160"/>
        <v>3276</v>
      </c>
      <c r="V657" s="9">
        <f t="shared" si="161"/>
        <v>24</v>
      </c>
      <c r="W657" s="7">
        <v>15</v>
      </c>
      <c r="X657" s="7">
        <f t="shared" ref="X657:X698" si="166">BL657-W657-6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v>0</v>
      </c>
      <c r="BF657" s="18">
        <v>0</v>
      </c>
      <c r="BG657">
        <v>1</v>
      </c>
      <c r="BH657">
        <v>0</v>
      </c>
      <c r="BI657" s="18">
        <v>0</v>
      </c>
      <c r="BJ657">
        <v>23477</v>
      </c>
      <c r="BK657">
        <v>1423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10.79316513508928</v>
      </c>
      <c r="E658" s="14">
        <v>0.5996202852827377</v>
      </c>
      <c r="F658" s="7">
        <v>18</v>
      </c>
      <c r="G658" s="7">
        <f t="shared" si="158"/>
        <v>10.193544849806543</v>
      </c>
      <c r="H658" s="16">
        <f t="shared" si="159"/>
        <v>11.392785420372018</v>
      </c>
      <c r="I658" s="11">
        <f t="shared" si="163"/>
        <v>0.37598039382992116</v>
      </c>
      <c r="J658" s="33">
        <f t="shared" si="164"/>
        <v>2.0887799657217841E-2</v>
      </c>
      <c r="K658" s="33">
        <f t="shared" si="165"/>
        <v>47.874836814343297</v>
      </c>
      <c r="L658" s="8">
        <v>1</v>
      </c>
      <c r="M658" s="9">
        <v>0</v>
      </c>
      <c r="N658" s="8">
        <v>0</v>
      </c>
      <c r="O658" s="9">
        <v>0</v>
      </c>
      <c r="P658" s="9">
        <v>1</v>
      </c>
      <c r="Q658" s="9">
        <v>0</v>
      </c>
      <c r="R658" s="9">
        <v>0</v>
      </c>
      <c r="S658" s="8">
        <v>1994</v>
      </c>
      <c r="T658" s="9">
        <v>25</v>
      </c>
      <c r="U658" s="9">
        <f t="shared" si="160"/>
        <v>1968</v>
      </c>
      <c r="V658" s="9">
        <f t="shared" si="161"/>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v>0</v>
      </c>
      <c r="BF658" s="18">
        <v>0</v>
      </c>
      <c r="BG658">
        <v>1</v>
      </c>
      <c r="BH658">
        <v>0</v>
      </c>
      <c r="BI658" s="18">
        <v>0</v>
      </c>
      <c r="BJ658">
        <v>23477</v>
      </c>
      <c r="BK658">
        <v>1423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3"/>
        <v>0.22979763706829784</v>
      </c>
      <c r="J659" s="33">
        <f t="shared" si="164"/>
        <v>1.7022047190244284E-2</v>
      </c>
      <c r="K659" s="33">
        <f t="shared" si="165"/>
        <v>58.747340365330579</v>
      </c>
      <c r="L659" s="8">
        <v>1</v>
      </c>
      <c r="M659" s="9">
        <v>0</v>
      </c>
      <c r="N659" s="8">
        <v>0</v>
      </c>
      <c r="O659" s="9">
        <v>0</v>
      </c>
      <c r="P659" s="9">
        <v>1</v>
      </c>
      <c r="Q659" s="9">
        <v>0</v>
      </c>
      <c r="R659" s="9">
        <v>0</v>
      </c>
      <c r="S659" s="8">
        <v>3295</v>
      </c>
      <c r="T659" s="9">
        <v>25</v>
      </c>
      <c r="U659" s="9">
        <f t="shared" si="160"/>
        <v>3269</v>
      </c>
      <c r="V659" s="9">
        <f t="shared" si="161"/>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v>0</v>
      </c>
      <c r="BF659" s="18">
        <v>0</v>
      </c>
      <c r="BG659">
        <v>1</v>
      </c>
      <c r="BH659">
        <v>0</v>
      </c>
      <c r="BI659" s="18">
        <v>0</v>
      </c>
      <c r="BJ659">
        <v>23477</v>
      </c>
      <c r="BK659">
        <v>1423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10.79316513508928</v>
      </c>
      <c r="E660" s="14">
        <v>0.89943042792410655</v>
      </c>
      <c r="F660" s="7">
        <v>12</v>
      </c>
      <c r="G660" s="7">
        <f t="shared" si="158"/>
        <v>9.8937347071651729</v>
      </c>
      <c r="H660" s="16">
        <f t="shared" si="159"/>
        <v>11.692595563013388</v>
      </c>
      <c r="I660" s="11">
        <f t="shared" si="163"/>
        <v>0.24150198296582928</v>
      </c>
      <c r="J660" s="33">
        <f t="shared" si="164"/>
        <v>2.0125165247152441E-2</v>
      </c>
      <c r="K660" s="33">
        <f t="shared" si="165"/>
        <v>49.689032995219378</v>
      </c>
      <c r="L660" s="8">
        <v>1</v>
      </c>
      <c r="M660" s="9">
        <v>0</v>
      </c>
      <c r="N660" s="8">
        <v>0</v>
      </c>
      <c r="O660" s="9">
        <v>0</v>
      </c>
      <c r="P660" s="9">
        <v>1</v>
      </c>
      <c r="Q660" s="9">
        <v>0</v>
      </c>
      <c r="R660" s="9">
        <v>0</v>
      </c>
      <c r="S660" s="8">
        <v>2351</v>
      </c>
      <c r="T660" s="9">
        <v>25</v>
      </c>
      <c r="U660" s="9">
        <f t="shared" si="160"/>
        <v>2325</v>
      </c>
      <c r="V660" s="9">
        <f t="shared" si="161"/>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v>0</v>
      </c>
      <c r="BF660" s="18">
        <v>0</v>
      </c>
      <c r="BG660">
        <v>1</v>
      </c>
      <c r="BH660">
        <v>0</v>
      </c>
      <c r="BI660" s="18">
        <v>0</v>
      </c>
      <c r="BJ660">
        <v>23477</v>
      </c>
      <c r="BK660">
        <v>1423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1.225243523399465</v>
      </c>
      <c r="F661" s="7">
        <v>7.0000000000000009</v>
      </c>
      <c r="G661" s="7">
        <f t="shared" si="158"/>
        <v>7.351461140396788</v>
      </c>
      <c r="H661" s="16">
        <f t="shared" si="159"/>
        <v>9.8019481871957179</v>
      </c>
      <c r="I661" s="11">
        <f t="shared" si="163"/>
        <v>0.20198844988866643</v>
      </c>
      <c r="J661" s="33">
        <f t="shared" si="164"/>
        <v>2.8855492841238062E-2</v>
      </c>
      <c r="K661" s="33">
        <f t="shared" si="165"/>
        <v>34.655446902326915</v>
      </c>
      <c r="L661" s="8">
        <v>1</v>
      </c>
      <c r="M661" s="9">
        <v>0</v>
      </c>
      <c r="N661" s="8">
        <v>0</v>
      </c>
      <c r="O661" s="9">
        <v>0</v>
      </c>
      <c r="P661" s="9">
        <v>1</v>
      </c>
      <c r="Q661" s="9">
        <v>0</v>
      </c>
      <c r="R661" s="9">
        <v>0</v>
      </c>
      <c r="S661" s="8">
        <v>1178</v>
      </c>
      <c r="T661" s="9">
        <v>25</v>
      </c>
      <c r="U661" s="9">
        <f t="shared" si="160"/>
        <v>1152</v>
      </c>
      <c r="V661" s="9">
        <f t="shared" si="161"/>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v>0</v>
      </c>
      <c r="BF661" s="18">
        <v>0</v>
      </c>
      <c r="BG661">
        <v>1</v>
      </c>
      <c r="BH661">
        <v>0</v>
      </c>
      <c r="BI661" s="18">
        <v>0</v>
      </c>
      <c r="BJ661">
        <v>23477</v>
      </c>
      <c r="BK661">
        <v>1423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10.79316513508928</v>
      </c>
      <c r="E662" s="14">
        <v>0.89943042792410655</v>
      </c>
      <c r="F662" s="7">
        <v>12</v>
      </c>
      <c r="G662" s="7">
        <f t="shared" si="158"/>
        <v>9.8937347071651729</v>
      </c>
      <c r="H662" s="16">
        <f t="shared" si="159"/>
        <v>11.692595563013388</v>
      </c>
      <c r="I662" s="11">
        <f t="shared" si="163"/>
        <v>0.38293538776356167</v>
      </c>
      <c r="J662" s="33">
        <f t="shared" si="164"/>
        <v>3.1911282313630135E-2</v>
      </c>
      <c r="K662" s="33">
        <f t="shared" si="165"/>
        <v>31.336879231984799</v>
      </c>
      <c r="L662" s="8">
        <v>1</v>
      </c>
      <c r="M662" s="9">
        <v>0</v>
      </c>
      <c r="N662" s="8">
        <v>0</v>
      </c>
      <c r="O662" s="9">
        <v>0</v>
      </c>
      <c r="P662" s="9">
        <v>1</v>
      </c>
      <c r="Q662" s="9">
        <v>0</v>
      </c>
      <c r="R662" s="9">
        <v>0</v>
      </c>
      <c r="S662" s="8">
        <v>864</v>
      </c>
      <c r="T662" s="9">
        <v>25</v>
      </c>
      <c r="U662" s="9">
        <f t="shared" si="160"/>
        <v>838</v>
      </c>
      <c r="V662" s="9">
        <f t="shared" si="161"/>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v>0</v>
      </c>
      <c r="BF662" s="18">
        <v>0</v>
      </c>
      <c r="BG662">
        <v>1</v>
      </c>
      <c r="BH662">
        <v>0</v>
      </c>
      <c r="BI662" s="18">
        <v>0</v>
      </c>
      <c r="BJ662">
        <v>23477</v>
      </c>
      <c r="BK662">
        <v>1423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1.2286241901036949</v>
      </c>
      <c r="F663" s="7">
        <v>6.75</v>
      </c>
      <c r="G663" s="7">
        <f t="shared" si="158"/>
        <v>7.0645890930962452</v>
      </c>
      <c r="H663" s="16">
        <f t="shared" si="159"/>
        <v>9.5218374733036342</v>
      </c>
      <c r="I663" s="11">
        <f t="shared" si="163"/>
        <v>0.20021984068192275</v>
      </c>
      <c r="J663" s="33">
        <f t="shared" si="164"/>
        <v>2.9662198619544111E-2</v>
      </c>
      <c r="K663" s="33">
        <f t="shared" si="165"/>
        <v>33.712942618525602</v>
      </c>
      <c r="L663" s="8">
        <v>1</v>
      </c>
      <c r="M663" s="9">
        <v>0</v>
      </c>
      <c r="N663" s="8">
        <v>0</v>
      </c>
      <c r="O663" s="9">
        <v>0</v>
      </c>
      <c r="P663" s="9">
        <v>1</v>
      </c>
      <c r="Q663" s="9">
        <v>0</v>
      </c>
      <c r="R663" s="9">
        <v>0</v>
      </c>
      <c r="S663" s="8">
        <v>1117</v>
      </c>
      <c r="T663" s="9">
        <v>25</v>
      </c>
      <c r="U663" s="9">
        <f t="shared" si="160"/>
        <v>1091</v>
      </c>
      <c r="V663" s="9">
        <f t="shared" si="161"/>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v>0</v>
      </c>
      <c r="BF663" s="18">
        <v>0</v>
      </c>
      <c r="BG663">
        <v>1</v>
      </c>
      <c r="BH663">
        <v>0</v>
      </c>
      <c r="BI663" s="18">
        <v>0</v>
      </c>
      <c r="BJ663">
        <v>23477</v>
      </c>
      <c r="BK663">
        <v>1423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10.247377144973321</v>
      </c>
      <c r="E664" s="14">
        <v>0.90418033632117567</v>
      </c>
      <c r="F664" s="7">
        <v>11.33333333333333</v>
      </c>
      <c r="G664" s="7">
        <f t="shared" si="158"/>
        <v>9.3431968086521451</v>
      </c>
      <c r="H664" s="16">
        <f t="shared" si="159"/>
        <v>11.151557481294496</v>
      </c>
      <c r="I664" s="11">
        <f t="shared" si="163"/>
        <v>0.3619479884295474</v>
      </c>
      <c r="J664" s="33">
        <f t="shared" si="164"/>
        <v>3.1936587214371835E-2</v>
      </c>
      <c r="K664" s="33">
        <f t="shared" si="165"/>
        <v>31.312049508846343</v>
      </c>
      <c r="L664" s="8">
        <v>1</v>
      </c>
      <c r="M664" s="9">
        <v>0</v>
      </c>
      <c r="N664" s="8">
        <v>0</v>
      </c>
      <c r="O664" s="9">
        <v>0</v>
      </c>
      <c r="P664" s="9">
        <v>1</v>
      </c>
      <c r="Q664" s="9">
        <v>0</v>
      </c>
      <c r="R664" s="9">
        <v>0</v>
      </c>
      <c r="S664" s="8">
        <v>878</v>
      </c>
      <c r="T664" s="9">
        <v>25</v>
      </c>
      <c r="U664" s="9">
        <f t="shared" si="160"/>
        <v>852</v>
      </c>
      <c r="V664" s="9">
        <f t="shared" si="161"/>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v>0</v>
      </c>
      <c r="BF664" s="18">
        <v>0</v>
      </c>
      <c r="BG664">
        <v>1</v>
      </c>
      <c r="BH664">
        <v>0</v>
      </c>
      <c r="BI664" s="18">
        <v>0</v>
      </c>
      <c r="BJ664">
        <v>23477</v>
      </c>
      <c r="BK664">
        <v>1423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3"/>
        <v>0.2290393337255473</v>
      </c>
      <c r="J665" s="33">
        <f t="shared" si="164"/>
        <v>2.8629916715693413E-2</v>
      </c>
      <c r="K665" s="33">
        <f t="shared" si="165"/>
        <v>34.928498393145958</v>
      </c>
      <c r="L665" s="8">
        <v>1</v>
      </c>
      <c r="M665" s="9">
        <v>0</v>
      </c>
      <c r="N665" s="8">
        <v>0</v>
      </c>
      <c r="O665" s="9">
        <v>0</v>
      </c>
      <c r="P665" s="9">
        <v>1</v>
      </c>
      <c r="Q665" s="9">
        <v>0</v>
      </c>
      <c r="R665" s="9">
        <v>0</v>
      </c>
      <c r="S665" s="8">
        <v>1182</v>
      </c>
      <c r="T665" s="9">
        <v>25</v>
      </c>
      <c r="U665" s="9">
        <f t="shared" si="160"/>
        <v>1156</v>
      </c>
      <c r="V665" s="9">
        <f t="shared" si="161"/>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v>0</v>
      </c>
      <c r="BF665" s="18">
        <v>0</v>
      </c>
      <c r="BG665">
        <v>1</v>
      </c>
      <c r="BH665">
        <v>0</v>
      </c>
      <c r="BI665" s="18">
        <v>0</v>
      </c>
      <c r="BJ665">
        <v>23477</v>
      </c>
      <c r="BK665">
        <v>1423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10.79316513508928</v>
      </c>
      <c r="E666" s="14">
        <v>0.89943042792410655</v>
      </c>
      <c r="F666" s="7">
        <v>12</v>
      </c>
      <c r="G666" s="7">
        <f t="shared" si="158"/>
        <v>9.8937347071651729</v>
      </c>
      <c r="H666" s="16">
        <f t="shared" si="159"/>
        <v>11.692595563013388</v>
      </c>
      <c r="I666" s="11">
        <f t="shared" si="163"/>
        <v>0.37121293493384755</v>
      </c>
      <c r="J666" s="33">
        <f t="shared" si="164"/>
        <v>3.09344112444873E-2</v>
      </c>
      <c r="K666" s="33">
        <f t="shared" si="165"/>
        <v>32.326459750489228</v>
      </c>
      <c r="L666" s="8">
        <v>1</v>
      </c>
      <c r="M666" s="9">
        <v>0</v>
      </c>
      <c r="N666" s="8">
        <v>0</v>
      </c>
      <c r="O666" s="9">
        <v>0</v>
      </c>
      <c r="P666" s="9">
        <v>1</v>
      </c>
      <c r="Q666" s="9">
        <v>0</v>
      </c>
      <c r="R666" s="9">
        <v>0</v>
      </c>
      <c r="S666" s="8">
        <v>927</v>
      </c>
      <c r="T666" s="9">
        <v>25</v>
      </c>
      <c r="U666" s="9">
        <f t="shared" si="160"/>
        <v>901</v>
      </c>
      <c r="V666" s="9">
        <f t="shared" si="161"/>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v>0</v>
      </c>
      <c r="BF666" s="18">
        <v>0</v>
      </c>
      <c r="BG666">
        <v>1</v>
      </c>
      <c r="BH666">
        <v>0</v>
      </c>
      <c r="BI666" s="18">
        <v>0</v>
      </c>
      <c r="BJ666">
        <v>23477</v>
      </c>
      <c r="BK666">
        <v>1423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3"/>
        <v>0.24316581196735815</v>
      </c>
      <c r="J667" s="33">
        <f t="shared" si="164"/>
        <v>2.9179897436082972E-2</v>
      </c>
      <c r="K667" s="33">
        <f t="shared" si="165"/>
        <v>34.270168433266335</v>
      </c>
      <c r="L667" s="8">
        <v>1</v>
      </c>
      <c r="M667" s="9">
        <v>0</v>
      </c>
      <c r="N667" s="8">
        <v>0</v>
      </c>
      <c r="O667" s="9">
        <v>0</v>
      </c>
      <c r="P667" s="9">
        <v>1</v>
      </c>
      <c r="Q667" s="9">
        <v>0</v>
      </c>
      <c r="R667" s="9">
        <v>0</v>
      </c>
      <c r="S667" s="8">
        <v>1131</v>
      </c>
      <c r="T667" s="9">
        <v>25</v>
      </c>
      <c r="U667" s="9">
        <f t="shared" si="160"/>
        <v>1105</v>
      </c>
      <c r="V667" s="9">
        <f t="shared" si="161"/>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v>0</v>
      </c>
      <c r="BF667" s="18">
        <v>0</v>
      </c>
      <c r="BG667">
        <v>1</v>
      </c>
      <c r="BH667">
        <v>0</v>
      </c>
      <c r="BI667" s="18">
        <v>0</v>
      </c>
      <c r="BJ667">
        <v>23477</v>
      </c>
      <c r="BK667">
        <v>1423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3"/>
        <v>0.40016336533252062</v>
      </c>
      <c r="J668" s="33">
        <f t="shared" si="164"/>
        <v>2.8583097523751475E-2</v>
      </c>
      <c r="K668" s="33">
        <f t="shared" si="165"/>
        <v>34.985711369071801</v>
      </c>
      <c r="L668" s="8">
        <v>1</v>
      </c>
      <c r="M668" s="9">
        <v>0</v>
      </c>
      <c r="N668" s="8">
        <v>0</v>
      </c>
      <c r="O668" s="9">
        <v>0</v>
      </c>
      <c r="P668" s="9">
        <v>1</v>
      </c>
      <c r="Q668" s="9">
        <v>0</v>
      </c>
      <c r="R668" s="9">
        <v>0</v>
      </c>
      <c r="S668" s="8">
        <v>1054</v>
      </c>
      <c r="T668" s="9">
        <v>25</v>
      </c>
      <c r="U668" s="9">
        <f t="shared" si="160"/>
        <v>1028</v>
      </c>
      <c r="V668" s="9">
        <f t="shared" si="161"/>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v>0</v>
      </c>
      <c r="BF668" s="18">
        <v>0</v>
      </c>
      <c r="BG668">
        <v>1</v>
      </c>
      <c r="BH668">
        <v>0</v>
      </c>
      <c r="BI668" s="18">
        <v>0</v>
      </c>
      <c r="BJ668">
        <v>23477</v>
      </c>
      <c r="BK668">
        <v>1423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7.1441269690773126</v>
      </c>
      <c r="E669" s="14">
        <v>0.93184264814051909</v>
      </c>
      <c r="F669" s="7">
        <v>7.666666666666667</v>
      </c>
      <c r="G669" s="7">
        <f t="shared" si="158"/>
        <v>6.2122843209367939</v>
      </c>
      <c r="H669" s="16">
        <f t="shared" si="159"/>
        <v>8.0759696172178312</v>
      </c>
      <c r="I669" s="11">
        <f t="shared" si="163"/>
        <v>0.21273510241648885</v>
      </c>
      <c r="J669" s="33">
        <f t="shared" si="164"/>
        <v>2.7748056836933325E-2</v>
      </c>
      <c r="K669" s="33">
        <f t="shared" si="165"/>
        <v>36.038559596323736</v>
      </c>
      <c r="L669" s="8">
        <v>1</v>
      </c>
      <c r="M669" s="9">
        <v>0</v>
      </c>
      <c r="N669" s="8">
        <v>0</v>
      </c>
      <c r="O669" s="9">
        <v>0</v>
      </c>
      <c r="P669" s="9">
        <v>1</v>
      </c>
      <c r="Q669" s="9">
        <v>0</v>
      </c>
      <c r="R669" s="9">
        <v>0</v>
      </c>
      <c r="S669" s="8">
        <v>1266</v>
      </c>
      <c r="T669" s="9">
        <v>25</v>
      </c>
      <c r="U669" s="9">
        <f t="shared" si="160"/>
        <v>1240</v>
      </c>
      <c r="V669" s="9">
        <f t="shared" si="161"/>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v>0</v>
      </c>
      <c r="BF669" s="18">
        <v>0</v>
      </c>
      <c r="BG669">
        <v>1</v>
      </c>
      <c r="BH669">
        <v>0</v>
      </c>
      <c r="BI669" s="18">
        <v>0</v>
      </c>
      <c r="BJ669">
        <v>23477</v>
      </c>
      <c r="BK669">
        <v>1423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12.13461704540997</v>
      </c>
      <c r="E670" s="14">
        <v>0.88789880820072942</v>
      </c>
      <c r="F670" s="7">
        <v>13.66666666666667</v>
      </c>
      <c r="G670" s="7">
        <f t="shared" si="158"/>
        <v>11.24671823720924</v>
      </c>
      <c r="H670" s="16">
        <f t="shared" si="159"/>
        <v>13.022515853610699</v>
      </c>
      <c r="I670" s="11">
        <f t="shared" si="163"/>
        <v>0.39035228877848893</v>
      </c>
      <c r="J670" s="33">
        <f t="shared" si="164"/>
        <v>2.8562362593547969E-2</v>
      </c>
      <c r="K670" s="33">
        <f t="shared" si="165"/>
        <v>35.01110934800235</v>
      </c>
      <c r="L670" s="8">
        <v>1</v>
      </c>
      <c r="M670" s="9">
        <v>0</v>
      </c>
      <c r="N670" s="8">
        <v>0</v>
      </c>
      <c r="O670" s="9">
        <v>0</v>
      </c>
      <c r="P670" s="9">
        <v>1</v>
      </c>
      <c r="Q670" s="9">
        <v>0</v>
      </c>
      <c r="R670" s="9">
        <v>0</v>
      </c>
      <c r="S670" s="8">
        <v>1065</v>
      </c>
      <c r="T670" s="9">
        <v>25</v>
      </c>
      <c r="U670" s="9">
        <f t="shared" si="160"/>
        <v>1039</v>
      </c>
      <c r="V670" s="9">
        <f t="shared" si="161"/>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v>0</v>
      </c>
      <c r="BF670" s="18">
        <v>0</v>
      </c>
      <c r="BG670">
        <v>1</v>
      </c>
      <c r="BH670">
        <v>0</v>
      </c>
      <c r="BI670" s="18">
        <v>0</v>
      </c>
      <c r="BJ670">
        <v>23477</v>
      </c>
      <c r="BK670">
        <v>1423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3"/>
        <v>0.2069593385961789</v>
      </c>
      <c r="J671" s="33">
        <f t="shared" si="164"/>
        <v>2.9565619799454129E-2</v>
      </c>
      <c r="K671" s="33">
        <f t="shared" si="165"/>
        <v>33.823069050575526</v>
      </c>
      <c r="L671" s="8">
        <v>1</v>
      </c>
      <c r="M671" s="9">
        <v>0</v>
      </c>
      <c r="N671" s="8">
        <v>0</v>
      </c>
      <c r="O671" s="9">
        <v>0</v>
      </c>
      <c r="P671" s="9">
        <v>1</v>
      </c>
      <c r="Q671" s="9">
        <v>0</v>
      </c>
      <c r="R671" s="9">
        <v>0</v>
      </c>
      <c r="S671" s="8">
        <v>1121</v>
      </c>
      <c r="T671" s="9">
        <v>25</v>
      </c>
      <c r="U671" s="9">
        <f t="shared" si="160"/>
        <v>1095</v>
      </c>
      <c r="V671" s="9">
        <f t="shared" si="161"/>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v>0</v>
      </c>
      <c r="BF671" s="18">
        <v>0</v>
      </c>
      <c r="BG671">
        <v>1</v>
      </c>
      <c r="BH671">
        <v>0</v>
      </c>
      <c r="BI671" s="18">
        <v>0</v>
      </c>
      <c r="BJ671">
        <v>23477</v>
      </c>
      <c r="BK671">
        <v>1423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11.064054147667219</v>
      </c>
      <c r="E672" s="14">
        <v>0.89708547143247763</v>
      </c>
      <c r="F672" s="7">
        <v>12.33333333333333</v>
      </c>
      <c r="G672" s="7">
        <f t="shared" si="158"/>
        <v>10.166968676234742</v>
      </c>
      <c r="H672" s="16">
        <f t="shared" si="159"/>
        <v>11.961139619099697</v>
      </c>
      <c r="I672" s="11">
        <f t="shared" si="163"/>
        <v>0.36383079663301104</v>
      </c>
      <c r="J672" s="33">
        <f t="shared" si="164"/>
        <v>2.9499794321595496E-2</v>
      </c>
      <c r="K672" s="33">
        <f t="shared" si="165"/>
        <v>33.898541430437845</v>
      </c>
      <c r="L672" s="8">
        <v>1</v>
      </c>
      <c r="M672" s="9">
        <v>0</v>
      </c>
      <c r="N672" s="8">
        <v>0</v>
      </c>
      <c r="O672" s="9">
        <v>0</v>
      </c>
      <c r="P672" s="9">
        <v>1</v>
      </c>
      <c r="Q672" s="9">
        <v>0</v>
      </c>
      <c r="R672" s="9">
        <v>0</v>
      </c>
      <c r="S672" s="8">
        <v>1023</v>
      </c>
      <c r="T672" s="9">
        <v>25</v>
      </c>
      <c r="U672" s="9">
        <f t="shared" si="160"/>
        <v>997</v>
      </c>
      <c r="V672" s="9">
        <f t="shared" si="161"/>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v>0</v>
      </c>
      <c r="BF672" s="18">
        <v>0</v>
      </c>
      <c r="BG672">
        <v>1</v>
      </c>
      <c r="BH672">
        <v>0</v>
      </c>
      <c r="BI672" s="18">
        <v>0</v>
      </c>
      <c r="BJ672">
        <v>23477</v>
      </c>
      <c r="BK672">
        <v>1423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3"/>
        <v>0.23379806622491348</v>
      </c>
      <c r="J673" s="33">
        <f t="shared" si="164"/>
        <v>2.8055767946989611E-2</v>
      </c>
      <c r="K673" s="33">
        <f t="shared" si="165"/>
        <v>35.643294522875472</v>
      </c>
      <c r="L673" s="8">
        <v>1</v>
      </c>
      <c r="M673" s="9">
        <v>0</v>
      </c>
      <c r="N673" s="8">
        <v>0</v>
      </c>
      <c r="O673" s="9">
        <v>0</v>
      </c>
      <c r="P673" s="9">
        <v>1</v>
      </c>
      <c r="Q673" s="9">
        <v>0</v>
      </c>
      <c r="R673" s="9">
        <v>0</v>
      </c>
      <c r="S673" s="8">
        <v>1227</v>
      </c>
      <c r="T673" s="9">
        <v>25</v>
      </c>
      <c r="U673" s="9">
        <f t="shared" si="160"/>
        <v>1201</v>
      </c>
      <c r="V673" s="9">
        <f t="shared" si="161"/>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v>0</v>
      </c>
      <c r="BF673" s="18">
        <v>0</v>
      </c>
      <c r="BG673">
        <v>1</v>
      </c>
      <c r="BH673">
        <v>0</v>
      </c>
      <c r="BI673" s="18">
        <v>0</v>
      </c>
      <c r="BJ673">
        <v>23477</v>
      </c>
      <c r="BK673">
        <v>1423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10.66666666666667</v>
      </c>
      <c r="G674" s="7">
        <f t="shared" si="158"/>
        <v>8.7871187628412084</v>
      </c>
      <c r="H674" s="16">
        <f t="shared" si="159"/>
        <v>10.605143334463529</v>
      </c>
      <c r="I674" s="11">
        <f t="shared" si="163"/>
        <v>0.31002279841319574</v>
      </c>
      <c r="J674" s="33">
        <f t="shared" si="164"/>
        <v>2.9064637351237089E-2</v>
      </c>
      <c r="K674" s="33">
        <f t="shared" si="165"/>
        <v>34.406071815564445</v>
      </c>
      <c r="L674" s="8">
        <v>1</v>
      </c>
      <c r="M674" s="9">
        <v>0</v>
      </c>
      <c r="N674" s="8">
        <v>0</v>
      </c>
      <c r="O674" s="9">
        <v>0</v>
      </c>
      <c r="P674" s="9">
        <v>1</v>
      </c>
      <c r="Q674" s="9">
        <v>0</v>
      </c>
      <c r="R674" s="9">
        <v>0</v>
      </c>
      <c r="S674" s="8">
        <v>1096</v>
      </c>
      <c r="T674" s="9">
        <v>25</v>
      </c>
      <c r="U674" s="9">
        <f t="shared" si="160"/>
        <v>1070</v>
      </c>
      <c r="V674" s="9">
        <f t="shared" si="161"/>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v>0</v>
      </c>
      <c r="BF674" s="18">
        <v>0</v>
      </c>
      <c r="BG674">
        <v>1</v>
      </c>
      <c r="BH674">
        <v>0</v>
      </c>
      <c r="BI674" s="18">
        <v>0</v>
      </c>
      <c r="BJ674">
        <v>23477</v>
      </c>
      <c r="BK674">
        <v>1423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3"/>
        <v>0.2001634654952085</v>
      </c>
      <c r="J675" s="33">
        <f t="shared" si="164"/>
        <v>2.8594780785029781E-2</v>
      </c>
      <c r="K675" s="33">
        <f t="shared" si="165"/>
        <v>34.971416900091427</v>
      </c>
      <c r="L675" s="8">
        <v>1</v>
      </c>
      <c r="M675" s="9">
        <v>0</v>
      </c>
      <c r="N675" s="8">
        <v>0</v>
      </c>
      <c r="O675" s="9">
        <v>0</v>
      </c>
      <c r="P675" s="9">
        <v>1</v>
      </c>
      <c r="Q675" s="9">
        <v>0</v>
      </c>
      <c r="R675" s="9">
        <v>0</v>
      </c>
      <c r="S675" s="8">
        <v>1200</v>
      </c>
      <c r="T675" s="9">
        <v>25</v>
      </c>
      <c r="U675" s="9">
        <f t="shared" si="160"/>
        <v>1174</v>
      </c>
      <c r="V675" s="9">
        <f t="shared" si="161"/>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v>0</v>
      </c>
      <c r="BF675" s="18">
        <v>0</v>
      </c>
      <c r="BG675">
        <v>1</v>
      </c>
      <c r="BH675">
        <v>0</v>
      </c>
      <c r="BI675" s="18">
        <v>0</v>
      </c>
      <c r="BJ675">
        <v>23477</v>
      </c>
      <c r="BK675">
        <v>1423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v>
      </c>
      <c r="G676" s="7">
        <f t="shared" si="158"/>
        <v>9.0658589896606152</v>
      </c>
      <c r="H676" s="16">
        <f t="shared" si="159"/>
        <v>10.879030787592736</v>
      </c>
      <c r="I676" s="11">
        <f t="shared" si="163"/>
        <v>0.30117212300636642</v>
      </c>
      <c r="J676" s="33">
        <f t="shared" si="164"/>
        <v>2.7379283909669677E-2</v>
      </c>
      <c r="K676" s="33">
        <f t="shared" si="165"/>
        <v>36.523964735499348</v>
      </c>
      <c r="L676" s="8">
        <v>1</v>
      </c>
      <c r="M676" s="9">
        <v>0</v>
      </c>
      <c r="N676" s="8">
        <v>0</v>
      </c>
      <c r="O676" s="9">
        <v>0</v>
      </c>
      <c r="P676" s="9">
        <v>1</v>
      </c>
      <c r="Q676" s="9">
        <v>0</v>
      </c>
      <c r="R676" s="9">
        <v>0</v>
      </c>
      <c r="S676" s="8">
        <v>1239</v>
      </c>
      <c r="T676" s="9">
        <v>25</v>
      </c>
      <c r="U676" s="9">
        <f t="shared" si="160"/>
        <v>1213</v>
      </c>
      <c r="V676" s="9">
        <f t="shared" si="161"/>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v>0</v>
      </c>
      <c r="BF676" s="18">
        <v>0</v>
      </c>
      <c r="BG676">
        <v>1</v>
      </c>
      <c r="BH676">
        <v>0</v>
      </c>
      <c r="BI676" s="18">
        <v>0</v>
      </c>
      <c r="BJ676">
        <v>23477</v>
      </c>
      <c r="BK676">
        <v>1423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1.249566414602109</v>
      </c>
      <c r="F677" s="7">
        <v>5.25</v>
      </c>
      <c r="G677" s="7">
        <f t="shared" si="158"/>
        <v>5.3106572620589612</v>
      </c>
      <c r="H677" s="16">
        <f t="shared" si="159"/>
        <v>7.8097900912631788</v>
      </c>
      <c r="I677" s="11">
        <f t="shared" si="163"/>
        <v>0.19175883294520565</v>
      </c>
      <c r="J677" s="33">
        <f t="shared" si="164"/>
        <v>3.6525491989562987E-2</v>
      </c>
      <c r="K677" s="33">
        <f t="shared" si="165"/>
        <v>27.378139089426803</v>
      </c>
      <c r="L677" s="8">
        <v>1</v>
      </c>
      <c r="M677" s="9">
        <v>0</v>
      </c>
      <c r="N677" s="8">
        <v>0</v>
      </c>
      <c r="O677" s="9">
        <v>0</v>
      </c>
      <c r="P677" s="9">
        <v>1</v>
      </c>
      <c r="Q677" s="9">
        <v>0</v>
      </c>
      <c r="R677" s="9">
        <v>0</v>
      </c>
      <c r="S677" s="8">
        <v>748</v>
      </c>
      <c r="T677" s="9">
        <v>25</v>
      </c>
      <c r="U677" s="9">
        <f t="shared" si="160"/>
        <v>722</v>
      </c>
      <c r="V677" s="9">
        <f t="shared" si="161"/>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v>0</v>
      </c>
      <c r="BF677" s="18">
        <v>0</v>
      </c>
      <c r="BG677">
        <v>1</v>
      </c>
      <c r="BH677">
        <v>0</v>
      </c>
      <c r="BI677" s="18">
        <v>0</v>
      </c>
      <c r="BJ677">
        <v>23477</v>
      </c>
      <c r="BK677">
        <v>1423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3"/>
        <v>0.2883101727057103</v>
      </c>
      <c r="J678" s="33">
        <f t="shared" si="164"/>
        <v>3.4597220724685233E-2</v>
      </c>
      <c r="K678" s="33">
        <f t="shared" si="165"/>
        <v>28.904055847656476</v>
      </c>
      <c r="L678" s="8">
        <v>1</v>
      </c>
      <c r="M678" s="9">
        <v>0</v>
      </c>
      <c r="N678" s="8">
        <v>0</v>
      </c>
      <c r="O678" s="9">
        <v>0</v>
      </c>
      <c r="P678" s="9">
        <v>1</v>
      </c>
      <c r="Q678" s="9">
        <v>0</v>
      </c>
      <c r="R678" s="9">
        <v>0</v>
      </c>
      <c r="S678" s="8">
        <v>792</v>
      </c>
      <c r="T678" s="9">
        <v>25</v>
      </c>
      <c r="U678" s="9">
        <f t="shared" si="160"/>
        <v>766</v>
      </c>
      <c r="V678" s="9">
        <f t="shared" si="161"/>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v>0</v>
      </c>
      <c r="BF678" s="18">
        <v>0</v>
      </c>
      <c r="BG678">
        <v>1</v>
      </c>
      <c r="BH678">
        <v>0</v>
      </c>
      <c r="BI678" s="18">
        <v>0</v>
      </c>
      <c r="BJ678">
        <v>23477</v>
      </c>
      <c r="BK678">
        <v>1423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1.2717214179105929</v>
      </c>
      <c r="F679" s="7">
        <v>3.75</v>
      </c>
      <c r="G679" s="7">
        <f t="shared" si="158"/>
        <v>3.4972338992541321</v>
      </c>
      <c r="H679" s="16">
        <f t="shared" si="159"/>
        <v>6.0406767350753174</v>
      </c>
      <c r="I679" s="11">
        <f t="shared" si="163"/>
        <v>0.15321285325897388</v>
      </c>
      <c r="J679" s="33">
        <f t="shared" si="164"/>
        <v>4.0856760869059705E-2</v>
      </c>
      <c r="K679" s="33">
        <f t="shared" si="165"/>
        <v>24.475753308121082</v>
      </c>
      <c r="L679" s="8">
        <v>1</v>
      </c>
      <c r="M679" s="9">
        <v>0</v>
      </c>
      <c r="N679" s="8">
        <v>0</v>
      </c>
      <c r="O679" s="9">
        <v>0</v>
      </c>
      <c r="P679" s="9">
        <v>1</v>
      </c>
      <c r="Q679" s="9">
        <v>0</v>
      </c>
      <c r="R679" s="9">
        <v>0</v>
      </c>
      <c r="S679" s="8">
        <v>611</v>
      </c>
      <c r="T679" s="9">
        <v>25</v>
      </c>
      <c r="U679" s="9">
        <f t="shared" si="160"/>
        <v>585</v>
      </c>
      <c r="V679" s="9">
        <f t="shared" si="161"/>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v>0</v>
      </c>
      <c r="BF679" s="18">
        <v>0</v>
      </c>
      <c r="BG679">
        <v>1</v>
      </c>
      <c r="BH679">
        <v>0</v>
      </c>
      <c r="BI679" s="18">
        <v>0</v>
      </c>
      <c r="BJ679">
        <v>23477</v>
      </c>
      <c r="BK679">
        <v>1423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2" customFormat="1" x14ac:dyDescent="0.25">
      <c r="A680" s="142">
        <v>679</v>
      </c>
      <c r="B680" s="142">
        <v>42</v>
      </c>
      <c r="C680" s="143" t="s">
        <v>446</v>
      </c>
      <c r="D680" s="144">
        <v>6.56022367666107</v>
      </c>
      <c r="E680" s="145">
        <v>0.93717481095158139</v>
      </c>
      <c r="F680" s="146">
        <v>7</v>
      </c>
      <c r="G680" s="146">
        <f t="shared" si="158"/>
        <v>5.6230488657094888</v>
      </c>
      <c r="H680" s="147">
        <f t="shared" si="159"/>
        <v>7.4973984876126512</v>
      </c>
      <c r="I680" s="11">
        <f t="shared" si="163"/>
        <v>0.25611660664261082</v>
      </c>
      <c r="J680" s="33">
        <f t="shared" si="164"/>
        <v>3.6588086663230115E-2</v>
      </c>
      <c r="K680" s="33">
        <f t="shared" si="165"/>
        <v>27.331300737432898</v>
      </c>
      <c r="L680" s="149">
        <v>1</v>
      </c>
      <c r="M680" s="150">
        <v>0</v>
      </c>
      <c r="N680" s="149">
        <v>0</v>
      </c>
      <c r="O680" s="150">
        <v>0</v>
      </c>
      <c r="P680" s="150">
        <v>1</v>
      </c>
      <c r="Q680" s="150">
        <v>0</v>
      </c>
      <c r="R680" s="150">
        <v>0</v>
      </c>
      <c r="S680" s="149">
        <v>724</v>
      </c>
      <c r="T680" s="150">
        <v>25</v>
      </c>
      <c r="U680" s="150">
        <f t="shared" si="160"/>
        <v>698</v>
      </c>
      <c r="V680" s="150">
        <f t="shared" si="161"/>
        <v>24</v>
      </c>
      <c r="W680" s="146">
        <v>15</v>
      </c>
      <c r="X680" s="146">
        <f t="shared" si="166"/>
        <v>6</v>
      </c>
      <c r="Y680" s="150">
        <v>0</v>
      </c>
      <c r="Z680" s="150">
        <v>1</v>
      </c>
      <c r="AA680" s="150">
        <v>1</v>
      </c>
      <c r="AB680" s="150">
        <v>0</v>
      </c>
      <c r="AC680" s="150">
        <v>0</v>
      </c>
      <c r="AD680" s="150">
        <v>0</v>
      </c>
      <c r="AE680" s="149">
        <v>0</v>
      </c>
      <c r="AF680" s="150">
        <v>1</v>
      </c>
      <c r="AG680" s="151">
        <v>0</v>
      </c>
      <c r="AH680" s="150">
        <v>0</v>
      </c>
      <c r="AI680" s="151">
        <v>1</v>
      </c>
      <c r="AJ680" s="152">
        <v>1999</v>
      </c>
      <c r="AK680" s="148">
        <v>0</v>
      </c>
      <c r="AL680" s="148">
        <v>0</v>
      </c>
      <c r="AM680" s="148">
        <v>0</v>
      </c>
      <c r="AN680" s="153">
        <v>1</v>
      </c>
      <c r="AO680" s="154">
        <v>1</v>
      </c>
      <c r="AP680" s="155">
        <v>0</v>
      </c>
      <c r="AQ680" s="142">
        <v>0</v>
      </c>
      <c r="AR680" s="156">
        <v>1</v>
      </c>
      <c r="AS680" s="142" t="s">
        <v>98</v>
      </c>
      <c r="AT680" s="156" t="s">
        <v>98</v>
      </c>
      <c r="AU680">
        <v>1</v>
      </c>
      <c r="AV680" s="155">
        <v>0</v>
      </c>
      <c r="AW680" s="142" t="s">
        <v>98</v>
      </c>
      <c r="AX680" s="155" t="s">
        <v>98</v>
      </c>
      <c r="AY680" s="155" t="s">
        <v>329</v>
      </c>
      <c r="AZ680">
        <v>1</v>
      </c>
      <c r="BA680">
        <v>0</v>
      </c>
      <c r="BB680">
        <v>1</v>
      </c>
      <c r="BC680">
        <v>0</v>
      </c>
      <c r="BD680">
        <v>0</v>
      </c>
      <c r="BE680">
        <v>0</v>
      </c>
      <c r="BF680" s="155">
        <v>0</v>
      </c>
      <c r="BG680">
        <v>1</v>
      </c>
      <c r="BH680">
        <v>0</v>
      </c>
      <c r="BI680" s="155">
        <v>0</v>
      </c>
      <c r="BJ680">
        <v>23477</v>
      </c>
      <c r="BK680">
        <v>1423</v>
      </c>
      <c r="BL680" s="143">
        <v>27</v>
      </c>
      <c r="BM680" s="142">
        <v>0</v>
      </c>
      <c r="BN680" s="142">
        <v>0</v>
      </c>
      <c r="BO680" s="142">
        <v>1</v>
      </c>
      <c r="BP680" s="142">
        <v>0</v>
      </c>
      <c r="BQ680" s="142">
        <v>0</v>
      </c>
      <c r="BR680" s="142">
        <v>0</v>
      </c>
      <c r="BS680" s="142">
        <v>0</v>
      </c>
      <c r="BT680" s="155">
        <v>0</v>
      </c>
      <c r="BU680" s="142">
        <v>0</v>
      </c>
      <c r="BV680" s="142">
        <v>0</v>
      </c>
      <c r="BW680" s="142">
        <v>0</v>
      </c>
      <c r="BX680" s="155">
        <v>1</v>
      </c>
      <c r="BY680" s="142">
        <v>0</v>
      </c>
      <c r="BZ680" s="142">
        <v>0</v>
      </c>
      <c r="CA680" s="142">
        <v>0</v>
      </c>
      <c r="CB680" s="142">
        <v>0</v>
      </c>
      <c r="CC680" s="155">
        <v>0</v>
      </c>
      <c r="CD680" s="142">
        <v>1</v>
      </c>
      <c r="CE680" s="142">
        <v>1</v>
      </c>
      <c r="CF680" s="142">
        <v>0</v>
      </c>
      <c r="CG680" s="142">
        <v>0</v>
      </c>
      <c r="CH680" s="142">
        <v>1</v>
      </c>
      <c r="CI680" s="142">
        <v>1</v>
      </c>
      <c r="CJ680" s="142">
        <v>0</v>
      </c>
      <c r="CK680" s="142">
        <v>1</v>
      </c>
      <c r="CL680" s="142">
        <v>1</v>
      </c>
      <c r="CM680" s="142">
        <v>1</v>
      </c>
      <c r="CN680" s="155">
        <v>1</v>
      </c>
      <c r="CO680">
        <v>0.63</v>
      </c>
      <c r="CP680">
        <v>335</v>
      </c>
      <c r="CQ680">
        <v>1</v>
      </c>
      <c r="CR680">
        <v>0</v>
      </c>
      <c r="CS680">
        <v>12</v>
      </c>
      <c r="CT680" s="157"/>
      <c r="CY680" s="157"/>
    </row>
    <row r="681" spans="1:103" x14ac:dyDescent="0.25">
      <c r="A681">
        <v>680</v>
      </c>
      <c r="B681">
        <v>43</v>
      </c>
      <c r="C681" s="25" t="s">
        <v>454</v>
      </c>
      <c r="D681" s="12">
        <v>4.3804367694820989</v>
      </c>
      <c r="E681" s="14">
        <v>1.64061302227794</v>
      </c>
      <c r="F681" s="7">
        <v>2.67</v>
      </c>
      <c r="G681" s="7">
        <f t="shared" si="158"/>
        <v>2.7398237472041589</v>
      </c>
      <c r="H681" s="16">
        <f t="shared" si="159"/>
        <v>6.0210497917600385</v>
      </c>
      <c r="I681" s="11">
        <f t="shared" si="163"/>
        <v>7.5006838968708398E-2</v>
      </c>
      <c r="J681" s="33">
        <f t="shared" si="164"/>
        <v>2.809244905195071E-2</v>
      </c>
      <c r="K681" s="33">
        <f t="shared" si="165"/>
        <v>35.596754065504342</v>
      </c>
      <c r="L681" s="8">
        <v>1</v>
      </c>
      <c r="M681" s="9">
        <v>0</v>
      </c>
      <c r="N681" s="8">
        <v>0</v>
      </c>
      <c r="O681" s="9">
        <v>1</v>
      </c>
      <c r="P681" s="9">
        <v>0</v>
      </c>
      <c r="Q681" s="9">
        <v>0</v>
      </c>
      <c r="R681" s="9">
        <v>0</v>
      </c>
      <c r="S681" s="8">
        <v>1284</v>
      </c>
      <c r="T681" s="9">
        <v>23</v>
      </c>
      <c r="U681" s="9">
        <f t="shared" si="160"/>
        <v>1260</v>
      </c>
      <c r="V681" s="9">
        <f t="shared" si="161"/>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v>0</v>
      </c>
      <c r="BF681" s="18">
        <v>1</v>
      </c>
      <c r="BG681">
        <v>0</v>
      </c>
      <c r="BH681">
        <v>1</v>
      </c>
      <c r="BI681" s="18">
        <v>0</v>
      </c>
      <c r="BJ681">
        <v>819</v>
      </c>
      <c r="BK681">
        <v>42</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v>
      </c>
      <c r="F682" s="7">
        <v>5.8</v>
      </c>
      <c r="G682" s="7">
        <f t="shared" si="158"/>
        <v>6.2822592857031809</v>
      </c>
      <c r="H682" s="16">
        <f t="shared" si="159"/>
        <v>8.8998673214128381</v>
      </c>
      <c r="I682" s="11">
        <f t="shared" si="163"/>
        <v>0.16125800242919325</v>
      </c>
      <c r="J682" s="33">
        <f t="shared" si="164"/>
        <v>2.7803103867102285E-2</v>
      </c>
      <c r="K682" s="33">
        <f t="shared" si="165"/>
        <v>35.9672072866382</v>
      </c>
      <c r="L682" s="8">
        <v>1</v>
      </c>
      <c r="M682" s="9">
        <v>0</v>
      </c>
      <c r="N682" s="8">
        <v>0</v>
      </c>
      <c r="O682" s="9">
        <v>1</v>
      </c>
      <c r="P682" s="9">
        <v>0</v>
      </c>
      <c r="Q682" s="9">
        <v>0</v>
      </c>
      <c r="R682" s="9">
        <v>0</v>
      </c>
      <c r="S682" s="8">
        <v>1284</v>
      </c>
      <c r="T682" s="9">
        <v>23</v>
      </c>
      <c r="U682" s="9">
        <f t="shared" si="160"/>
        <v>1260</v>
      </c>
      <c r="V682" s="9">
        <f t="shared" si="161"/>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v>0</v>
      </c>
      <c r="BF682" s="18">
        <v>1</v>
      </c>
      <c r="BG682">
        <v>0</v>
      </c>
      <c r="BH682">
        <v>1</v>
      </c>
      <c r="BI682" s="18">
        <v>0</v>
      </c>
      <c r="BJ682">
        <v>819</v>
      </c>
      <c r="BK682">
        <v>42</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19.348319192733701</v>
      </c>
      <c r="E683" s="14">
        <v>1.8784775915275429</v>
      </c>
      <c r="F683" s="7">
        <v>10.3</v>
      </c>
      <c r="G683" s="7">
        <f t="shared" si="158"/>
        <v>17.469841601206159</v>
      </c>
      <c r="H683" s="16">
        <f t="shared" si="159"/>
        <v>21.226796784261243</v>
      </c>
      <c r="I683" s="11">
        <f t="shared" si="163"/>
        <v>0.27867471688386808</v>
      </c>
      <c r="J683" s="33">
        <f t="shared" si="164"/>
        <v>2.7055797755715344E-2</v>
      </c>
      <c r="K683" s="33">
        <f t="shared" si="165"/>
        <v>36.960654756105171</v>
      </c>
      <c r="L683" s="8">
        <v>1</v>
      </c>
      <c r="M683" s="9">
        <v>0</v>
      </c>
      <c r="N683" s="8">
        <v>0</v>
      </c>
      <c r="O683" s="9">
        <v>1</v>
      </c>
      <c r="P683" s="9">
        <v>0</v>
      </c>
      <c r="Q683" s="9">
        <v>0</v>
      </c>
      <c r="R683" s="9">
        <v>0</v>
      </c>
      <c r="S683" s="8">
        <v>1284</v>
      </c>
      <c r="T683" s="9">
        <v>23</v>
      </c>
      <c r="U683" s="9">
        <f t="shared" si="160"/>
        <v>1260</v>
      </c>
      <c r="V683" s="9">
        <f t="shared" si="161"/>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v>0</v>
      </c>
      <c r="BF683" s="18">
        <v>1</v>
      </c>
      <c r="BG683">
        <v>0</v>
      </c>
      <c r="BH683">
        <v>1</v>
      </c>
      <c r="BI683" s="18">
        <v>0</v>
      </c>
      <c r="BJ683">
        <v>819</v>
      </c>
      <c r="BK683">
        <v>42</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v>
      </c>
      <c r="F684" s="7">
        <v>4.28</v>
      </c>
      <c r="G684" s="7">
        <f t="shared" si="158"/>
        <v>3.5252013554405424</v>
      </c>
      <c r="H684" s="16">
        <f t="shared" si="159"/>
        <v>5.6747143770506288</v>
      </c>
      <c r="I684" s="11">
        <f t="shared" si="163"/>
        <v>9.4986458094127105E-2</v>
      </c>
      <c r="J684" s="33">
        <f t="shared" si="164"/>
        <v>2.2193097685543717E-2</v>
      </c>
      <c r="K684" s="33">
        <f t="shared" si="165"/>
        <v>45.059054583956815</v>
      </c>
      <c r="L684" s="8">
        <v>1</v>
      </c>
      <c r="M684" s="9">
        <v>0</v>
      </c>
      <c r="N684" s="8">
        <v>0</v>
      </c>
      <c r="O684" s="9">
        <v>1</v>
      </c>
      <c r="P684" s="9">
        <v>0</v>
      </c>
      <c r="Q684" s="9">
        <v>0</v>
      </c>
      <c r="R684" s="9">
        <v>0</v>
      </c>
      <c r="S684" s="8">
        <v>2036</v>
      </c>
      <c r="T684" s="9">
        <v>23</v>
      </c>
      <c r="U684" s="9">
        <f t="shared" si="160"/>
        <v>2012</v>
      </c>
      <c r="V684" s="9">
        <f t="shared" si="161"/>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v>0</v>
      </c>
      <c r="BF684" s="18">
        <v>1</v>
      </c>
      <c r="BG684">
        <v>0</v>
      </c>
      <c r="BH684">
        <v>1</v>
      </c>
      <c r="BI684" s="18">
        <v>0</v>
      </c>
      <c r="BJ684">
        <v>819</v>
      </c>
      <c r="BK684">
        <v>42</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3"/>
        <v>0.18089049879667868</v>
      </c>
      <c r="J685" s="33">
        <f t="shared" si="164"/>
        <v>2.1926121066264081E-2</v>
      </c>
      <c r="K685" s="33">
        <f t="shared" si="165"/>
        <v>45.607702200395934</v>
      </c>
      <c r="L685" s="8">
        <v>1</v>
      </c>
      <c r="M685" s="9">
        <v>0</v>
      </c>
      <c r="N685" s="8">
        <v>0</v>
      </c>
      <c r="O685" s="9">
        <v>1</v>
      </c>
      <c r="P685" s="9">
        <v>0</v>
      </c>
      <c r="Q685" s="9">
        <v>0</v>
      </c>
      <c r="R685" s="9">
        <v>0</v>
      </c>
      <c r="S685" s="8">
        <v>2036</v>
      </c>
      <c r="T685" s="9">
        <v>23</v>
      </c>
      <c r="U685" s="9">
        <f t="shared" si="160"/>
        <v>2012</v>
      </c>
      <c r="V685" s="9">
        <f t="shared" si="161"/>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v>0</v>
      </c>
      <c r="BF685" s="18">
        <v>1</v>
      </c>
      <c r="BG685">
        <v>0</v>
      </c>
      <c r="BH685">
        <v>1</v>
      </c>
      <c r="BI685" s="18">
        <v>0</v>
      </c>
      <c r="BJ685">
        <v>819</v>
      </c>
      <c r="BK685">
        <v>42</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25.358968148154968</v>
      </c>
      <c r="E686" s="14">
        <v>4.3274689672619404</v>
      </c>
      <c r="F686" s="7">
        <v>5.86</v>
      </c>
      <c r="G686" s="7">
        <f t="shared" si="158"/>
        <v>21.031499180893029</v>
      </c>
      <c r="H686" s="16">
        <f t="shared" si="159"/>
        <v>29.686437115416908</v>
      </c>
      <c r="I686" s="11">
        <f t="shared" si="163"/>
        <v>0.12954145231280972</v>
      </c>
      <c r="J686" s="33">
        <f t="shared" si="164"/>
        <v>2.2106049882732036E-2</v>
      </c>
      <c r="K686" s="33">
        <f t="shared" si="165"/>
        <v>45.236485274609919</v>
      </c>
      <c r="L686" s="8">
        <v>1</v>
      </c>
      <c r="M686" s="9">
        <v>0</v>
      </c>
      <c r="N686" s="8">
        <v>0</v>
      </c>
      <c r="O686" s="9">
        <v>1</v>
      </c>
      <c r="P686" s="9">
        <v>0</v>
      </c>
      <c r="Q686" s="9">
        <v>0</v>
      </c>
      <c r="R686" s="9">
        <v>0</v>
      </c>
      <c r="S686" s="8">
        <v>2036</v>
      </c>
      <c r="T686" s="9">
        <v>23</v>
      </c>
      <c r="U686" s="9">
        <f t="shared" si="160"/>
        <v>2012</v>
      </c>
      <c r="V686" s="9">
        <f t="shared" si="161"/>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v>0</v>
      </c>
      <c r="BF686" s="18">
        <v>1</v>
      </c>
      <c r="BG686">
        <v>0</v>
      </c>
      <c r="BH686">
        <v>1</v>
      </c>
      <c r="BI686" s="18">
        <v>0</v>
      </c>
      <c r="BJ686">
        <v>819</v>
      </c>
      <c r="BK686">
        <v>42</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2.2334674358654421</v>
      </c>
      <c r="F687" s="7">
        <v>2.2999999999999998</v>
      </c>
      <c r="G687" s="7">
        <f t="shared" si="158"/>
        <v>2.9035076666250732</v>
      </c>
      <c r="H687" s="16">
        <f t="shared" si="159"/>
        <v>7.3704425383559578</v>
      </c>
      <c r="I687" s="11">
        <f t="shared" si="163"/>
        <v>7.1724912951015601E-2</v>
      </c>
      <c r="J687" s="33">
        <f t="shared" si="164"/>
        <v>3.1184744761311136E-2</v>
      </c>
      <c r="K687" s="33">
        <f t="shared" si="165"/>
        <v>32.06696119060863</v>
      </c>
      <c r="L687" s="8">
        <v>1</v>
      </c>
      <c r="M687" s="9">
        <v>0</v>
      </c>
      <c r="N687" s="8">
        <v>0</v>
      </c>
      <c r="O687" s="9">
        <v>1</v>
      </c>
      <c r="P687" s="9">
        <v>0</v>
      </c>
      <c r="Q687" s="9">
        <v>0</v>
      </c>
      <c r="R687" s="9">
        <v>0</v>
      </c>
      <c r="S687" s="8">
        <v>1047</v>
      </c>
      <c r="T687" s="9">
        <v>23</v>
      </c>
      <c r="U687" s="9">
        <f t="shared" si="160"/>
        <v>1023</v>
      </c>
      <c r="V687" s="9">
        <f t="shared" si="161"/>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v>0</v>
      </c>
      <c r="BF687" s="18">
        <v>1</v>
      </c>
      <c r="BG687">
        <v>0</v>
      </c>
      <c r="BH687">
        <v>1</v>
      </c>
      <c r="BI687" s="18">
        <v>0</v>
      </c>
      <c r="BJ687">
        <v>819</v>
      </c>
      <c r="BK687">
        <v>42</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3"/>
        <v>9.6470278118144417E-2</v>
      </c>
      <c r="J688" s="33">
        <f t="shared" si="164"/>
        <v>3.1119444554240136E-2</v>
      </c>
      <c r="K688" s="33">
        <f t="shared" si="165"/>
        <v>32.134249641153907</v>
      </c>
      <c r="L688" s="8">
        <v>1</v>
      </c>
      <c r="M688" s="9">
        <v>0</v>
      </c>
      <c r="N688" s="8">
        <v>0</v>
      </c>
      <c r="O688" s="9">
        <v>1</v>
      </c>
      <c r="P688" s="9">
        <v>0</v>
      </c>
      <c r="Q688" s="9">
        <v>0</v>
      </c>
      <c r="R688" s="9">
        <v>0</v>
      </c>
      <c r="S688" s="8">
        <v>1047</v>
      </c>
      <c r="T688" s="9">
        <v>23</v>
      </c>
      <c r="U688" s="9">
        <f t="shared" si="160"/>
        <v>1023</v>
      </c>
      <c r="V688" s="9">
        <f t="shared" si="161"/>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v>0</v>
      </c>
      <c r="BF688" s="18">
        <v>1</v>
      </c>
      <c r="BG688">
        <v>0</v>
      </c>
      <c r="BH688">
        <v>1</v>
      </c>
      <c r="BI688" s="18">
        <v>0</v>
      </c>
      <c r="BJ688">
        <v>819</v>
      </c>
      <c r="BK688">
        <v>42</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3"/>
        <v>0.12989166183805778</v>
      </c>
      <c r="J689" s="33">
        <f t="shared" si="164"/>
        <v>3.1000396620061522E-2</v>
      </c>
      <c r="K689" s="33">
        <f t="shared" si="165"/>
        <v>32.257651805424402</v>
      </c>
      <c r="L689" s="8">
        <v>1</v>
      </c>
      <c r="M689" s="9">
        <v>0</v>
      </c>
      <c r="N689" s="8">
        <v>0</v>
      </c>
      <c r="O689" s="9">
        <v>1</v>
      </c>
      <c r="P689" s="9">
        <v>0</v>
      </c>
      <c r="Q689" s="9">
        <v>0</v>
      </c>
      <c r="R689" s="9">
        <v>0</v>
      </c>
      <c r="S689" s="8">
        <v>1047</v>
      </c>
      <c r="T689" s="9">
        <v>23</v>
      </c>
      <c r="U689" s="9">
        <f t="shared" si="160"/>
        <v>1023</v>
      </c>
      <c r="V689" s="9">
        <f t="shared" si="161"/>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v>0</v>
      </c>
      <c r="BF689" s="18">
        <v>1</v>
      </c>
      <c r="BG689">
        <v>0</v>
      </c>
      <c r="BH689">
        <v>1</v>
      </c>
      <c r="BI689" s="18">
        <v>0</v>
      </c>
      <c r="BJ689">
        <v>819</v>
      </c>
      <c r="BK689">
        <v>42</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3"/>
        <v>8.8288144975126492E-2</v>
      </c>
      <c r="J690" s="33">
        <f t="shared" si="164"/>
        <v>4.5044971926084955E-2</v>
      </c>
      <c r="K690" s="33">
        <f t="shared" si="165"/>
        <v>22.200036036006786</v>
      </c>
      <c r="L690" s="8">
        <v>1</v>
      </c>
      <c r="M690" s="9">
        <v>0</v>
      </c>
      <c r="N690" s="8">
        <v>0</v>
      </c>
      <c r="O690" s="9">
        <v>1</v>
      </c>
      <c r="P690" s="9">
        <v>0</v>
      </c>
      <c r="Q690" s="9">
        <v>0</v>
      </c>
      <c r="R690" s="9">
        <v>0</v>
      </c>
      <c r="S690" s="8">
        <v>513</v>
      </c>
      <c r="T690" s="9">
        <v>23</v>
      </c>
      <c r="U690" s="9">
        <f t="shared" si="160"/>
        <v>489</v>
      </c>
      <c r="V690" s="9">
        <f t="shared" si="161"/>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v>0</v>
      </c>
      <c r="BF690" s="18">
        <v>1</v>
      </c>
      <c r="BG690">
        <v>0</v>
      </c>
      <c r="BH690">
        <v>1</v>
      </c>
      <c r="BI690" s="18">
        <v>0</v>
      </c>
      <c r="BJ690">
        <v>819</v>
      </c>
      <c r="BK690">
        <v>42</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2.404679580429955</v>
      </c>
      <c r="F691" s="7">
        <v>3.73</v>
      </c>
      <c r="G691" s="7">
        <f t="shared" si="158"/>
        <v>6.5647752545737763</v>
      </c>
      <c r="H691" s="16">
        <f t="shared" si="159"/>
        <v>11.374134415433685</v>
      </c>
      <c r="I691" s="11">
        <f t="shared" si="163"/>
        <v>0.16632688114206176</v>
      </c>
      <c r="J691" s="33">
        <f t="shared" si="164"/>
        <v>4.4591657142643903E-2</v>
      </c>
      <c r="K691" s="33">
        <f t="shared" si="165"/>
        <v>22.425719609412763</v>
      </c>
      <c r="L691" s="8">
        <v>1</v>
      </c>
      <c r="M691" s="9">
        <v>0</v>
      </c>
      <c r="N691" s="8">
        <v>0</v>
      </c>
      <c r="O691" s="9">
        <v>1</v>
      </c>
      <c r="P691" s="9">
        <v>0</v>
      </c>
      <c r="Q691" s="9">
        <v>0</v>
      </c>
      <c r="R691" s="9">
        <v>0</v>
      </c>
      <c r="S691" s="8">
        <v>513</v>
      </c>
      <c r="T691" s="9">
        <v>23</v>
      </c>
      <c r="U691" s="9">
        <f t="shared" si="160"/>
        <v>489</v>
      </c>
      <c r="V691" s="9">
        <f t="shared" si="161"/>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v>0</v>
      </c>
      <c r="BF691" s="18">
        <v>1</v>
      </c>
      <c r="BG691">
        <v>0</v>
      </c>
      <c r="BH691">
        <v>1</v>
      </c>
      <c r="BI691" s="18">
        <v>0</v>
      </c>
      <c r="BJ691">
        <v>819</v>
      </c>
      <c r="BK691">
        <v>42</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3.5935781109997942</v>
      </c>
      <c r="F692" s="7">
        <v>6.21</v>
      </c>
      <c r="G692" s="7">
        <f t="shared" si="158"/>
        <v>18.722541958308927</v>
      </c>
      <c r="H692" s="16">
        <f t="shared" si="159"/>
        <v>25.909698180308514</v>
      </c>
      <c r="I692" s="11">
        <f t="shared" si="163"/>
        <v>0.27036718718833697</v>
      </c>
      <c r="J692" s="33">
        <f t="shared" si="164"/>
        <v>4.3537389241278097E-2</v>
      </c>
      <c r="K692" s="33">
        <f t="shared" si="165"/>
        <v>22.96876357142456</v>
      </c>
      <c r="L692" s="8">
        <v>1</v>
      </c>
      <c r="M692" s="9">
        <v>0</v>
      </c>
      <c r="N692" s="8">
        <v>0</v>
      </c>
      <c r="O692" s="9">
        <v>1</v>
      </c>
      <c r="P692" s="9">
        <v>0</v>
      </c>
      <c r="Q692" s="9">
        <v>0</v>
      </c>
      <c r="R692" s="9">
        <v>0</v>
      </c>
      <c r="S692" s="8">
        <v>513</v>
      </c>
      <c r="T692" s="9">
        <v>23</v>
      </c>
      <c r="U692" s="9">
        <f t="shared" si="160"/>
        <v>489</v>
      </c>
      <c r="V692" s="9">
        <f t="shared" si="161"/>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v>0</v>
      </c>
      <c r="BF692" s="18">
        <v>1</v>
      </c>
      <c r="BG692">
        <v>0</v>
      </c>
      <c r="BH692">
        <v>1</v>
      </c>
      <c r="BI692" s="18">
        <v>0</v>
      </c>
      <c r="BJ692">
        <v>819</v>
      </c>
      <c r="BK692">
        <v>42</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4.4905432052525276</v>
      </c>
      <c r="E693" s="14">
        <v>1.688174137312981</v>
      </c>
      <c r="F693" s="7">
        <v>2.66</v>
      </c>
      <c r="G693" s="7">
        <f t="shared" si="158"/>
        <v>2.8023690679395465</v>
      </c>
      <c r="H693" s="16">
        <f t="shared" si="159"/>
        <v>6.1787173425655091</v>
      </c>
      <c r="I693" s="11">
        <f t="shared" si="163"/>
        <v>0.10456928169386118</v>
      </c>
      <c r="J693" s="33">
        <f t="shared" si="164"/>
        <v>3.9311760035286157E-2</v>
      </c>
      <c r="K693" s="33">
        <f t="shared" si="165"/>
        <v>25.43768071188881</v>
      </c>
      <c r="L693" s="8">
        <v>1</v>
      </c>
      <c r="M693" s="9">
        <v>0</v>
      </c>
      <c r="N693" s="8">
        <v>0</v>
      </c>
      <c r="O693" s="9">
        <v>1</v>
      </c>
      <c r="P693" s="9">
        <v>0</v>
      </c>
      <c r="Q693" s="9">
        <v>0</v>
      </c>
      <c r="R693" s="9">
        <v>0</v>
      </c>
      <c r="S693" s="8">
        <v>664</v>
      </c>
      <c r="T693" s="9">
        <v>23</v>
      </c>
      <c r="U693" s="9">
        <f t="shared" si="160"/>
        <v>640</v>
      </c>
      <c r="V693" s="9">
        <f t="shared" si="161"/>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v>0</v>
      </c>
      <c r="BF693" s="18">
        <v>1</v>
      </c>
      <c r="BG693">
        <v>0</v>
      </c>
      <c r="BH693">
        <v>1</v>
      </c>
      <c r="BI693" s="18">
        <v>0</v>
      </c>
      <c r="BJ693">
        <v>819</v>
      </c>
      <c r="BK693">
        <v>42</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10.29743904822287</v>
      </c>
      <c r="E694" s="14">
        <v>1.652879461994039</v>
      </c>
      <c r="F694" s="7">
        <v>6.23</v>
      </c>
      <c r="G694" s="7">
        <f t="shared" si="158"/>
        <v>8.64455958622883</v>
      </c>
      <c r="H694" s="16">
        <f t="shared" si="159"/>
        <v>11.95031851021691</v>
      </c>
      <c r="I694" s="11">
        <f t="shared" si="163"/>
        <v>0.23911840391605699</v>
      </c>
      <c r="J694" s="33">
        <f t="shared" si="164"/>
        <v>3.8381766278660835E-2</v>
      </c>
      <c r="K694" s="33">
        <f t="shared" si="165"/>
        <v>26.054038074739967</v>
      </c>
      <c r="L694" s="8">
        <v>1</v>
      </c>
      <c r="M694" s="9">
        <v>0</v>
      </c>
      <c r="N694" s="8">
        <v>0</v>
      </c>
      <c r="O694" s="9">
        <v>1</v>
      </c>
      <c r="P694" s="9">
        <v>0</v>
      </c>
      <c r="Q694" s="9">
        <v>0</v>
      </c>
      <c r="R694" s="9">
        <v>0</v>
      </c>
      <c r="S694" s="8">
        <v>664</v>
      </c>
      <c r="T694" s="9">
        <v>23</v>
      </c>
      <c r="U694" s="9">
        <f t="shared" si="160"/>
        <v>640</v>
      </c>
      <c r="V694" s="9">
        <f t="shared" si="161"/>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v>0</v>
      </c>
      <c r="BF694" s="18">
        <v>1</v>
      </c>
      <c r="BG694">
        <v>0</v>
      </c>
      <c r="BH694">
        <v>1</v>
      </c>
      <c r="BI694" s="18">
        <v>0</v>
      </c>
      <c r="BJ694">
        <v>819</v>
      </c>
      <c r="BK694">
        <v>42</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34.809974988792533</v>
      </c>
      <c r="E695" s="14">
        <v>5.7920091495495054</v>
      </c>
      <c r="F695" s="7">
        <v>6.01</v>
      </c>
      <c r="G695" s="7">
        <f t="shared" si="158"/>
        <v>29.017965839243026</v>
      </c>
      <c r="H695" s="16">
        <f t="shared" si="159"/>
        <v>40.60198413834204</v>
      </c>
      <c r="I695" s="11">
        <f t="shared" si="163"/>
        <v>0.23113331517875543</v>
      </c>
      <c r="J695" s="33">
        <f t="shared" si="164"/>
        <v>3.8458122325916042E-2</v>
      </c>
      <c r="K695" s="33">
        <f t="shared" si="165"/>
        <v>26.002309512810591</v>
      </c>
      <c r="L695" s="8">
        <v>1</v>
      </c>
      <c r="M695" s="9">
        <v>0</v>
      </c>
      <c r="N695" s="8">
        <v>0</v>
      </c>
      <c r="O695" s="9">
        <v>1</v>
      </c>
      <c r="P695" s="9">
        <v>0</v>
      </c>
      <c r="Q695" s="9">
        <v>0</v>
      </c>
      <c r="R695" s="9">
        <v>0</v>
      </c>
      <c r="S695" s="8">
        <v>664</v>
      </c>
      <c r="T695" s="9">
        <v>23</v>
      </c>
      <c r="U695" s="9">
        <f t="shared" si="160"/>
        <v>640</v>
      </c>
      <c r="V695" s="9">
        <f t="shared" si="161"/>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v>0</v>
      </c>
      <c r="BF695" s="18">
        <v>1</v>
      </c>
      <c r="BG695">
        <v>0</v>
      </c>
      <c r="BH695">
        <v>1</v>
      </c>
      <c r="BI695" s="18">
        <v>0</v>
      </c>
      <c r="BJ695">
        <v>819</v>
      </c>
      <c r="BK695">
        <v>42</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7.6928921298799144</v>
      </c>
      <c r="E696" s="14">
        <v>1.709531584417759</v>
      </c>
      <c r="F696" s="7">
        <v>4.5</v>
      </c>
      <c r="G696" s="7">
        <f t="shared" si="158"/>
        <v>5.9833605454621557</v>
      </c>
      <c r="H696" s="16">
        <f t="shared" si="159"/>
        <v>9.4024237142976741</v>
      </c>
      <c r="I696" s="11">
        <f t="shared" si="163"/>
        <v>0.15245480549590701</v>
      </c>
      <c r="J696" s="33">
        <f t="shared" si="164"/>
        <v>3.3878845665757114E-2</v>
      </c>
      <c r="K696" s="33">
        <f t="shared" si="165"/>
        <v>29.51694428629088</v>
      </c>
      <c r="L696" s="8">
        <v>1</v>
      </c>
      <c r="M696" s="9">
        <v>0</v>
      </c>
      <c r="N696" s="8">
        <v>0</v>
      </c>
      <c r="O696" s="9">
        <v>1</v>
      </c>
      <c r="P696" s="9">
        <v>0</v>
      </c>
      <c r="Q696" s="9">
        <v>0</v>
      </c>
      <c r="R696" s="9">
        <v>0</v>
      </c>
      <c r="S696" s="8">
        <v>875</v>
      </c>
      <c r="T696" s="9">
        <v>23</v>
      </c>
      <c r="U696" s="9">
        <f t="shared" si="160"/>
        <v>851</v>
      </c>
      <c r="V696" s="9">
        <f t="shared" si="161"/>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v>0</v>
      </c>
      <c r="BF696" s="18">
        <v>1</v>
      </c>
      <c r="BG696">
        <v>0</v>
      </c>
      <c r="BH696">
        <v>1</v>
      </c>
      <c r="BI696" s="18">
        <v>0</v>
      </c>
      <c r="BJ696">
        <v>819</v>
      </c>
      <c r="BK696">
        <v>42</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3.5558076341622109</v>
      </c>
      <c r="E697" s="14">
        <v>0.78321754056436377</v>
      </c>
      <c r="F697" s="7">
        <v>4.54</v>
      </c>
      <c r="G697" s="7">
        <f t="shared" si="158"/>
        <v>2.7725900935978469</v>
      </c>
      <c r="H697" s="16">
        <f t="shared" si="159"/>
        <v>4.3390251747265749</v>
      </c>
      <c r="I697" s="11">
        <f t="shared" si="163"/>
        <v>0.15377805092955182</v>
      </c>
      <c r="J697" s="33">
        <f t="shared" si="164"/>
        <v>3.3871817385363844E-2</v>
      </c>
      <c r="K697" s="33">
        <f t="shared" si="165"/>
        <v>29.523068946164791</v>
      </c>
      <c r="L697" s="8">
        <v>1</v>
      </c>
      <c r="M697" s="9">
        <v>0</v>
      </c>
      <c r="N697" s="8">
        <v>0</v>
      </c>
      <c r="O697" s="9">
        <v>1</v>
      </c>
      <c r="P697" s="9">
        <v>0</v>
      </c>
      <c r="Q697" s="9">
        <v>0</v>
      </c>
      <c r="R697" s="9">
        <v>0</v>
      </c>
      <c r="S697" s="8">
        <v>875</v>
      </c>
      <c r="T697" s="9">
        <v>23</v>
      </c>
      <c r="U697" s="9">
        <f t="shared" si="160"/>
        <v>851</v>
      </c>
      <c r="V697" s="9">
        <f t="shared" si="161"/>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v>0</v>
      </c>
      <c r="BF697" s="18">
        <v>1</v>
      </c>
      <c r="BG697">
        <v>0</v>
      </c>
      <c r="BH697">
        <v>1</v>
      </c>
      <c r="BI697" s="18">
        <v>0</v>
      </c>
      <c r="BJ697">
        <v>819</v>
      </c>
      <c r="BK697">
        <v>42</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2" customFormat="1" x14ac:dyDescent="0.25">
      <c r="A698" s="142">
        <v>697</v>
      </c>
      <c r="B698" s="142">
        <v>43</v>
      </c>
      <c r="C698" s="143" t="s">
        <v>454</v>
      </c>
      <c r="D698" s="144">
        <v>30.647655617245871</v>
      </c>
      <c r="E698" s="145">
        <v>4.8112489195048456</v>
      </c>
      <c r="F698" s="146">
        <v>6.37</v>
      </c>
      <c r="G698" s="146">
        <f t="shared" si="158"/>
        <v>25.836406697741026</v>
      </c>
      <c r="H698" s="147">
        <f t="shared" si="159"/>
        <v>35.458904536750715</v>
      </c>
      <c r="I698" s="11">
        <f t="shared" si="163"/>
        <v>0.21333397643449015</v>
      </c>
      <c r="J698" s="33">
        <f t="shared" si="164"/>
        <v>3.3490420162400336E-2</v>
      </c>
      <c r="K698" s="33">
        <f t="shared" si="165"/>
        <v>29.859284988090387</v>
      </c>
      <c r="L698" s="149">
        <v>1</v>
      </c>
      <c r="M698" s="150">
        <v>0</v>
      </c>
      <c r="N698" s="149">
        <v>0</v>
      </c>
      <c r="O698" s="150">
        <v>1</v>
      </c>
      <c r="P698" s="150">
        <v>0</v>
      </c>
      <c r="Q698" s="150">
        <v>0</v>
      </c>
      <c r="R698" s="150">
        <v>0</v>
      </c>
      <c r="S698" s="149">
        <v>875</v>
      </c>
      <c r="T698" s="150">
        <v>23</v>
      </c>
      <c r="U698" s="150">
        <f t="shared" si="160"/>
        <v>851</v>
      </c>
      <c r="V698" s="150">
        <f t="shared" si="161"/>
        <v>18</v>
      </c>
      <c r="W698" s="146">
        <f t="shared" si="167"/>
        <v>3.1</v>
      </c>
      <c r="X698" s="146">
        <f t="shared" si="166"/>
        <v>23.9</v>
      </c>
      <c r="Y698" s="150">
        <v>0</v>
      </c>
      <c r="Z698" s="150">
        <v>1</v>
      </c>
      <c r="AA698" s="150">
        <v>0</v>
      </c>
      <c r="AB698" s="150">
        <v>0</v>
      </c>
      <c r="AC698" s="150">
        <v>0</v>
      </c>
      <c r="AD698" s="150">
        <v>1</v>
      </c>
      <c r="AE698" s="149">
        <v>0</v>
      </c>
      <c r="AF698" s="150">
        <v>0</v>
      </c>
      <c r="AG698" s="151">
        <v>1</v>
      </c>
      <c r="AH698" s="150">
        <v>1</v>
      </c>
      <c r="AI698" s="151">
        <v>0</v>
      </c>
      <c r="AJ698" s="152">
        <v>1994</v>
      </c>
      <c r="AK698" s="148">
        <v>0.62</v>
      </c>
      <c r="AL698" s="148">
        <v>0.27</v>
      </c>
      <c r="AM698" s="148">
        <v>0.11</v>
      </c>
      <c r="AN698" s="153">
        <v>0</v>
      </c>
      <c r="AO698" s="154" t="s">
        <v>98</v>
      </c>
      <c r="AP698" s="155" t="s">
        <v>98</v>
      </c>
      <c r="AQ698" s="142">
        <v>0</v>
      </c>
      <c r="AR698" s="156">
        <v>1</v>
      </c>
      <c r="AS698" s="169">
        <f t="shared" si="168"/>
        <v>0.35160068847000003</v>
      </c>
      <c r="AT698" s="156">
        <v>0.64839931152999997</v>
      </c>
      <c r="AU698">
        <v>0</v>
      </c>
      <c r="AV698" s="155">
        <v>1</v>
      </c>
      <c r="AW698" s="142">
        <v>0.5</v>
      </c>
      <c r="AX698" s="155">
        <v>0.5</v>
      </c>
      <c r="AY698" s="155" t="s">
        <v>455</v>
      </c>
      <c r="AZ698">
        <v>0</v>
      </c>
      <c r="BA698">
        <v>0</v>
      </c>
      <c r="BB698">
        <v>0</v>
      </c>
      <c r="BC698">
        <v>0</v>
      </c>
      <c r="BD698">
        <v>0</v>
      </c>
      <c r="BE698">
        <v>0</v>
      </c>
      <c r="BF698" s="155">
        <v>1</v>
      </c>
      <c r="BG698">
        <v>0</v>
      </c>
      <c r="BH698">
        <v>1</v>
      </c>
      <c r="BI698" s="155">
        <v>0</v>
      </c>
      <c r="BJ698">
        <v>819</v>
      </c>
      <c r="BK698">
        <v>42</v>
      </c>
      <c r="BL698" s="143">
        <v>33</v>
      </c>
      <c r="BM698" s="142">
        <v>1</v>
      </c>
      <c r="BN698" s="142">
        <v>0</v>
      </c>
      <c r="BO698" s="142">
        <v>0</v>
      </c>
      <c r="BP698" s="142">
        <v>0</v>
      </c>
      <c r="BQ698" s="142">
        <v>0</v>
      </c>
      <c r="BR698" s="142">
        <v>0</v>
      </c>
      <c r="BS698" s="142">
        <v>0</v>
      </c>
      <c r="BT698" s="155">
        <v>0</v>
      </c>
      <c r="BU698" s="142">
        <v>0</v>
      </c>
      <c r="BV698" s="142">
        <v>0</v>
      </c>
      <c r="BW698" s="142">
        <v>1</v>
      </c>
      <c r="BX698" s="155">
        <v>0</v>
      </c>
      <c r="BY698" s="142">
        <v>0</v>
      </c>
      <c r="BZ698" s="142">
        <v>0</v>
      </c>
      <c r="CA698" s="142">
        <v>0</v>
      </c>
      <c r="CB698" s="142">
        <v>0</v>
      </c>
      <c r="CC698" s="155">
        <v>0</v>
      </c>
      <c r="CD698" s="142">
        <v>1</v>
      </c>
      <c r="CE698" s="142">
        <v>1</v>
      </c>
      <c r="CF698" s="142">
        <v>0</v>
      </c>
      <c r="CG698" s="142">
        <v>0</v>
      </c>
      <c r="CH698" s="142">
        <v>0</v>
      </c>
      <c r="CI698" s="142">
        <v>0</v>
      </c>
      <c r="CJ698" s="142">
        <v>0</v>
      </c>
      <c r="CK698" s="142">
        <v>0</v>
      </c>
      <c r="CL698" s="142">
        <v>0</v>
      </c>
      <c r="CM698" s="142">
        <v>0</v>
      </c>
      <c r="CN698" s="155">
        <v>1</v>
      </c>
      <c r="CO698">
        <v>0</v>
      </c>
      <c r="CP698">
        <v>17</v>
      </c>
      <c r="CQ698">
        <v>0</v>
      </c>
      <c r="CR698">
        <v>1</v>
      </c>
      <c r="CS698">
        <v>7</v>
      </c>
      <c r="CT698" s="157"/>
      <c r="CY698" s="157"/>
    </row>
    <row r="699" spans="1:103" x14ac:dyDescent="0.25">
      <c r="A699">
        <v>698</v>
      </c>
      <c r="B699">
        <v>44</v>
      </c>
      <c r="C699" s="25" t="s">
        <v>464</v>
      </c>
      <c r="D699" s="12">
        <v>7.9</v>
      </c>
      <c r="E699" s="14">
        <v>0.63200000000000001</v>
      </c>
      <c r="F699" s="7">
        <v>12.5</v>
      </c>
      <c r="G699" s="7">
        <f t="shared" si="158"/>
        <v>7.2680000000000007</v>
      </c>
      <c r="H699" s="16">
        <f t="shared" si="159"/>
        <v>8.532</v>
      </c>
      <c r="I699" s="11">
        <f t="shared" si="163"/>
        <v>5.0824237087487905E-3</v>
      </c>
      <c r="J699" s="33">
        <f t="shared" si="164"/>
        <v>4.0659389669990326E-4</v>
      </c>
      <c r="K699" s="33">
        <f t="shared" si="165"/>
        <v>2459.4564948378329</v>
      </c>
      <c r="L699" s="8">
        <v>0</v>
      </c>
      <c r="M699" s="9">
        <v>1</v>
      </c>
      <c r="N699" s="8">
        <v>0</v>
      </c>
      <c r="O699" s="9">
        <v>0</v>
      </c>
      <c r="P699" s="9">
        <v>0</v>
      </c>
      <c r="Q699" s="9">
        <v>1</v>
      </c>
      <c r="R699" s="9">
        <v>0</v>
      </c>
      <c r="S699" s="8">
        <v>6048776</v>
      </c>
      <c r="T699" s="9">
        <v>5</v>
      </c>
      <c r="U699" s="9">
        <f t="shared" si="160"/>
        <v>6048770</v>
      </c>
      <c r="V699" s="9">
        <f t="shared" si="161"/>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v>0</v>
      </c>
      <c r="BF699" s="18">
        <v>0</v>
      </c>
      <c r="BG699">
        <v>1</v>
      </c>
      <c r="BH699">
        <v>0</v>
      </c>
      <c r="BI699" s="18">
        <v>0</v>
      </c>
      <c r="BJ699">
        <v>18095</v>
      </c>
      <c r="BK699">
        <v>27</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3"/>
        <v>4.5403103559286647E-3</v>
      </c>
      <c r="J700" s="33">
        <f t="shared" si="164"/>
        <v>4.0659495724734295E-4</v>
      </c>
      <c r="K700" s="33">
        <f t="shared" si="165"/>
        <v>2459.4500796813186</v>
      </c>
      <c r="L700" s="8">
        <v>0</v>
      </c>
      <c r="M700" s="9">
        <v>1</v>
      </c>
      <c r="N700" s="8">
        <v>0</v>
      </c>
      <c r="O700" s="9">
        <v>0</v>
      </c>
      <c r="P700" s="9">
        <v>0</v>
      </c>
      <c r="Q700" s="9">
        <v>1</v>
      </c>
      <c r="R700" s="9">
        <v>0</v>
      </c>
      <c r="S700" s="8">
        <v>6048776</v>
      </c>
      <c r="T700" s="9">
        <v>5</v>
      </c>
      <c r="U700" s="9">
        <f t="shared" si="160"/>
        <v>6048770</v>
      </c>
      <c r="V700" s="9">
        <f t="shared" si="161"/>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v>0</v>
      </c>
      <c r="BF700" s="18">
        <v>0</v>
      </c>
      <c r="BG700">
        <v>1</v>
      </c>
      <c r="BH700">
        <v>0</v>
      </c>
      <c r="BI700" s="18">
        <v>0</v>
      </c>
      <c r="BJ700">
        <v>18095</v>
      </c>
      <c r="BK700">
        <v>27</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3"/>
        <v>6.3886858768177415E-3</v>
      </c>
      <c r="J701" s="33">
        <f t="shared" si="164"/>
        <v>3.3906433424451708E-4</v>
      </c>
      <c r="K701" s="33">
        <f t="shared" si="165"/>
        <v>2949.2928008135691</v>
      </c>
      <c r="L701" s="8">
        <v>0</v>
      </c>
      <c r="M701" s="9">
        <v>1</v>
      </c>
      <c r="N701" s="8">
        <v>0</v>
      </c>
      <c r="O701" s="9">
        <v>0</v>
      </c>
      <c r="P701" s="9">
        <v>0</v>
      </c>
      <c r="Q701" s="9">
        <v>1</v>
      </c>
      <c r="R701" s="9">
        <v>0</v>
      </c>
      <c r="S701" s="8">
        <v>8697979</v>
      </c>
      <c r="T701" s="9">
        <v>5</v>
      </c>
      <c r="U701" s="9">
        <f t="shared" si="160"/>
        <v>8697973</v>
      </c>
      <c r="V701" s="9">
        <f t="shared" si="161"/>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v>0</v>
      </c>
      <c r="BF701" s="18">
        <v>0</v>
      </c>
      <c r="BG701">
        <v>1</v>
      </c>
      <c r="BH701">
        <v>0</v>
      </c>
      <c r="BI701" s="18">
        <v>0</v>
      </c>
      <c r="BJ701">
        <v>18095</v>
      </c>
      <c r="BK701">
        <v>27</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8"/>
        <v>6.9444444444444446</v>
      </c>
      <c r="H702" s="16">
        <f t="shared" si="159"/>
        <v>8.0555555555555554</v>
      </c>
      <c r="I702" s="11">
        <f t="shared" si="163"/>
        <v>4.5774139731244411E-3</v>
      </c>
      <c r="J702" s="33">
        <f t="shared" si="164"/>
        <v>3.3906770171292152E-4</v>
      </c>
      <c r="K702" s="33">
        <f t="shared" si="165"/>
        <v>2949.2635097596826</v>
      </c>
      <c r="L702" s="8">
        <v>0</v>
      </c>
      <c r="M702" s="9">
        <v>1</v>
      </c>
      <c r="N702" s="8">
        <v>0</v>
      </c>
      <c r="O702" s="9">
        <v>0</v>
      </c>
      <c r="P702" s="9">
        <v>0</v>
      </c>
      <c r="Q702" s="9">
        <v>1</v>
      </c>
      <c r="R702" s="9">
        <v>0</v>
      </c>
      <c r="S702" s="8">
        <v>8697979</v>
      </c>
      <c r="T702" s="9">
        <v>5</v>
      </c>
      <c r="U702" s="9">
        <f t="shared" si="160"/>
        <v>8697973</v>
      </c>
      <c r="V702" s="9">
        <f t="shared" si="161"/>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v>0</v>
      </c>
      <c r="BF702" s="18">
        <v>0</v>
      </c>
      <c r="BG702">
        <v>1</v>
      </c>
      <c r="BH702">
        <v>0</v>
      </c>
      <c r="BI702" s="18">
        <v>0</v>
      </c>
      <c r="BJ702">
        <v>18095</v>
      </c>
      <c r="BK702">
        <v>27</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3"/>
        <v>2.4924546754224301E-3</v>
      </c>
      <c r="J703" s="33">
        <f t="shared" si="164"/>
        <v>2.6040571235756731E-4</v>
      </c>
      <c r="K703" s="33">
        <f t="shared" si="165"/>
        <v>3840.1615346551375</v>
      </c>
      <c r="L703" s="8">
        <v>0</v>
      </c>
      <c r="M703" s="9">
        <v>1</v>
      </c>
      <c r="N703" s="8">
        <v>0</v>
      </c>
      <c r="O703" s="9">
        <v>0</v>
      </c>
      <c r="P703" s="9">
        <v>0</v>
      </c>
      <c r="Q703" s="9">
        <v>1</v>
      </c>
      <c r="R703" s="9">
        <v>0</v>
      </c>
      <c r="S703" s="8">
        <v>14746755</v>
      </c>
      <c r="T703" s="9">
        <v>5</v>
      </c>
      <c r="U703" s="9">
        <f t="shared" si="160"/>
        <v>14746749</v>
      </c>
      <c r="V703" s="9">
        <f t="shared" si="161"/>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v>0</v>
      </c>
      <c r="BF703" s="18">
        <v>0</v>
      </c>
      <c r="BG703">
        <v>1</v>
      </c>
      <c r="BH703">
        <v>0</v>
      </c>
      <c r="BI703" s="18">
        <v>0</v>
      </c>
      <c r="BJ703">
        <v>18095</v>
      </c>
      <c r="BK703">
        <v>27</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2" customFormat="1" x14ac:dyDescent="0.25">
      <c r="A704" s="142">
        <v>703</v>
      </c>
      <c r="B704" s="142">
        <v>44</v>
      </c>
      <c r="C704" s="143" t="s">
        <v>464</v>
      </c>
      <c r="D704" s="144">
        <v>6.7</v>
      </c>
      <c r="E704" s="145">
        <v>0.75645161290322582</v>
      </c>
      <c r="F704" s="146">
        <v>8.8571428571428577</v>
      </c>
      <c r="G704" s="146">
        <f t="shared" si="158"/>
        <v>5.943548387096774</v>
      </c>
      <c r="H704" s="147">
        <f t="shared" si="159"/>
        <v>7.4564516129032263</v>
      </c>
      <c r="I704" s="11">
        <f t="shared" si="163"/>
        <v>2.3064516245550216E-3</v>
      </c>
      <c r="J704" s="33">
        <f t="shared" si="164"/>
        <v>2.6040582857879277E-4</v>
      </c>
      <c r="K704" s="33">
        <f t="shared" si="165"/>
        <v>3840.159820760015</v>
      </c>
      <c r="L704" s="149">
        <v>0</v>
      </c>
      <c r="M704" s="150">
        <v>1</v>
      </c>
      <c r="N704" s="149">
        <v>0</v>
      </c>
      <c r="O704" s="150">
        <v>0</v>
      </c>
      <c r="P704" s="150">
        <v>0</v>
      </c>
      <c r="Q704" s="150">
        <v>1</v>
      </c>
      <c r="R704" s="150">
        <v>0</v>
      </c>
      <c r="S704" s="149">
        <v>14746755</v>
      </c>
      <c r="T704" s="150">
        <v>5</v>
      </c>
      <c r="U704" s="150">
        <f t="shared" si="160"/>
        <v>14746749</v>
      </c>
      <c r="V704" s="150">
        <f t="shared" si="161"/>
        <v>6</v>
      </c>
      <c r="W704" s="146">
        <v>12.27</v>
      </c>
      <c r="X704" s="146">
        <v>20.5</v>
      </c>
      <c r="Y704" s="150">
        <v>1</v>
      </c>
      <c r="Z704" s="150">
        <v>0</v>
      </c>
      <c r="AA704" s="150">
        <v>0</v>
      </c>
      <c r="AB704" s="150">
        <v>0</v>
      </c>
      <c r="AC704" s="150">
        <v>0</v>
      </c>
      <c r="AD704" s="150">
        <v>1</v>
      </c>
      <c r="AE704" s="149">
        <v>0</v>
      </c>
      <c r="AF704" s="150">
        <v>0</v>
      </c>
      <c r="AG704" s="151">
        <v>1</v>
      </c>
      <c r="AH704" s="150">
        <v>0</v>
      </c>
      <c r="AI704" s="151">
        <v>1</v>
      </c>
      <c r="AJ704" s="152">
        <v>1991</v>
      </c>
      <c r="AK704" s="148" t="s">
        <v>98</v>
      </c>
      <c r="AL704" s="148" t="s">
        <v>98</v>
      </c>
      <c r="AM704" s="148" t="s">
        <v>98</v>
      </c>
      <c r="AN704" s="153" t="s">
        <v>98</v>
      </c>
      <c r="AO704" s="154">
        <v>1</v>
      </c>
      <c r="AP704" s="155">
        <v>0</v>
      </c>
      <c r="AQ704" s="142">
        <v>1</v>
      </c>
      <c r="AR704" s="156">
        <v>0</v>
      </c>
      <c r="AS704" s="142" t="s">
        <v>98</v>
      </c>
      <c r="AT704" s="156" t="s">
        <v>98</v>
      </c>
      <c r="AU704">
        <v>1</v>
      </c>
      <c r="AV704" s="155">
        <v>0</v>
      </c>
      <c r="AW704" s="142" t="s">
        <v>98</v>
      </c>
      <c r="AX704" s="155" t="s">
        <v>98</v>
      </c>
      <c r="AY704" s="155" t="s">
        <v>465</v>
      </c>
      <c r="AZ704">
        <v>1</v>
      </c>
      <c r="BA704">
        <v>0</v>
      </c>
      <c r="BB704">
        <v>0</v>
      </c>
      <c r="BC704">
        <v>0</v>
      </c>
      <c r="BD704">
        <v>0</v>
      </c>
      <c r="BE704">
        <v>0</v>
      </c>
      <c r="BF704" s="155">
        <v>0</v>
      </c>
      <c r="BG704">
        <v>1</v>
      </c>
      <c r="BH704">
        <v>0</v>
      </c>
      <c r="BI704" s="155">
        <v>0</v>
      </c>
      <c r="BJ704">
        <v>18095</v>
      </c>
      <c r="BK704">
        <v>27</v>
      </c>
      <c r="BL704" s="143">
        <v>40.5</v>
      </c>
      <c r="BM704" s="142">
        <v>0</v>
      </c>
      <c r="BN704" s="142">
        <v>0</v>
      </c>
      <c r="BO704" s="142">
        <v>0</v>
      </c>
      <c r="BP704" s="142">
        <v>0</v>
      </c>
      <c r="BQ704" s="142">
        <v>0</v>
      </c>
      <c r="BR704" s="142">
        <v>0</v>
      </c>
      <c r="BS704" s="142">
        <v>0</v>
      </c>
      <c r="BT704" s="155">
        <v>1</v>
      </c>
      <c r="BU704" s="142">
        <v>1</v>
      </c>
      <c r="BV704" s="142">
        <v>0</v>
      </c>
      <c r="BW704" s="142">
        <v>0</v>
      </c>
      <c r="BX704" s="155">
        <v>0</v>
      </c>
      <c r="BY704" s="142">
        <v>0</v>
      </c>
      <c r="BZ704" s="142">
        <v>0</v>
      </c>
      <c r="CA704" s="142">
        <v>0</v>
      </c>
      <c r="CB704" s="142">
        <v>0</v>
      </c>
      <c r="CC704" s="155">
        <v>1</v>
      </c>
      <c r="CD704" s="142">
        <v>0</v>
      </c>
      <c r="CE704" s="142">
        <v>0</v>
      </c>
      <c r="CF704" s="142">
        <v>0</v>
      </c>
      <c r="CG704" s="142">
        <v>0</v>
      </c>
      <c r="CH704" s="142">
        <v>0</v>
      </c>
      <c r="CI704" s="142">
        <v>0</v>
      </c>
      <c r="CJ704" s="142">
        <v>0</v>
      </c>
      <c r="CK704" s="142">
        <v>0</v>
      </c>
      <c r="CL704" s="142">
        <v>0</v>
      </c>
      <c r="CM704" s="142">
        <v>0</v>
      </c>
      <c r="CN704" s="155">
        <v>1</v>
      </c>
      <c r="CO704">
        <v>3.0070000000000001</v>
      </c>
      <c r="CP704">
        <v>32</v>
      </c>
      <c r="CQ704">
        <v>1</v>
      </c>
      <c r="CR704">
        <v>0</v>
      </c>
      <c r="CS704">
        <v>26</v>
      </c>
      <c r="CT704" s="157"/>
      <c r="CY704" s="157"/>
    </row>
    <row r="705" spans="1:103" x14ac:dyDescent="0.25">
      <c r="A705">
        <v>704</v>
      </c>
      <c r="B705">
        <v>45</v>
      </c>
      <c r="C705" s="25" t="s">
        <v>470</v>
      </c>
      <c r="D705" s="12">
        <v>6.4</v>
      </c>
      <c r="E705" s="14">
        <v>0.1</v>
      </c>
      <c r="F705" s="7">
        <v>9.8571428571428594</v>
      </c>
      <c r="G705" s="7">
        <f t="shared" si="158"/>
        <v>6.3000000000000007</v>
      </c>
      <c r="H705" s="16">
        <f t="shared" si="159"/>
        <v>6.5</v>
      </c>
      <c r="I705" s="11">
        <f t="shared" si="163"/>
        <v>9.0603625683672084E-2</v>
      </c>
      <c r="J705" s="33">
        <f t="shared" si="164"/>
        <v>9.1916721708073107E-3</v>
      </c>
      <c r="K705" s="33">
        <f t="shared" si="165"/>
        <v>108.79413249484608</v>
      </c>
      <c r="L705" s="8">
        <v>0</v>
      </c>
      <c r="M705" s="9">
        <v>1</v>
      </c>
      <c r="N705" s="8">
        <v>0</v>
      </c>
      <c r="O705" s="9">
        <v>0</v>
      </c>
      <c r="P705" s="9">
        <v>1</v>
      </c>
      <c r="Q705" s="9">
        <v>0</v>
      </c>
      <c r="R705" s="9">
        <v>0</v>
      </c>
      <c r="S705" s="8">
        <v>11742</v>
      </c>
      <c r="T705" s="9">
        <v>2</v>
      </c>
      <c r="U705" s="9">
        <f t="shared" si="160"/>
        <v>11739</v>
      </c>
      <c r="V705" s="9">
        <f t="shared" si="161"/>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v>0</v>
      </c>
      <c r="BF705" s="18">
        <v>0</v>
      </c>
      <c r="BG705">
        <v>0</v>
      </c>
      <c r="BH705">
        <v>1</v>
      </c>
      <c r="BI705" s="18">
        <v>0</v>
      </c>
      <c r="BJ705">
        <v>5087</v>
      </c>
      <c r="BK705">
        <v>9052</v>
      </c>
      <c r="BL705" s="93">
        <f t="shared" ref="BL705:BL734" si="172">W705+X705+6</f>
        <v>32.11</v>
      </c>
      <c r="BM705">
        <v>1</v>
      </c>
      <c r="BN705">
        <v>0</v>
      </c>
      <c r="BO705">
        <v>0</v>
      </c>
      <c r="BP705">
        <v>0</v>
      </c>
      <c r="BQ705">
        <v>0</v>
      </c>
      <c r="BR705">
        <v>0</v>
      </c>
      <c r="BS705">
        <v>0</v>
      </c>
      <c r="BT705" s="18">
        <v>0</v>
      </c>
      <c r="BU705">
        <v>0</v>
      </c>
      <c r="BV705">
        <v>0</v>
      </c>
      <c r="BW705">
        <v>1</v>
      </c>
      <c r="BX705" s="18">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si="163"/>
        <v>5.2448816408867345E-2</v>
      </c>
      <c r="J706" s="33">
        <f t="shared" si="164"/>
        <v>4.8308120376588147E-3</v>
      </c>
      <c r="K706" s="33">
        <f t="shared" si="165"/>
        <v>207.0045350977133</v>
      </c>
      <c r="L706" s="8">
        <v>0</v>
      </c>
      <c r="M706" s="9">
        <v>1</v>
      </c>
      <c r="N706" s="8">
        <v>0</v>
      </c>
      <c r="O706" s="9">
        <v>0</v>
      </c>
      <c r="P706" s="9">
        <v>1</v>
      </c>
      <c r="Q706" s="9">
        <v>0</v>
      </c>
      <c r="R706" s="9">
        <v>0</v>
      </c>
      <c r="S706" s="8">
        <v>42737</v>
      </c>
      <c r="T706" s="9">
        <v>3</v>
      </c>
      <c r="U706" s="9">
        <f t="shared" ref="U706:U769" si="175">S706-T706-1</f>
        <v>42733</v>
      </c>
      <c r="V706" s="9">
        <f t="shared" ref="V706:V769" si="176">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v>0</v>
      </c>
      <c r="BF706" s="18">
        <v>0</v>
      </c>
      <c r="BG706">
        <v>0</v>
      </c>
      <c r="BH706">
        <v>1</v>
      </c>
      <c r="BI706" s="18">
        <v>0</v>
      </c>
      <c r="BJ706">
        <v>5087</v>
      </c>
      <c r="BK706">
        <v>9052</v>
      </c>
      <c r="BL706" s="93">
        <f t="shared" si="172"/>
        <v>32.11</v>
      </c>
      <c r="BM706">
        <v>1</v>
      </c>
      <c r="BN706">
        <v>0</v>
      </c>
      <c r="BO706">
        <v>0</v>
      </c>
      <c r="BP706">
        <v>0</v>
      </c>
      <c r="BQ706">
        <v>0</v>
      </c>
      <c r="BR706">
        <v>0</v>
      </c>
      <c r="BS706">
        <v>0</v>
      </c>
      <c r="BT706" s="18">
        <v>0</v>
      </c>
      <c r="BU706">
        <v>0</v>
      </c>
      <c r="BV706">
        <v>0</v>
      </c>
      <c r="BW706">
        <v>1</v>
      </c>
      <c r="BX706" s="18">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3"/>
        <v>6.3000000000000007</v>
      </c>
      <c r="H707" s="16">
        <f t="shared" si="174"/>
        <v>6.5</v>
      </c>
      <c r="I707" s="11">
        <f t="shared" si="163"/>
        <v>6.9709808167266851E-2</v>
      </c>
      <c r="J707" s="33">
        <f t="shared" si="164"/>
        <v>5.8791404478417617E-3</v>
      </c>
      <c r="K707" s="33">
        <f t="shared" si="165"/>
        <v>170.09289178779545</v>
      </c>
      <c r="L707" s="8">
        <v>0</v>
      </c>
      <c r="M707" s="9">
        <v>1</v>
      </c>
      <c r="N707" s="8">
        <v>0</v>
      </c>
      <c r="O707" s="9">
        <v>0</v>
      </c>
      <c r="P707" s="9">
        <v>1</v>
      </c>
      <c r="Q707" s="9">
        <v>0</v>
      </c>
      <c r="R707" s="9">
        <v>0</v>
      </c>
      <c r="S707" s="8">
        <v>28796</v>
      </c>
      <c r="T707" s="9">
        <v>4</v>
      </c>
      <c r="U707" s="9">
        <f t="shared" si="175"/>
        <v>28791</v>
      </c>
      <c r="V707" s="9">
        <f t="shared" si="176"/>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v>0</v>
      </c>
      <c r="BF707" s="18">
        <v>0</v>
      </c>
      <c r="BG707">
        <v>0</v>
      </c>
      <c r="BH707">
        <v>1</v>
      </c>
      <c r="BI707" s="18">
        <v>0</v>
      </c>
      <c r="BJ707">
        <v>5087</v>
      </c>
      <c r="BK707">
        <v>9052</v>
      </c>
      <c r="BL707" s="93">
        <f t="shared" si="172"/>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3"/>
        <v>5.6000000000000005</v>
      </c>
      <c r="H708" s="16">
        <f t="shared" si="174"/>
        <v>5.8</v>
      </c>
      <c r="I708" s="11">
        <f t="shared" si="163"/>
        <v>6.162665043343088E-2</v>
      </c>
      <c r="J708" s="33">
        <f t="shared" si="164"/>
        <v>4.7931839226001641E-3</v>
      </c>
      <c r="K708" s="33">
        <f t="shared" si="165"/>
        <v>208.6295907162955</v>
      </c>
      <c r="L708" s="8">
        <v>0</v>
      </c>
      <c r="M708" s="9">
        <v>1</v>
      </c>
      <c r="N708" s="8">
        <v>0</v>
      </c>
      <c r="O708" s="9">
        <v>0</v>
      </c>
      <c r="P708" s="9">
        <v>1</v>
      </c>
      <c r="Q708" s="9">
        <v>0</v>
      </c>
      <c r="R708" s="9">
        <v>0</v>
      </c>
      <c r="S708" s="8">
        <v>43367</v>
      </c>
      <c r="T708" s="9">
        <v>5</v>
      </c>
      <c r="U708" s="9">
        <f t="shared" si="175"/>
        <v>43361</v>
      </c>
      <c r="V708" s="9">
        <f t="shared" si="176"/>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v>0</v>
      </c>
      <c r="BF708" s="18">
        <v>0</v>
      </c>
      <c r="BG708">
        <v>0</v>
      </c>
      <c r="BH708">
        <v>1</v>
      </c>
      <c r="BI708" s="18">
        <v>0</v>
      </c>
      <c r="BJ708">
        <v>5087</v>
      </c>
      <c r="BK708">
        <v>9052</v>
      </c>
      <c r="BL708" s="93">
        <f t="shared" si="172"/>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3"/>
        <v>6.6000000000000005</v>
      </c>
      <c r="H709" s="16">
        <f t="shared" si="174"/>
        <v>6.8</v>
      </c>
      <c r="I709" s="11">
        <f t="shared" si="163"/>
        <v>8.1205475525368942E-2</v>
      </c>
      <c r="J709" s="33">
        <f t="shared" si="164"/>
        <v>5.8601889554389776E-3</v>
      </c>
      <c r="K709" s="33">
        <f t="shared" si="165"/>
        <v>170.64296178912059</v>
      </c>
      <c r="L709" s="8">
        <v>0</v>
      </c>
      <c r="M709" s="9">
        <v>1</v>
      </c>
      <c r="N709" s="8">
        <v>0</v>
      </c>
      <c r="O709" s="9">
        <v>0</v>
      </c>
      <c r="P709" s="9">
        <v>1</v>
      </c>
      <c r="Q709" s="9">
        <v>0</v>
      </c>
      <c r="R709" s="9">
        <v>0</v>
      </c>
      <c r="S709" s="8">
        <v>28934</v>
      </c>
      <c r="T709" s="9">
        <v>6</v>
      </c>
      <c r="U709" s="9">
        <f t="shared" si="175"/>
        <v>28927</v>
      </c>
      <c r="V709" s="9">
        <f t="shared" si="176"/>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v>0</v>
      </c>
      <c r="BF709" s="18">
        <v>0</v>
      </c>
      <c r="BG709">
        <v>0</v>
      </c>
      <c r="BH709">
        <v>1</v>
      </c>
      <c r="BI709" s="18">
        <v>0</v>
      </c>
      <c r="BJ709">
        <v>5087</v>
      </c>
      <c r="BK709">
        <v>9052</v>
      </c>
      <c r="BL709" s="93">
        <f t="shared" si="172"/>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3"/>
        <v>5.7</v>
      </c>
      <c r="H710" s="16">
        <f t="shared" si="174"/>
        <v>5.8999999999999995</v>
      </c>
      <c r="I710" s="11">
        <f t="shared" si="163"/>
        <v>6.998226275353496E-2</v>
      </c>
      <c r="J710" s="33">
        <f t="shared" si="164"/>
        <v>4.7103446084109934E-3</v>
      </c>
      <c r="K710" s="33">
        <f t="shared" si="165"/>
        <v>212.29869216242844</v>
      </c>
      <c r="L710" s="8">
        <v>0</v>
      </c>
      <c r="M710" s="9">
        <v>1</v>
      </c>
      <c r="N710" s="8">
        <v>0</v>
      </c>
      <c r="O710" s="9">
        <v>0</v>
      </c>
      <c r="P710" s="9">
        <v>1</v>
      </c>
      <c r="Q710" s="9">
        <v>0</v>
      </c>
      <c r="R710" s="9">
        <v>0</v>
      </c>
      <c r="S710" s="8">
        <v>44858</v>
      </c>
      <c r="T710" s="9">
        <v>7</v>
      </c>
      <c r="U710" s="9">
        <f t="shared" si="175"/>
        <v>44850</v>
      </c>
      <c r="V710" s="9">
        <f t="shared" si="176"/>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v>0</v>
      </c>
      <c r="BF710" s="18">
        <v>0</v>
      </c>
      <c r="BG710">
        <v>0</v>
      </c>
      <c r="BH710">
        <v>1</v>
      </c>
      <c r="BI710" s="18">
        <v>0</v>
      </c>
      <c r="BJ710">
        <v>5087</v>
      </c>
      <c r="BK710">
        <v>9052</v>
      </c>
      <c r="BL710" s="93">
        <f t="shared" si="172"/>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3"/>
        <v>6.1000000000000005</v>
      </c>
      <c r="H711" s="16">
        <f t="shared" si="174"/>
        <v>6.3</v>
      </c>
      <c r="I711" s="11">
        <f t="shared" si="163"/>
        <v>9.0907414049634136E-2</v>
      </c>
      <c r="J711" s="33">
        <f t="shared" si="164"/>
        <v>5.7328999851120471E-3</v>
      </c>
      <c r="K711" s="33">
        <f t="shared" si="165"/>
        <v>174.4317889021145</v>
      </c>
      <c r="L711" s="8">
        <v>0</v>
      </c>
      <c r="M711" s="9">
        <v>1</v>
      </c>
      <c r="N711" s="8">
        <v>0</v>
      </c>
      <c r="O711" s="9">
        <v>0</v>
      </c>
      <c r="P711" s="9">
        <v>1</v>
      </c>
      <c r="Q711" s="9">
        <v>0</v>
      </c>
      <c r="R711" s="9">
        <v>0</v>
      </c>
      <c r="S711" s="8">
        <v>30184</v>
      </c>
      <c r="T711" s="9">
        <v>8</v>
      </c>
      <c r="U711" s="9">
        <f t="shared" si="175"/>
        <v>30175</v>
      </c>
      <c r="V711" s="9">
        <f t="shared" si="176"/>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v>0</v>
      </c>
      <c r="BF711" s="18">
        <v>0</v>
      </c>
      <c r="BG711">
        <v>0</v>
      </c>
      <c r="BH711">
        <v>1</v>
      </c>
      <c r="BI711" s="18">
        <v>0</v>
      </c>
      <c r="BJ711">
        <v>5087</v>
      </c>
      <c r="BK711">
        <v>9052</v>
      </c>
      <c r="BL711" s="93">
        <f t="shared" si="172"/>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3"/>
        <v>5.2</v>
      </c>
      <c r="H712" s="16">
        <f t="shared" si="174"/>
        <v>5.3999999999999995</v>
      </c>
      <c r="I712" s="11">
        <f t="shared" ref="I712:I775" si="177">IFERROR(F712/SQRT(F712^2+U712), "X")</f>
        <v>7.9462540652765284E-2</v>
      </c>
      <c r="J712" s="33">
        <f t="shared" ref="J712:J775" si="178">IFERROR(SQRT((1-I712^2)/U712), "X")</f>
        <v>4.7138795302487761E-3</v>
      </c>
      <c r="K712" s="33">
        <f t="shared" ref="K712:K775" si="179">IFERROR(1/J712, "X")</f>
        <v>212.13949011277018</v>
      </c>
      <c r="L712" s="8">
        <v>0</v>
      </c>
      <c r="M712" s="9">
        <v>1</v>
      </c>
      <c r="N712" s="8">
        <v>0</v>
      </c>
      <c r="O712" s="9">
        <v>0</v>
      </c>
      <c r="P712" s="9">
        <v>1</v>
      </c>
      <c r="Q712" s="9">
        <v>0</v>
      </c>
      <c r="R712" s="9">
        <v>0</v>
      </c>
      <c r="S712" s="8">
        <v>44729</v>
      </c>
      <c r="T712" s="9">
        <v>9</v>
      </c>
      <c r="U712" s="9">
        <f t="shared" si="175"/>
        <v>44719</v>
      </c>
      <c r="V712" s="9">
        <f t="shared" si="176"/>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v>0</v>
      </c>
      <c r="BF712" s="18">
        <v>0</v>
      </c>
      <c r="BG712">
        <v>0</v>
      </c>
      <c r="BH712">
        <v>1</v>
      </c>
      <c r="BI712" s="18">
        <v>0</v>
      </c>
      <c r="BJ712">
        <v>5087</v>
      </c>
      <c r="BK712">
        <v>9052</v>
      </c>
      <c r="BL712" s="93">
        <f t="shared" si="172"/>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3"/>
        <v>5.5</v>
      </c>
      <c r="H713" s="16">
        <f t="shared" si="174"/>
        <v>5.9</v>
      </c>
      <c r="I713" s="11">
        <f t="shared" si="177"/>
        <v>0.10159251351266772</v>
      </c>
      <c r="J713" s="33">
        <f t="shared" si="178"/>
        <v>5.6891807567093786E-3</v>
      </c>
      <c r="K713" s="33">
        <f t="shared" si="179"/>
        <v>175.77223202491459</v>
      </c>
      <c r="L713" s="8">
        <v>0</v>
      </c>
      <c r="M713" s="9">
        <v>1</v>
      </c>
      <c r="N713" s="8">
        <v>0</v>
      </c>
      <c r="O713" s="9">
        <v>0</v>
      </c>
      <c r="P713" s="9">
        <v>1</v>
      </c>
      <c r="Q713" s="9">
        <v>0</v>
      </c>
      <c r="R713" s="9">
        <v>0</v>
      </c>
      <c r="S713" s="8">
        <v>30588</v>
      </c>
      <c r="T713" s="9">
        <v>10</v>
      </c>
      <c r="U713" s="9">
        <f t="shared" si="175"/>
        <v>30577</v>
      </c>
      <c r="V713" s="9">
        <f t="shared" si="176"/>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v>0</v>
      </c>
      <c r="BF713" s="18">
        <v>0</v>
      </c>
      <c r="BG713">
        <v>0</v>
      </c>
      <c r="BH713">
        <v>1</v>
      </c>
      <c r="BI713" s="18">
        <v>0</v>
      </c>
      <c r="BJ713">
        <v>5087</v>
      </c>
      <c r="BK713">
        <v>9052</v>
      </c>
      <c r="BL713" s="93">
        <f t="shared" si="172"/>
        <v>32.11</v>
      </c>
      <c r="BM713">
        <v>1</v>
      </c>
      <c r="BN713">
        <v>0</v>
      </c>
      <c r="BO713">
        <v>0</v>
      </c>
      <c r="BP713">
        <v>0</v>
      </c>
      <c r="BQ713">
        <v>0</v>
      </c>
      <c r="BR713">
        <v>0</v>
      </c>
      <c r="BS713">
        <v>0</v>
      </c>
      <c r="BT713" s="18">
        <v>0</v>
      </c>
      <c r="BU713">
        <v>0</v>
      </c>
      <c r="BV713">
        <v>0</v>
      </c>
      <c r="BW713">
        <v>1</v>
      </c>
      <c r="BX713" s="18">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3"/>
        <v>4.5</v>
      </c>
      <c r="H714" s="16">
        <f t="shared" si="174"/>
        <v>4.9000000000000004</v>
      </c>
      <c r="I714" s="11">
        <f t="shared" si="177"/>
        <v>0.17153072758098822</v>
      </c>
      <c r="J714" s="33">
        <f t="shared" si="178"/>
        <v>9.0963264626281425E-3</v>
      </c>
      <c r="K714" s="33">
        <f t="shared" si="179"/>
        <v>109.93448884101248</v>
      </c>
      <c r="L714" s="8">
        <v>0</v>
      </c>
      <c r="M714" s="9">
        <v>1</v>
      </c>
      <c r="N714" s="8">
        <v>0</v>
      </c>
      <c r="O714" s="9">
        <v>0</v>
      </c>
      <c r="P714" s="9">
        <v>1</v>
      </c>
      <c r="Q714" s="9">
        <v>0</v>
      </c>
      <c r="R714" s="9">
        <v>0</v>
      </c>
      <c r="S714" s="8">
        <v>11742</v>
      </c>
      <c r="T714" s="9">
        <v>11</v>
      </c>
      <c r="U714" s="9">
        <f t="shared" si="175"/>
        <v>11730</v>
      </c>
      <c r="V714" s="9">
        <f t="shared" si="176"/>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v>0</v>
      </c>
      <c r="BF714" s="18">
        <v>0</v>
      </c>
      <c r="BG714">
        <v>0</v>
      </c>
      <c r="BH714">
        <v>1</v>
      </c>
      <c r="BI714" s="18">
        <v>0</v>
      </c>
      <c r="BJ714">
        <v>5087</v>
      </c>
      <c r="BK714">
        <v>9052</v>
      </c>
      <c r="BL714" s="93">
        <f t="shared" si="172"/>
        <v>32.11</v>
      </c>
      <c r="BM714">
        <v>1</v>
      </c>
      <c r="BN714">
        <v>0</v>
      </c>
      <c r="BO714">
        <v>0</v>
      </c>
      <c r="BP714">
        <v>0</v>
      </c>
      <c r="BQ714">
        <v>0</v>
      </c>
      <c r="BR714">
        <v>0</v>
      </c>
      <c r="BS714">
        <v>0</v>
      </c>
      <c r="BT714" s="18">
        <v>0</v>
      </c>
      <c r="BU714">
        <v>0</v>
      </c>
      <c r="BV714">
        <v>0</v>
      </c>
      <c r="BW714">
        <v>1</v>
      </c>
      <c r="BX714" s="18">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3"/>
        <v>5.8999999999999995</v>
      </c>
      <c r="H715" s="16">
        <f t="shared" si="174"/>
        <v>6.3</v>
      </c>
      <c r="I715" s="11">
        <f t="shared" si="177"/>
        <v>0.22852540124391141</v>
      </c>
      <c r="J715" s="33">
        <f t="shared" si="178"/>
        <v>1.1508473443937959E-2</v>
      </c>
      <c r="K715" s="33">
        <f t="shared" si="179"/>
        <v>86.892497503806283</v>
      </c>
      <c r="L715" s="8">
        <v>0</v>
      </c>
      <c r="M715" s="9">
        <v>1</v>
      </c>
      <c r="N715" s="8">
        <v>0</v>
      </c>
      <c r="O715" s="9">
        <v>0</v>
      </c>
      <c r="P715" s="9">
        <v>1</v>
      </c>
      <c r="Q715" s="9">
        <v>0</v>
      </c>
      <c r="R715" s="9">
        <v>0</v>
      </c>
      <c r="S715" s="8">
        <v>7169</v>
      </c>
      <c r="T715" s="9">
        <v>12</v>
      </c>
      <c r="U715" s="9">
        <f t="shared" si="175"/>
        <v>7156</v>
      </c>
      <c r="V715" s="9">
        <f t="shared" si="176"/>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v>0</v>
      </c>
      <c r="BF715" s="18">
        <v>0</v>
      </c>
      <c r="BG715">
        <v>0</v>
      </c>
      <c r="BH715">
        <v>1</v>
      </c>
      <c r="BI715" s="18">
        <v>0</v>
      </c>
      <c r="BJ715">
        <v>5087</v>
      </c>
      <c r="BK715">
        <v>9052</v>
      </c>
      <c r="BL715" s="93">
        <f t="shared" si="172"/>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3"/>
        <v>4.8999999999999995</v>
      </c>
      <c r="H716" s="16">
        <f t="shared" si="174"/>
        <v>5.3</v>
      </c>
      <c r="I716" s="11">
        <f t="shared" si="177"/>
        <v>0.1870236989817278</v>
      </c>
      <c r="J716" s="33">
        <f t="shared" si="178"/>
        <v>8.9668896772061094E-3</v>
      </c>
      <c r="K716" s="33">
        <f t="shared" si="179"/>
        <v>111.5213899131609</v>
      </c>
      <c r="L716" s="8">
        <v>0</v>
      </c>
      <c r="M716" s="9">
        <v>1</v>
      </c>
      <c r="N716" s="8">
        <v>0</v>
      </c>
      <c r="O716" s="9">
        <v>0</v>
      </c>
      <c r="P716" s="9">
        <v>1</v>
      </c>
      <c r="Q716" s="9">
        <v>0</v>
      </c>
      <c r="R716" s="9">
        <v>0</v>
      </c>
      <c r="S716" s="8">
        <v>12016</v>
      </c>
      <c r="T716" s="9">
        <v>13</v>
      </c>
      <c r="U716" s="9">
        <f t="shared" si="175"/>
        <v>12002</v>
      </c>
      <c r="V716" s="9">
        <f t="shared" si="176"/>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v>0</v>
      </c>
      <c r="BF716" s="18">
        <v>0</v>
      </c>
      <c r="BG716">
        <v>0</v>
      </c>
      <c r="BH716">
        <v>1</v>
      </c>
      <c r="BI716" s="18">
        <v>0</v>
      </c>
      <c r="BJ716">
        <v>5087</v>
      </c>
      <c r="BK716">
        <v>9052</v>
      </c>
      <c r="BL716" s="93">
        <f t="shared" si="172"/>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3"/>
        <v>6.5</v>
      </c>
      <c r="H717" s="16">
        <f t="shared" si="174"/>
        <v>6.9</v>
      </c>
      <c r="I717" s="11">
        <f t="shared" si="177"/>
        <v>0.24917046667358211</v>
      </c>
      <c r="J717" s="33">
        <f t="shared" si="178"/>
        <v>1.1399955991601773E-2</v>
      </c>
      <c r="K717" s="33">
        <f t="shared" si="179"/>
        <v>87.719636877255439</v>
      </c>
      <c r="L717" s="8">
        <v>0</v>
      </c>
      <c r="M717" s="9">
        <v>1</v>
      </c>
      <c r="N717" s="8">
        <v>0</v>
      </c>
      <c r="O717" s="9">
        <v>0</v>
      </c>
      <c r="P717" s="9">
        <v>1</v>
      </c>
      <c r="Q717" s="9">
        <v>0</v>
      </c>
      <c r="R717" s="9">
        <v>0</v>
      </c>
      <c r="S717" s="8">
        <v>7232</v>
      </c>
      <c r="T717" s="9">
        <v>14</v>
      </c>
      <c r="U717" s="9">
        <f t="shared" si="175"/>
        <v>7217</v>
      </c>
      <c r="V717" s="9">
        <f t="shared" si="176"/>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v>0</v>
      </c>
      <c r="BF717" s="18">
        <v>0</v>
      </c>
      <c r="BG717">
        <v>0</v>
      </c>
      <c r="BH717">
        <v>1</v>
      </c>
      <c r="BI717" s="18">
        <v>0</v>
      </c>
      <c r="BJ717">
        <v>5087</v>
      </c>
      <c r="BK717">
        <v>9052</v>
      </c>
      <c r="BL717" s="93">
        <f t="shared" si="172"/>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3"/>
        <v>5.7</v>
      </c>
      <c r="H718" s="16">
        <f t="shared" si="174"/>
        <v>6.1000000000000005</v>
      </c>
      <c r="I718" s="11">
        <f t="shared" si="177"/>
        <v>0.19895758177591516</v>
      </c>
      <c r="J718" s="33">
        <f t="shared" si="178"/>
        <v>8.7043942026962719E-3</v>
      </c>
      <c r="K718" s="33">
        <f t="shared" si="179"/>
        <v>114.88450278254173</v>
      </c>
      <c r="L718" s="8">
        <v>0</v>
      </c>
      <c r="M718" s="9">
        <v>1</v>
      </c>
      <c r="N718" s="8">
        <v>0</v>
      </c>
      <c r="O718" s="9">
        <v>0</v>
      </c>
      <c r="P718" s="9">
        <v>1</v>
      </c>
      <c r="Q718" s="9">
        <v>0</v>
      </c>
      <c r="R718" s="9">
        <v>0</v>
      </c>
      <c r="S718" s="8">
        <v>12692</v>
      </c>
      <c r="T718" s="9">
        <v>15</v>
      </c>
      <c r="U718" s="9">
        <f t="shared" si="175"/>
        <v>12676</v>
      </c>
      <c r="V718" s="9">
        <f t="shared" si="176"/>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v>0</v>
      </c>
      <c r="BF718" s="18">
        <v>0</v>
      </c>
      <c r="BG718">
        <v>0</v>
      </c>
      <c r="BH718">
        <v>1</v>
      </c>
      <c r="BI718" s="18">
        <v>0</v>
      </c>
      <c r="BJ718">
        <v>5087</v>
      </c>
      <c r="BK718">
        <v>9052</v>
      </c>
      <c r="BL718" s="93">
        <f t="shared" si="172"/>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3"/>
        <v>6</v>
      </c>
      <c r="H719" s="16">
        <f t="shared" si="174"/>
        <v>6.4</v>
      </c>
      <c r="I719" s="11">
        <f t="shared" si="177"/>
        <v>0.26411655224629221</v>
      </c>
      <c r="J719" s="33">
        <f t="shared" si="178"/>
        <v>1.1070753686970311E-2</v>
      </c>
      <c r="K719" s="33">
        <f t="shared" si="179"/>
        <v>90.328086801980504</v>
      </c>
      <c r="L719" s="8">
        <v>0</v>
      </c>
      <c r="M719" s="9">
        <v>1</v>
      </c>
      <c r="N719" s="8">
        <v>0</v>
      </c>
      <c r="O719" s="9">
        <v>0</v>
      </c>
      <c r="P719" s="9">
        <v>1</v>
      </c>
      <c r="Q719" s="9">
        <v>0</v>
      </c>
      <c r="R719" s="9">
        <v>0</v>
      </c>
      <c r="S719" s="8">
        <v>7607</v>
      </c>
      <c r="T719" s="9">
        <v>16</v>
      </c>
      <c r="U719" s="9">
        <f t="shared" si="175"/>
        <v>7590</v>
      </c>
      <c r="V719" s="9">
        <f t="shared" si="176"/>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v>0</v>
      </c>
      <c r="BF719" s="18">
        <v>0</v>
      </c>
      <c r="BG719">
        <v>0</v>
      </c>
      <c r="BH719">
        <v>1</v>
      </c>
      <c r="BI719" s="18">
        <v>0</v>
      </c>
      <c r="BJ719">
        <v>5087</v>
      </c>
      <c r="BK719">
        <v>9052</v>
      </c>
      <c r="BL719" s="93">
        <f t="shared" si="172"/>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3"/>
        <v>4.8</v>
      </c>
      <c r="H720" s="16">
        <f t="shared" si="174"/>
        <v>5.2</v>
      </c>
      <c r="I720" s="11">
        <f t="shared" si="177"/>
        <v>0.21617458945617005</v>
      </c>
      <c r="J720" s="33">
        <f t="shared" si="178"/>
        <v>8.6966788861677462E-3</v>
      </c>
      <c r="K720" s="33">
        <f t="shared" si="179"/>
        <v>114.9864233334545</v>
      </c>
      <c r="L720" s="8">
        <v>0</v>
      </c>
      <c r="M720" s="9">
        <v>1</v>
      </c>
      <c r="N720" s="8">
        <v>0</v>
      </c>
      <c r="O720" s="9">
        <v>0</v>
      </c>
      <c r="P720" s="9">
        <v>1</v>
      </c>
      <c r="Q720" s="9">
        <v>0</v>
      </c>
      <c r="R720" s="9">
        <v>0</v>
      </c>
      <c r="S720" s="8">
        <v>12622</v>
      </c>
      <c r="T720" s="9">
        <v>17</v>
      </c>
      <c r="U720" s="9">
        <f t="shared" si="175"/>
        <v>12604</v>
      </c>
      <c r="V720" s="9">
        <f t="shared" si="176"/>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v>0</v>
      </c>
      <c r="BF720" s="18">
        <v>0</v>
      </c>
      <c r="BG720">
        <v>0</v>
      </c>
      <c r="BH720">
        <v>1</v>
      </c>
      <c r="BI720" s="18">
        <v>0</v>
      </c>
      <c r="BJ720">
        <v>5087</v>
      </c>
      <c r="BK720">
        <v>9052</v>
      </c>
      <c r="BL720" s="93">
        <f t="shared" si="172"/>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3"/>
        <v>7.71</v>
      </c>
      <c r="H721" s="16">
        <f t="shared" si="174"/>
        <v>7.7700000000000005</v>
      </c>
      <c r="I721" s="11">
        <f t="shared" si="177"/>
        <v>4.1483160549381434E-2</v>
      </c>
      <c r="J721" s="33">
        <f t="shared" si="178"/>
        <v>1.6043211262191687E-3</v>
      </c>
      <c r="K721" s="33">
        <f t="shared" si="179"/>
        <v>623.3166064182268</v>
      </c>
      <c r="L721" s="8">
        <v>0</v>
      </c>
      <c r="M721" s="9">
        <v>1</v>
      </c>
      <c r="N721" s="8">
        <v>0</v>
      </c>
      <c r="O721" s="9">
        <v>0</v>
      </c>
      <c r="P721" s="9">
        <v>1</v>
      </c>
      <c r="Q721" s="9">
        <v>0</v>
      </c>
      <c r="R721" s="9">
        <v>0</v>
      </c>
      <c r="S721" s="8">
        <v>387866</v>
      </c>
      <c r="T721" s="9">
        <v>10</v>
      </c>
      <c r="U721" s="9">
        <f t="shared" si="175"/>
        <v>387855</v>
      </c>
      <c r="V721" s="9">
        <f t="shared" si="176"/>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v>0</v>
      </c>
      <c r="BF721" s="18">
        <v>0</v>
      </c>
      <c r="BG721">
        <v>0</v>
      </c>
      <c r="BH721">
        <v>1</v>
      </c>
      <c r="BI721" s="18">
        <v>0</v>
      </c>
      <c r="BJ721">
        <v>5087</v>
      </c>
      <c r="BK721">
        <v>9052</v>
      </c>
      <c r="BL721" s="93">
        <f t="shared" si="172"/>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3"/>
        <v>6.21</v>
      </c>
      <c r="H722" s="16">
        <f t="shared" si="174"/>
        <v>6.2700000000000005</v>
      </c>
      <c r="I722" s="11">
        <f t="shared" si="177"/>
        <v>4.3084780708946675E-2</v>
      </c>
      <c r="J722" s="33">
        <f t="shared" si="178"/>
        <v>1.604220558311842E-3</v>
      </c>
      <c r="K722" s="33">
        <f t="shared" si="179"/>
        <v>623.355681872275</v>
      </c>
      <c r="L722" s="8">
        <v>0</v>
      </c>
      <c r="M722" s="9">
        <v>1</v>
      </c>
      <c r="N722" s="8">
        <v>0</v>
      </c>
      <c r="O722" s="9">
        <v>0</v>
      </c>
      <c r="P722" s="9">
        <v>1</v>
      </c>
      <c r="Q722" s="9">
        <v>0</v>
      </c>
      <c r="R722" s="9">
        <v>0</v>
      </c>
      <c r="S722" s="8">
        <v>387866</v>
      </c>
      <c r="T722" s="9">
        <v>14</v>
      </c>
      <c r="U722" s="9">
        <f t="shared" si="175"/>
        <v>387851</v>
      </c>
      <c r="V722" s="9">
        <f t="shared" si="176"/>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v>0</v>
      </c>
      <c r="BF722" s="18">
        <v>0</v>
      </c>
      <c r="BG722">
        <v>0</v>
      </c>
      <c r="BH722">
        <v>1</v>
      </c>
      <c r="BI722" s="18">
        <v>0</v>
      </c>
      <c r="BJ722">
        <v>5087</v>
      </c>
      <c r="BK722">
        <v>9052</v>
      </c>
      <c r="BL722" s="93">
        <f t="shared" si="172"/>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3"/>
        <v>6.12</v>
      </c>
      <c r="H723" s="16">
        <f t="shared" si="174"/>
        <v>6.1800000000000006</v>
      </c>
      <c r="I723" s="11">
        <f t="shared" si="177"/>
        <v>4.8876541744417183E-2</v>
      </c>
      <c r="J723" s="33">
        <f t="shared" si="178"/>
        <v>1.7545425241585627E-3</v>
      </c>
      <c r="K723" s="33">
        <f t="shared" si="179"/>
        <v>569.94913843970608</v>
      </c>
      <c r="L723" s="8">
        <v>0</v>
      </c>
      <c r="M723" s="9">
        <v>1</v>
      </c>
      <c r="N723" s="8">
        <v>0</v>
      </c>
      <c r="O723" s="9">
        <v>0</v>
      </c>
      <c r="P723" s="9">
        <v>1</v>
      </c>
      <c r="Q723" s="9">
        <v>0</v>
      </c>
      <c r="R723" s="9">
        <v>0</v>
      </c>
      <c r="S723" s="8">
        <v>324084</v>
      </c>
      <c r="T723" s="9">
        <v>17</v>
      </c>
      <c r="U723" s="9">
        <f t="shared" si="175"/>
        <v>324066</v>
      </c>
      <c r="V723" s="9">
        <f t="shared" si="176"/>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v>0</v>
      </c>
      <c r="BF723" s="18">
        <v>0</v>
      </c>
      <c r="BG723">
        <v>0</v>
      </c>
      <c r="BH723">
        <v>1</v>
      </c>
      <c r="BI723" s="18">
        <v>0</v>
      </c>
      <c r="BJ723">
        <v>5087</v>
      </c>
      <c r="BK723">
        <v>9052</v>
      </c>
      <c r="BL723" s="93">
        <f t="shared" si="172"/>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3"/>
        <v>6.01</v>
      </c>
      <c r="H724" s="16">
        <f t="shared" si="174"/>
        <v>6.09</v>
      </c>
      <c r="I724" s="11">
        <f t="shared" si="177"/>
        <v>5.7129223619062877E-2</v>
      </c>
      <c r="J724" s="33">
        <f t="shared" si="178"/>
        <v>1.9797255709576213E-3</v>
      </c>
      <c r="K724" s="33">
        <f t="shared" si="179"/>
        <v>505.12051501980943</v>
      </c>
      <c r="L724" s="8">
        <v>0</v>
      </c>
      <c r="M724" s="9">
        <v>1</v>
      </c>
      <c r="N724" s="8">
        <v>0</v>
      </c>
      <c r="O724" s="9">
        <v>0</v>
      </c>
      <c r="P724" s="9">
        <v>1</v>
      </c>
      <c r="Q724" s="9">
        <v>0</v>
      </c>
      <c r="R724" s="9">
        <v>0</v>
      </c>
      <c r="S724" s="8">
        <v>254332</v>
      </c>
      <c r="T724" s="9">
        <v>17</v>
      </c>
      <c r="U724" s="9">
        <f t="shared" si="175"/>
        <v>254314</v>
      </c>
      <c r="V724" s="9">
        <f t="shared" si="176"/>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v>0</v>
      </c>
      <c r="BF724" s="18">
        <v>0</v>
      </c>
      <c r="BG724">
        <v>0</v>
      </c>
      <c r="BH724">
        <v>1</v>
      </c>
      <c r="BI724" s="18">
        <v>0</v>
      </c>
      <c r="BJ724">
        <v>5087</v>
      </c>
      <c r="BK724">
        <v>9052</v>
      </c>
      <c r="BL724" s="93">
        <f t="shared" si="172"/>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3"/>
        <v>5.8599999999999994</v>
      </c>
      <c r="H725" s="16">
        <f t="shared" si="174"/>
        <v>6</v>
      </c>
      <c r="I725" s="11">
        <f t="shared" si="177"/>
        <v>0.11234859231156773</v>
      </c>
      <c r="J725" s="33">
        <f t="shared" si="178"/>
        <v>3.7628715128276216E-3</v>
      </c>
      <c r="K725" s="33">
        <f t="shared" si="179"/>
        <v>265.75449004596675</v>
      </c>
      <c r="L725" s="8">
        <v>0</v>
      </c>
      <c r="M725" s="9">
        <v>1</v>
      </c>
      <c r="N725" s="8">
        <v>0</v>
      </c>
      <c r="O725" s="9">
        <v>0</v>
      </c>
      <c r="P725" s="9">
        <v>1</v>
      </c>
      <c r="Q725" s="9">
        <v>0</v>
      </c>
      <c r="R725" s="9">
        <v>0</v>
      </c>
      <c r="S725" s="8">
        <v>69752</v>
      </c>
      <c r="T725" s="9">
        <v>17</v>
      </c>
      <c r="U725" s="9">
        <f t="shared" si="175"/>
        <v>69734</v>
      </c>
      <c r="V725" s="9">
        <f t="shared" si="176"/>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v>0</v>
      </c>
      <c r="BF725" s="18">
        <v>0</v>
      </c>
      <c r="BG725">
        <v>0</v>
      </c>
      <c r="BH725">
        <v>1</v>
      </c>
      <c r="BI725" s="18">
        <v>0</v>
      </c>
      <c r="BJ725">
        <v>5087</v>
      </c>
      <c r="BK725">
        <v>9052</v>
      </c>
      <c r="BL725" s="93">
        <f t="shared" si="172"/>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3"/>
        <v>3.62</v>
      </c>
      <c r="H726" s="16">
        <f t="shared" si="174"/>
        <v>3.7</v>
      </c>
      <c r="I726" s="11">
        <f t="shared" si="177"/>
        <v>5.7097529664404303E-2</v>
      </c>
      <c r="J726" s="33">
        <f t="shared" si="178"/>
        <v>1.8503829057908777E-3</v>
      </c>
      <c r="K726" s="33">
        <f t="shared" si="179"/>
        <v>540.42868471733266</v>
      </c>
      <c r="L726" s="8">
        <v>0</v>
      </c>
      <c r="M726" s="9">
        <v>1</v>
      </c>
      <c r="N726" s="8">
        <v>0</v>
      </c>
      <c r="O726" s="9">
        <v>0</v>
      </c>
      <c r="P726" s="9">
        <v>1</v>
      </c>
      <c r="Q726" s="9">
        <v>0</v>
      </c>
      <c r="R726" s="9">
        <v>0</v>
      </c>
      <c r="S726" s="8">
        <v>291130</v>
      </c>
      <c r="T726" s="9">
        <v>18</v>
      </c>
      <c r="U726" s="9">
        <f t="shared" si="175"/>
        <v>291111</v>
      </c>
      <c r="V726" s="9">
        <f t="shared" si="176"/>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v>0</v>
      </c>
      <c r="BF726" s="18">
        <v>0</v>
      </c>
      <c r="BG726">
        <v>0</v>
      </c>
      <c r="BH726">
        <v>1</v>
      </c>
      <c r="BI726" s="18">
        <v>0</v>
      </c>
      <c r="BJ726">
        <v>5087</v>
      </c>
      <c r="BK726">
        <v>9052</v>
      </c>
      <c r="BL726" s="93">
        <f t="shared" si="172"/>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3"/>
        <v>5.8</v>
      </c>
      <c r="H727" s="16">
        <f t="shared" si="174"/>
        <v>5.88</v>
      </c>
      <c r="I727" s="11">
        <f t="shared" si="177"/>
        <v>5.587417340674182E-2</v>
      </c>
      <c r="J727" s="33">
        <f t="shared" si="178"/>
        <v>1.753897819942566E-3</v>
      </c>
      <c r="K727" s="33">
        <f t="shared" si="179"/>
        <v>570.158642441751</v>
      </c>
      <c r="L727" s="8">
        <v>0</v>
      </c>
      <c r="M727" s="9">
        <v>1</v>
      </c>
      <c r="N727" s="8">
        <v>0</v>
      </c>
      <c r="O727" s="9">
        <v>0</v>
      </c>
      <c r="P727" s="9">
        <v>1</v>
      </c>
      <c r="Q727" s="9">
        <v>0</v>
      </c>
      <c r="R727" s="9">
        <v>0</v>
      </c>
      <c r="S727" s="8">
        <v>324084</v>
      </c>
      <c r="T727" s="9">
        <v>17</v>
      </c>
      <c r="U727" s="9">
        <f t="shared" si="175"/>
        <v>324066</v>
      </c>
      <c r="V727" s="9">
        <f t="shared" si="176"/>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v>0</v>
      </c>
      <c r="BF727" s="18">
        <v>0</v>
      </c>
      <c r="BG727">
        <v>0</v>
      </c>
      <c r="BH727">
        <v>1</v>
      </c>
      <c r="BI727" s="18">
        <v>0</v>
      </c>
      <c r="BJ727">
        <v>5087</v>
      </c>
      <c r="BK727">
        <v>9052</v>
      </c>
      <c r="BL727" s="93">
        <f t="shared" si="172"/>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3"/>
        <v>7.76</v>
      </c>
      <c r="H728" s="16">
        <f t="shared" si="174"/>
        <v>7.82</v>
      </c>
      <c r="I728" s="11">
        <f t="shared" si="177"/>
        <v>5.2685549073099733E-2</v>
      </c>
      <c r="J728" s="33">
        <f t="shared" si="178"/>
        <v>1.603473232659555E-3</v>
      </c>
      <c r="K728" s="33">
        <f t="shared" si="179"/>
        <v>623.64620726557348</v>
      </c>
      <c r="L728" s="8">
        <v>0</v>
      </c>
      <c r="M728" s="9">
        <v>1</v>
      </c>
      <c r="N728" s="8">
        <v>0</v>
      </c>
      <c r="O728" s="9">
        <v>0</v>
      </c>
      <c r="P728" s="9">
        <v>1</v>
      </c>
      <c r="Q728" s="9">
        <v>0</v>
      </c>
      <c r="R728" s="9">
        <v>0</v>
      </c>
      <c r="S728" s="8">
        <v>387866</v>
      </c>
      <c r="T728" s="9">
        <v>10</v>
      </c>
      <c r="U728" s="9">
        <f t="shared" si="175"/>
        <v>387855</v>
      </c>
      <c r="V728" s="9">
        <f t="shared" si="176"/>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v>0</v>
      </c>
      <c r="BF728" s="18">
        <v>0</v>
      </c>
      <c r="BG728">
        <v>0</v>
      </c>
      <c r="BH728">
        <v>1</v>
      </c>
      <c r="BI728" s="18">
        <v>0</v>
      </c>
      <c r="BJ728">
        <v>5087</v>
      </c>
      <c r="BK728">
        <v>9052</v>
      </c>
      <c r="BL728" s="93">
        <f t="shared" si="172"/>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3"/>
        <v>6.2</v>
      </c>
      <c r="H729" s="16">
        <f t="shared" si="174"/>
        <v>6.2600000000000007</v>
      </c>
      <c r="I729" s="11">
        <f t="shared" si="177"/>
        <v>5.4284645881501149E-2</v>
      </c>
      <c r="J729" s="33">
        <f t="shared" si="178"/>
        <v>1.6033439711835762E-3</v>
      </c>
      <c r="K729" s="33">
        <f t="shared" si="179"/>
        <v>623.69648557808068</v>
      </c>
      <c r="L729" s="8">
        <v>0</v>
      </c>
      <c r="M729" s="9">
        <v>1</v>
      </c>
      <c r="N729" s="8">
        <v>0</v>
      </c>
      <c r="O729" s="9">
        <v>0</v>
      </c>
      <c r="P729" s="9">
        <v>1</v>
      </c>
      <c r="Q729" s="9">
        <v>0</v>
      </c>
      <c r="R729" s="9">
        <v>0</v>
      </c>
      <c r="S729" s="8">
        <v>387866</v>
      </c>
      <c r="T729" s="9">
        <v>14</v>
      </c>
      <c r="U729" s="9">
        <f t="shared" si="175"/>
        <v>387851</v>
      </c>
      <c r="V729" s="9">
        <f t="shared" si="176"/>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v>0</v>
      </c>
      <c r="BF729" s="18">
        <v>0</v>
      </c>
      <c r="BG729">
        <v>0</v>
      </c>
      <c r="BH729">
        <v>1</v>
      </c>
      <c r="BI729" s="18">
        <v>0</v>
      </c>
      <c r="BJ729">
        <v>5087</v>
      </c>
      <c r="BK729">
        <v>9052</v>
      </c>
      <c r="BL729" s="93">
        <f t="shared" si="172"/>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3"/>
        <v>6.12</v>
      </c>
      <c r="H730" s="16">
        <f t="shared" si="174"/>
        <v>6.1800000000000006</v>
      </c>
      <c r="I730" s="11">
        <f t="shared" si="177"/>
        <v>6.1117055763178253E-2</v>
      </c>
      <c r="J730" s="33">
        <f t="shared" si="178"/>
        <v>1.7533581571403578E-3</v>
      </c>
      <c r="K730" s="33">
        <f t="shared" si="179"/>
        <v>570.33413049559226</v>
      </c>
      <c r="L730" s="8">
        <v>0</v>
      </c>
      <c r="M730" s="9">
        <v>1</v>
      </c>
      <c r="N730" s="8">
        <v>0</v>
      </c>
      <c r="O730" s="9">
        <v>0</v>
      </c>
      <c r="P730" s="9">
        <v>1</v>
      </c>
      <c r="Q730" s="9">
        <v>0</v>
      </c>
      <c r="R730" s="9">
        <v>0</v>
      </c>
      <c r="S730" s="8">
        <v>324084</v>
      </c>
      <c r="T730" s="9">
        <v>17</v>
      </c>
      <c r="U730" s="9">
        <f t="shared" si="175"/>
        <v>324066</v>
      </c>
      <c r="V730" s="9">
        <f t="shared" si="176"/>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v>0</v>
      </c>
      <c r="BF730" s="18">
        <v>0</v>
      </c>
      <c r="BG730">
        <v>0</v>
      </c>
      <c r="BH730">
        <v>1</v>
      </c>
      <c r="BI730" s="18">
        <v>0</v>
      </c>
      <c r="BJ730">
        <v>5087</v>
      </c>
      <c r="BK730">
        <v>9052</v>
      </c>
      <c r="BL730" s="93">
        <f t="shared" si="172"/>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3"/>
        <v>6.01</v>
      </c>
      <c r="H731" s="16">
        <f t="shared" si="174"/>
        <v>6.09</v>
      </c>
      <c r="I731" s="11">
        <f t="shared" si="177"/>
        <v>7.0924369238987289E-2</v>
      </c>
      <c r="J731" s="33">
        <f t="shared" si="178"/>
        <v>1.9779704568641853E-3</v>
      </c>
      <c r="K731" s="33">
        <f t="shared" si="179"/>
        <v>505.56872400681345</v>
      </c>
      <c r="L731" s="8">
        <v>0</v>
      </c>
      <c r="M731" s="9">
        <v>1</v>
      </c>
      <c r="N731" s="8">
        <v>0</v>
      </c>
      <c r="O731" s="9">
        <v>0</v>
      </c>
      <c r="P731" s="9">
        <v>1</v>
      </c>
      <c r="Q731" s="9">
        <v>0</v>
      </c>
      <c r="R731" s="9">
        <v>0</v>
      </c>
      <c r="S731" s="8">
        <v>254332</v>
      </c>
      <c r="T731" s="9">
        <v>17</v>
      </c>
      <c r="U731" s="9">
        <f t="shared" si="175"/>
        <v>254314</v>
      </c>
      <c r="V731" s="9">
        <f t="shared" si="176"/>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v>0</v>
      </c>
      <c r="BF731" s="18">
        <v>0</v>
      </c>
      <c r="BG731">
        <v>0</v>
      </c>
      <c r="BH731">
        <v>1</v>
      </c>
      <c r="BI731" s="18">
        <v>0</v>
      </c>
      <c r="BJ731">
        <v>5087</v>
      </c>
      <c r="BK731">
        <v>9052</v>
      </c>
      <c r="BL731" s="93">
        <f t="shared" si="172"/>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3"/>
        <v>5.84</v>
      </c>
      <c r="H732" s="16">
        <f t="shared" si="174"/>
        <v>5.98</v>
      </c>
      <c r="I732" s="11">
        <f t="shared" si="177"/>
        <v>0.13823242550242379</v>
      </c>
      <c r="J732" s="33">
        <f t="shared" si="178"/>
        <v>3.75049216479444E-3</v>
      </c>
      <c r="K732" s="33">
        <f t="shared" si="179"/>
        <v>266.63167287400768</v>
      </c>
      <c r="L732" s="8">
        <v>0</v>
      </c>
      <c r="M732" s="9">
        <v>1</v>
      </c>
      <c r="N732" s="8">
        <v>0</v>
      </c>
      <c r="O732" s="9">
        <v>0</v>
      </c>
      <c r="P732" s="9">
        <v>1</v>
      </c>
      <c r="Q732" s="9">
        <v>0</v>
      </c>
      <c r="R732" s="9">
        <v>0</v>
      </c>
      <c r="S732" s="8">
        <v>69752</v>
      </c>
      <c r="T732" s="9">
        <v>17</v>
      </c>
      <c r="U732" s="9">
        <f t="shared" si="175"/>
        <v>69734</v>
      </c>
      <c r="V732" s="9">
        <f t="shared" si="176"/>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v>0</v>
      </c>
      <c r="BF732" s="18">
        <v>0</v>
      </c>
      <c r="BG732">
        <v>0</v>
      </c>
      <c r="BH732">
        <v>1</v>
      </c>
      <c r="BI732" s="18">
        <v>0</v>
      </c>
      <c r="BJ732">
        <v>5087</v>
      </c>
      <c r="BK732">
        <v>9052</v>
      </c>
      <c r="BL732" s="93">
        <f t="shared" si="172"/>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3"/>
        <v>3.62</v>
      </c>
      <c r="H733" s="16">
        <f t="shared" si="174"/>
        <v>3.7</v>
      </c>
      <c r="I733" s="11">
        <f t="shared" si="177"/>
        <v>6.9992598169546796E-2</v>
      </c>
      <c r="J733" s="33">
        <f t="shared" si="178"/>
        <v>1.8488610837238757E-3</v>
      </c>
      <c r="K733" s="33">
        <f t="shared" si="179"/>
        <v>540.87351873178818</v>
      </c>
      <c r="L733" s="8">
        <v>0</v>
      </c>
      <c r="M733" s="9">
        <v>1</v>
      </c>
      <c r="N733" s="8">
        <v>0</v>
      </c>
      <c r="O733" s="9">
        <v>0</v>
      </c>
      <c r="P733" s="9">
        <v>1</v>
      </c>
      <c r="Q733" s="9">
        <v>0</v>
      </c>
      <c r="R733" s="9">
        <v>0</v>
      </c>
      <c r="S733" s="8">
        <v>291130</v>
      </c>
      <c r="T733" s="9">
        <v>18</v>
      </c>
      <c r="U733" s="9">
        <f t="shared" si="175"/>
        <v>291111</v>
      </c>
      <c r="V733" s="9">
        <f t="shared" si="176"/>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v>0</v>
      </c>
      <c r="BF733" s="18">
        <v>0</v>
      </c>
      <c r="BG733">
        <v>0</v>
      </c>
      <c r="BH733">
        <v>1</v>
      </c>
      <c r="BI733" s="18">
        <v>0</v>
      </c>
      <c r="BJ733">
        <v>5087</v>
      </c>
      <c r="BK733">
        <v>9052</v>
      </c>
      <c r="BL733" s="93">
        <f t="shared" si="172"/>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2" customFormat="1" x14ac:dyDescent="0.25">
      <c r="A734" s="142">
        <v>733</v>
      </c>
      <c r="B734" s="142">
        <v>45</v>
      </c>
      <c r="C734" s="143" t="s">
        <v>470</v>
      </c>
      <c r="D734" s="144">
        <v>5.84</v>
      </c>
      <c r="E734" s="145">
        <v>0.04</v>
      </c>
      <c r="F734" s="146">
        <v>38.857142857142897</v>
      </c>
      <c r="G734" s="146">
        <f t="shared" si="173"/>
        <v>5.8</v>
      </c>
      <c r="H734" s="147">
        <f t="shared" si="174"/>
        <v>5.88</v>
      </c>
      <c r="I734" s="11">
        <f t="shared" si="177"/>
        <v>6.8099630283182694E-2</v>
      </c>
      <c r="J734" s="33">
        <f t="shared" si="178"/>
        <v>1.7525640146407295E-3</v>
      </c>
      <c r="K734" s="33">
        <f t="shared" si="179"/>
        <v>570.59256703099493</v>
      </c>
      <c r="L734" s="149">
        <v>0</v>
      </c>
      <c r="M734" s="150">
        <v>1</v>
      </c>
      <c r="N734" s="149">
        <v>0</v>
      </c>
      <c r="O734" s="150">
        <v>0</v>
      </c>
      <c r="P734" s="150">
        <v>1</v>
      </c>
      <c r="Q734" s="150">
        <v>0</v>
      </c>
      <c r="R734" s="150">
        <v>0</v>
      </c>
      <c r="S734" s="149">
        <v>324084</v>
      </c>
      <c r="T734" s="150">
        <v>17</v>
      </c>
      <c r="U734" s="150">
        <f t="shared" si="175"/>
        <v>324066</v>
      </c>
      <c r="V734" s="150">
        <f t="shared" si="176"/>
        <v>30</v>
      </c>
      <c r="W734" s="146">
        <v>8.41</v>
      </c>
      <c r="X734" s="146">
        <v>18.39</v>
      </c>
      <c r="Y734" s="150">
        <v>1</v>
      </c>
      <c r="Z734" s="150">
        <v>0</v>
      </c>
      <c r="AA734" s="150">
        <v>1</v>
      </c>
      <c r="AB734" s="150">
        <v>0</v>
      </c>
      <c r="AC734" s="150">
        <v>0</v>
      </c>
      <c r="AD734" s="150">
        <v>0</v>
      </c>
      <c r="AE734" s="149">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69"/>
        <v>0.77900000000000003</v>
      </c>
      <c r="AR734" s="156">
        <v>0.221</v>
      </c>
      <c r="AS734" s="169">
        <f t="shared" si="170"/>
        <v>0.78700000000000003</v>
      </c>
      <c r="AT734" s="156">
        <v>0.21299999999999999</v>
      </c>
      <c r="AU734">
        <v>0</v>
      </c>
      <c r="AV734" s="155">
        <v>1</v>
      </c>
      <c r="AW734" s="142">
        <f t="shared" si="171"/>
        <v>0.17500000000000004</v>
      </c>
      <c r="AX734" s="155">
        <v>0.82499999999999996</v>
      </c>
      <c r="AY734" s="155" t="s">
        <v>29</v>
      </c>
      <c r="AZ734">
        <v>0</v>
      </c>
      <c r="BA734">
        <v>0</v>
      </c>
      <c r="BB734">
        <v>1</v>
      </c>
      <c r="BC734">
        <v>0</v>
      </c>
      <c r="BD734">
        <v>0</v>
      </c>
      <c r="BE734">
        <v>0</v>
      </c>
      <c r="BF734" s="155">
        <v>0</v>
      </c>
      <c r="BG734">
        <v>0</v>
      </c>
      <c r="BH734">
        <v>1</v>
      </c>
      <c r="BI734" s="155">
        <v>0</v>
      </c>
      <c r="BJ734">
        <v>5087</v>
      </c>
      <c r="BK734">
        <v>9052</v>
      </c>
      <c r="BL734" s="168">
        <f t="shared" si="172"/>
        <v>32.799999999999997</v>
      </c>
      <c r="BM734" s="142">
        <v>1</v>
      </c>
      <c r="BN734" s="142">
        <v>0</v>
      </c>
      <c r="BO734" s="142">
        <v>0</v>
      </c>
      <c r="BP734" s="142">
        <v>0</v>
      </c>
      <c r="BQ734" s="142">
        <v>0</v>
      </c>
      <c r="BR734" s="142">
        <v>0</v>
      </c>
      <c r="BS734" s="142">
        <v>0</v>
      </c>
      <c r="BT734" s="155">
        <v>0</v>
      </c>
      <c r="BU734" s="142">
        <v>0</v>
      </c>
      <c r="BV734" s="142">
        <v>0</v>
      </c>
      <c r="BW734" s="142">
        <v>1</v>
      </c>
      <c r="BX734" s="155">
        <v>0</v>
      </c>
      <c r="BY734" s="142">
        <v>0</v>
      </c>
      <c r="BZ734" s="142">
        <v>0</v>
      </c>
      <c r="CA734" s="142">
        <v>0</v>
      </c>
      <c r="CB734" s="142">
        <v>0</v>
      </c>
      <c r="CC734" s="155">
        <v>0</v>
      </c>
      <c r="CD734" s="142">
        <v>0</v>
      </c>
      <c r="CE734" s="142">
        <v>0</v>
      </c>
      <c r="CF734" s="142">
        <v>1</v>
      </c>
      <c r="CG734" s="142">
        <v>0</v>
      </c>
      <c r="CH734" s="142">
        <v>0</v>
      </c>
      <c r="CI734" s="142">
        <v>0</v>
      </c>
      <c r="CJ734" s="142">
        <v>1</v>
      </c>
      <c r="CK734" s="142">
        <v>1</v>
      </c>
      <c r="CL734" s="142">
        <v>1</v>
      </c>
      <c r="CM734" s="142">
        <v>1</v>
      </c>
      <c r="CN734" s="155">
        <v>1</v>
      </c>
      <c r="CO734">
        <v>2.3E-2</v>
      </c>
      <c r="CP734">
        <v>13</v>
      </c>
      <c r="CQ734">
        <v>1</v>
      </c>
      <c r="CR734">
        <v>0</v>
      </c>
      <c r="CS734">
        <v>17</v>
      </c>
      <c r="CT734" s="157"/>
      <c r="CY734" s="157"/>
    </row>
    <row r="735" spans="1:103" x14ac:dyDescent="0.25">
      <c r="A735">
        <v>734</v>
      </c>
      <c r="B735">
        <v>46</v>
      </c>
      <c r="C735" s="25" t="s">
        <v>471</v>
      </c>
      <c r="D735" s="12">
        <v>8.5</v>
      </c>
      <c r="E735" s="14">
        <v>1.6</v>
      </c>
      <c r="F735" s="7">
        <f t="shared" ref="F735:F786" si="180">D735/E735</f>
        <v>5.3125</v>
      </c>
      <c r="G735" s="7">
        <f t="shared" si="173"/>
        <v>6.9</v>
      </c>
      <c r="H735" s="16">
        <f t="shared" si="174"/>
        <v>10.1</v>
      </c>
      <c r="I735" s="11">
        <f t="shared" si="177"/>
        <v>0.3708397595494462</v>
      </c>
      <c r="J735" s="33">
        <f t="shared" si="178"/>
        <v>6.9805131209307508E-2</v>
      </c>
      <c r="K735" s="33">
        <f t="shared" si="179"/>
        <v>14.325594446653865</v>
      </c>
      <c r="L735" s="8">
        <v>1</v>
      </c>
      <c r="M735" s="9">
        <v>0</v>
      </c>
      <c r="N735" s="8">
        <v>1</v>
      </c>
      <c r="O735" s="9">
        <v>0</v>
      </c>
      <c r="P735" s="9">
        <v>0</v>
      </c>
      <c r="Q735" s="9">
        <v>0</v>
      </c>
      <c r="R735" s="9">
        <v>0</v>
      </c>
      <c r="S735" s="8">
        <v>180</v>
      </c>
      <c r="T735" s="9">
        <v>2</v>
      </c>
      <c r="U735" s="9">
        <f t="shared" si="175"/>
        <v>177</v>
      </c>
      <c r="V735" s="9">
        <f t="shared" si="176"/>
        <v>14</v>
      </c>
      <c r="W735" s="7">
        <v>7.8</v>
      </c>
      <c r="X735" s="7">
        <f t="shared" ref="X735:X748" si="181">BL735-W735-7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v>0</v>
      </c>
      <c r="BF735" s="18">
        <v>0</v>
      </c>
      <c r="BG735">
        <v>1</v>
      </c>
      <c r="BH735">
        <v>0</v>
      </c>
      <c r="BI735" s="18">
        <v>0</v>
      </c>
      <c r="BJ735">
        <v>9167</v>
      </c>
      <c r="BK735" t="s">
        <v>98</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7"/>
        <v>0.34323574598937379</v>
      </c>
      <c r="J736" s="33">
        <f t="shared" si="178"/>
        <v>7.2037131874313015E-2</v>
      </c>
      <c r="K736" s="33">
        <f t="shared" si="179"/>
        <v>13.881729796582585</v>
      </c>
      <c r="L736" s="8">
        <v>1</v>
      </c>
      <c r="M736" s="9">
        <v>0</v>
      </c>
      <c r="N736" s="8">
        <v>1</v>
      </c>
      <c r="O736" s="9">
        <v>0</v>
      </c>
      <c r="P736" s="9">
        <v>0</v>
      </c>
      <c r="Q736" s="9">
        <v>0</v>
      </c>
      <c r="R736" s="9">
        <v>0</v>
      </c>
      <c r="S736" s="8">
        <v>180</v>
      </c>
      <c r="T736" s="9">
        <v>9</v>
      </c>
      <c r="U736" s="9">
        <f t="shared" si="175"/>
        <v>170</v>
      </c>
      <c r="V736" s="9">
        <f t="shared" si="176"/>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v>0</v>
      </c>
      <c r="BF736" s="18">
        <v>0</v>
      </c>
      <c r="BG736">
        <v>1</v>
      </c>
      <c r="BH736">
        <v>0</v>
      </c>
      <c r="BI736" s="18">
        <v>0</v>
      </c>
      <c r="BJ736">
        <v>9167</v>
      </c>
      <c r="BK736" t="s">
        <v>98</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80"/>
        <v>4.5625</v>
      </c>
      <c r="G737" s="7">
        <f t="shared" si="173"/>
        <v>5.6999999999999993</v>
      </c>
      <c r="H737" s="16">
        <f t="shared" si="174"/>
        <v>8.9</v>
      </c>
      <c r="I737" s="11">
        <f t="shared" si="177"/>
        <v>0.33115857421468636</v>
      </c>
      <c r="J737" s="33">
        <f t="shared" si="178"/>
        <v>7.2582701197739477E-2</v>
      </c>
      <c r="K737" s="33">
        <f t="shared" si="179"/>
        <v>13.777387497272478</v>
      </c>
      <c r="L737" s="8">
        <v>1</v>
      </c>
      <c r="M737" s="9">
        <v>0</v>
      </c>
      <c r="N737" s="8">
        <v>1</v>
      </c>
      <c r="O737" s="9">
        <v>0</v>
      </c>
      <c r="P737" s="9">
        <v>0</v>
      </c>
      <c r="Q737" s="9">
        <v>0</v>
      </c>
      <c r="R737" s="9">
        <v>0</v>
      </c>
      <c r="S737" s="8">
        <v>180</v>
      </c>
      <c r="T737" s="9">
        <v>10</v>
      </c>
      <c r="U737" s="9">
        <f t="shared" si="175"/>
        <v>169</v>
      </c>
      <c r="V737" s="9">
        <f t="shared" si="176"/>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v>0</v>
      </c>
      <c r="BF737" s="18">
        <v>0</v>
      </c>
      <c r="BG737">
        <v>1</v>
      </c>
      <c r="BH737">
        <v>0</v>
      </c>
      <c r="BI737" s="18">
        <v>0</v>
      </c>
      <c r="BJ737">
        <v>9167</v>
      </c>
      <c r="BK737" t="s">
        <v>98</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80"/>
        <v>3.7</v>
      </c>
      <c r="G738" s="7">
        <f t="shared" si="173"/>
        <v>5.4</v>
      </c>
      <c r="H738" s="16">
        <f t="shared" si="174"/>
        <v>9.4</v>
      </c>
      <c r="I738" s="11">
        <f t="shared" si="177"/>
        <v>0.27374382805481862</v>
      </c>
      <c r="J738" s="33">
        <f t="shared" si="178"/>
        <v>7.3984818393194207E-2</v>
      </c>
      <c r="K738" s="33">
        <f t="shared" si="179"/>
        <v>13.516286472252652</v>
      </c>
      <c r="L738" s="8">
        <v>1</v>
      </c>
      <c r="M738" s="9">
        <v>0</v>
      </c>
      <c r="N738" s="8">
        <v>1</v>
      </c>
      <c r="O738" s="9">
        <v>0</v>
      </c>
      <c r="P738" s="9">
        <v>0</v>
      </c>
      <c r="Q738" s="9">
        <v>0</v>
      </c>
      <c r="R738" s="9">
        <v>0</v>
      </c>
      <c r="S738" s="8">
        <v>180</v>
      </c>
      <c r="T738" s="9">
        <v>10</v>
      </c>
      <c r="U738" s="9">
        <f t="shared" si="175"/>
        <v>169</v>
      </c>
      <c r="V738" s="9">
        <f t="shared" si="176"/>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v>0</v>
      </c>
      <c r="BF738" s="18">
        <v>0</v>
      </c>
      <c r="BG738">
        <v>1</v>
      </c>
      <c r="BH738">
        <v>0</v>
      </c>
      <c r="BI738" s="18">
        <v>0</v>
      </c>
      <c r="BJ738">
        <v>9167</v>
      </c>
      <c r="BK738" t="s">
        <v>98</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7"/>
        <v>0.32484076433121012</v>
      </c>
      <c r="J739" s="33">
        <f t="shared" si="178"/>
        <v>2.5477707006369425E-2</v>
      </c>
      <c r="K739" s="33">
        <f t="shared" si="179"/>
        <v>39.25</v>
      </c>
      <c r="L739" s="8">
        <v>1</v>
      </c>
      <c r="M739" s="9">
        <v>0</v>
      </c>
      <c r="N739" s="8">
        <v>1</v>
      </c>
      <c r="O739" s="9">
        <v>0</v>
      </c>
      <c r="P739" s="9">
        <v>0</v>
      </c>
      <c r="Q739" s="9">
        <v>0</v>
      </c>
      <c r="R739" s="9">
        <v>0</v>
      </c>
      <c r="S739" s="8">
        <v>1381</v>
      </c>
      <c r="T739" s="9">
        <v>2</v>
      </c>
      <c r="U739" s="9">
        <f t="shared" si="175"/>
        <v>1378</v>
      </c>
      <c r="V739" s="9">
        <f t="shared" si="176"/>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v>0</v>
      </c>
      <c r="BF739" s="18">
        <v>0</v>
      </c>
      <c r="BG739">
        <v>1</v>
      </c>
      <c r="BH739">
        <v>0</v>
      </c>
      <c r="BI739" s="18">
        <v>0</v>
      </c>
      <c r="BJ739">
        <v>9167</v>
      </c>
      <c r="BK739" t="s">
        <v>98</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80"/>
        <v>11.625</v>
      </c>
      <c r="G740" s="7">
        <f t="shared" si="173"/>
        <v>8.5</v>
      </c>
      <c r="H740" s="16">
        <f t="shared" si="174"/>
        <v>10.100000000000001</v>
      </c>
      <c r="I740" s="11">
        <f t="shared" si="177"/>
        <v>0.29954370702335192</v>
      </c>
      <c r="J740" s="33">
        <f t="shared" si="178"/>
        <v>2.5767200604159306E-2</v>
      </c>
      <c r="K740" s="33">
        <f t="shared" si="179"/>
        <v>38.80902762244888</v>
      </c>
      <c r="L740" s="8">
        <v>1</v>
      </c>
      <c r="M740" s="9">
        <v>0</v>
      </c>
      <c r="N740" s="8">
        <v>1</v>
      </c>
      <c r="O740" s="9">
        <v>0</v>
      </c>
      <c r="P740" s="9">
        <v>0</v>
      </c>
      <c r="Q740" s="9">
        <v>0</v>
      </c>
      <c r="R740" s="9">
        <v>0</v>
      </c>
      <c r="S740" s="8">
        <v>1381</v>
      </c>
      <c r="T740" s="9">
        <v>9</v>
      </c>
      <c r="U740" s="9">
        <f t="shared" si="175"/>
        <v>1371</v>
      </c>
      <c r="V740" s="9">
        <f t="shared" si="176"/>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v>0</v>
      </c>
      <c r="BF740" s="18">
        <v>0</v>
      </c>
      <c r="BG740">
        <v>1</v>
      </c>
      <c r="BH740">
        <v>0</v>
      </c>
      <c r="BI740" s="18">
        <v>0</v>
      </c>
      <c r="BJ740">
        <v>9167</v>
      </c>
      <c r="BK740" t="s">
        <v>98</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80"/>
        <v>10.111111111111111</v>
      </c>
      <c r="G741" s="7">
        <f t="shared" si="173"/>
        <v>8.1999999999999993</v>
      </c>
      <c r="H741" s="16">
        <f t="shared" si="174"/>
        <v>10</v>
      </c>
      <c r="I741" s="11">
        <f t="shared" si="177"/>
        <v>0.26351805571440351</v>
      </c>
      <c r="J741" s="33">
        <f t="shared" si="178"/>
        <v>2.6062225290435514E-2</v>
      </c>
      <c r="K741" s="33">
        <f t="shared" si="179"/>
        <v>38.369708989008956</v>
      </c>
      <c r="L741" s="8">
        <v>1</v>
      </c>
      <c r="M741" s="9">
        <v>0</v>
      </c>
      <c r="N741" s="8">
        <v>1</v>
      </c>
      <c r="O741" s="9">
        <v>0</v>
      </c>
      <c r="P741" s="9">
        <v>0</v>
      </c>
      <c r="Q741" s="9">
        <v>0</v>
      </c>
      <c r="R741" s="9">
        <v>0</v>
      </c>
      <c r="S741" s="8">
        <v>1381</v>
      </c>
      <c r="T741" s="9">
        <v>10</v>
      </c>
      <c r="U741" s="9">
        <f t="shared" si="175"/>
        <v>1370</v>
      </c>
      <c r="V741" s="9">
        <f t="shared" si="176"/>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v>0</v>
      </c>
      <c r="BF741" s="18">
        <v>0</v>
      </c>
      <c r="BG741">
        <v>1</v>
      </c>
      <c r="BH741">
        <v>0</v>
      </c>
      <c r="BI741" s="18">
        <v>0</v>
      </c>
      <c r="BJ741">
        <v>9167</v>
      </c>
      <c r="BK741" t="s">
        <v>98</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80"/>
        <v>11.25</v>
      </c>
      <c r="G742" s="7">
        <f t="shared" si="173"/>
        <v>8.1999999999999993</v>
      </c>
      <c r="H742" s="16">
        <f t="shared" si="174"/>
        <v>9.8000000000000007</v>
      </c>
      <c r="I742" s="11">
        <f t="shared" si="177"/>
        <v>0.29080715862584822</v>
      </c>
      <c r="J742" s="33">
        <f t="shared" si="178"/>
        <v>2.5849525211186511E-2</v>
      </c>
      <c r="K742" s="33">
        <f t="shared" si="179"/>
        <v>38.685430073866307</v>
      </c>
      <c r="L742" s="8">
        <v>1</v>
      </c>
      <c r="M742" s="9">
        <v>0</v>
      </c>
      <c r="N742" s="8">
        <v>1</v>
      </c>
      <c r="O742" s="9">
        <v>0</v>
      </c>
      <c r="P742" s="9">
        <v>0</v>
      </c>
      <c r="Q742" s="9">
        <v>0</v>
      </c>
      <c r="R742" s="9">
        <v>0</v>
      </c>
      <c r="S742" s="8">
        <v>1381</v>
      </c>
      <c r="T742" s="9">
        <v>10</v>
      </c>
      <c r="U742" s="9">
        <f t="shared" si="175"/>
        <v>1370</v>
      </c>
      <c r="V742" s="9">
        <f t="shared" si="176"/>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v>0</v>
      </c>
      <c r="BF742" s="18">
        <v>0</v>
      </c>
      <c r="BG742">
        <v>1</v>
      </c>
      <c r="BH742">
        <v>0</v>
      </c>
      <c r="BI742" s="18">
        <v>0</v>
      </c>
      <c r="BJ742">
        <v>9167</v>
      </c>
      <c r="BK742" t="s">
        <v>98</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80"/>
        <v>4.2666666666666666</v>
      </c>
      <c r="G743" s="7">
        <f t="shared" si="173"/>
        <v>4.9000000000000004</v>
      </c>
      <c r="H743" s="16">
        <f t="shared" si="174"/>
        <v>7.9</v>
      </c>
      <c r="I743" s="11">
        <f t="shared" si="177"/>
        <v>0.2388109576210887</v>
      </c>
      <c r="J743" s="33">
        <f t="shared" si="178"/>
        <v>5.5971318192442665E-2</v>
      </c>
      <c r="K743" s="33">
        <f t="shared" si="179"/>
        <v>17.866293528441886</v>
      </c>
      <c r="L743" s="8">
        <v>1</v>
      </c>
      <c r="M743" s="9">
        <v>0</v>
      </c>
      <c r="N743" s="8">
        <v>1</v>
      </c>
      <c r="O743" s="9">
        <v>0</v>
      </c>
      <c r="P743" s="9">
        <v>0</v>
      </c>
      <c r="Q743" s="9">
        <v>0</v>
      </c>
      <c r="R743" s="9">
        <v>0</v>
      </c>
      <c r="S743" s="8">
        <v>304</v>
      </c>
      <c r="T743" s="9">
        <v>2</v>
      </c>
      <c r="U743" s="9">
        <f t="shared" si="175"/>
        <v>301</v>
      </c>
      <c r="V743" s="9">
        <f t="shared" si="176"/>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v>0</v>
      </c>
      <c r="BF743" s="18">
        <v>0</v>
      </c>
      <c r="BG743">
        <v>1</v>
      </c>
      <c r="BH743">
        <v>0</v>
      </c>
      <c r="BI743" s="18">
        <v>0</v>
      </c>
      <c r="BJ743">
        <v>9167</v>
      </c>
      <c r="BK743" t="s">
        <v>98</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80"/>
        <v>3.6875</v>
      </c>
      <c r="G744" s="7">
        <f t="shared" si="173"/>
        <v>4.3000000000000007</v>
      </c>
      <c r="H744" s="16">
        <f t="shared" si="174"/>
        <v>7.5</v>
      </c>
      <c r="I744" s="11">
        <f t="shared" si="177"/>
        <v>0.21059478558883832</v>
      </c>
      <c r="J744" s="33">
        <f t="shared" si="178"/>
        <v>5.7110450329176492E-2</v>
      </c>
      <c r="K744" s="33">
        <f t="shared" si="179"/>
        <v>17.509930218307552</v>
      </c>
      <c r="L744" s="8">
        <v>1</v>
      </c>
      <c r="M744" s="9">
        <v>0</v>
      </c>
      <c r="N744" s="8">
        <v>1</v>
      </c>
      <c r="O744" s="9">
        <v>0</v>
      </c>
      <c r="P744" s="9">
        <v>0</v>
      </c>
      <c r="Q744" s="9">
        <v>0</v>
      </c>
      <c r="R744" s="9">
        <v>0</v>
      </c>
      <c r="S744" s="8">
        <v>304</v>
      </c>
      <c r="T744" s="9">
        <v>10</v>
      </c>
      <c r="U744" s="9">
        <f t="shared" si="175"/>
        <v>293</v>
      </c>
      <c r="V744" s="9">
        <f t="shared" si="176"/>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v>0</v>
      </c>
      <c r="BF744" s="18">
        <v>0</v>
      </c>
      <c r="BG744">
        <v>1</v>
      </c>
      <c r="BH744">
        <v>0</v>
      </c>
      <c r="BI744" s="18">
        <v>0</v>
      </c>
      <c r="BJ744">
        <v>9167</v>
      </c>
      <c r="BK744" t="s">
        <v>98</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80"/>
        <v>2.2666666666666666</v>
      </c>
      <c r="G745" s="7">
        <f t="shared" si="173"/>
        <v>1.9</v>
      </c>
      <c r="H745" s="16">
        <f t="shared" si="174"/>
        <v>4.9000000000000004</v>
      </c>
      <c r="I745" s="11">
        <f t="shared" si="177"/>
        <v>0.13127413127413129</v>
      </c>
      <c r="J745" s="33">
        <f t="shared" si="178"/>
        <v>5.7915057915057917E-2</v>
      </c>
      <c r="K745" s="33">
        <f t="shared" si="179"/>
        <v>17.266666666666666</v>
      </c>
      <c r="L745" s="8">
        <v>1</v>
      </c>
      <c r="M745" s="9">
        <v>0</v>
      </c>
      <c r="N745" s="8">
        <v>1</v>
      </c>
      <c r="O745" s="9">
        <v>0</v>
      </c>
      <c r="P745" s="9">
        <v>0</v>
      </c>
      <c r="Q745" s="9">
        <v>0</v>
      </c>
      <c r="R745" s="9">
        <v>0</v>
      </c>
      <c r="S745" s="8">
        <v>304</v>
      </c>
      <c r="T745" s="9">
        <v>10</v>
      </c>
      <c r="U745" s="9">
        <f t="shared" si="175"/>
        <v>293</v>
      </c>
      <c r="V745" s="9">
        <f t="shared" si="176"/>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v>0</v>
      </c>
      <c r="BF745" s="18">
        <v>0</v>
      </c>
      <c r="BG745">
        <v>1</v>
      </c>
      <c r="BH745">
        <v>0</v>
      </c>
      <c r="BI745" s="18">
        <v>0</v>
      </c>
      <c r="BJ745">
        <v>9167</v>
      </c>
      <c r="BK745" t="s">
        <v>98</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80"/>
        <v>6.333333333333333</v>
      </c>
      <c r="G746" s="7">
        <f t="shared" si="173"/>
        <v>4.8</v>
      </c>
      <c r="H746" s="16">
        <f t="shared" si="174"/>
        <v>6.6000000000000005</v>
      </c>
      <c r="I746" s="11">
        <f t="shared" si="177"/>
        <v>0.14776263744368376</v>
      </c>
      <c r="J746" s="33">
        <f t="shared" si="178"/>
        <v>2.3330942754265858E-2</v>
      </c>
      <c r="K746" s="33">
        <f t="shared" si="179"/>
        <v>42.861534166559075</v>
      </c>
      <c r="L746" s="8">
        <v>1</v>
      </c>
      <c r="M746" s="9">
        <v>0</v>
      </c>
      <c r="N746" s="8">
        <v>1</v>
      </c>
      <c r="O746" s="9">
        <v>0</v>
      </c>
      <c r="P746" s="9">
        <v>0</v>
      </c>
      <c r="Q746" s="9">
        <v>0</v>
      </c>
      <c r="R746" s="9">
        <v>0</v>
      </c>
      <c r="S746" s="8">
        <v>1800</v>
      </c>
      <c r="T746" s="9">
        <v>2</v>
      </c>
      <c r="U746" s="9">
        <f t="shared" si="175"/>
        <v>1797</v>
      </c>
      <c r="V746" s="9">
        <f t="shared" si="176"/>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v>0</v>
      </c>
      <c r="BF746" s="18">
        <v>0</v>
      </c>
      <c r="BG746">
        <v>1</v>
      </c>
      <c r="BH746">
        <v>0</v>
      </c>
      <c r="BI746" s="18">
        <v>0</v>
      </c>
      <c r="BJ746">
        <v>9167</v>
      </c>
      <c r="BK746" t="s">
        <v>98</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80"/>
        <v>8.1428571428571441</v>
      </c>
      <c r="G747" s="7">
        <f t="shared" si="173"/>
        <v>5</v>
      </c>
      <c r="H747" s="16">
        <f t="shared" si="174"/>
        <v>6.4</v>
      </c>
      <c r="I747" s="11">
        <f t="shared" si="177"/>
        <v>0.18904666781928181</v>
      </c>
      <c r="J747" s="33">
        <f t="shared" si="178"/>
        <v>2.3216257451490741E-2</v>
      </c>
      <c r="K747" s="33">
        <f t="shared" si="179"/>
        <v>43.073264590102525</v>
      </c>
      <c r="L747" s="8">
        <v>1</v>
      </c>
      <c r="M747" s="9">
        <v>0</v>
      </c>
      <c r="N747" s="8">
        <v>1</v>
      </c>
      <c r="O747" s="9">
        <v>0</v>
      </c>
      <c r="P747" s="9">
        <v>0</v>
      </c>
      <c r="Q747" s="9">
        <v>0</v>
      </c>
      <c r="R747" s="9">
        <v>0</v>
      </c>
      <c r="S747" s="8">
        <v>1800</v>
      </c>
      <c r="T747" s="9">
        <v>10</v>
      </c>
      <c r="U747" s="9">
        <f t="shared" si="175"/>
        <v>1789</v>
      </c>
      <c r="V747" s="9">
        <f t="shared" si="176"/>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v>0</v>
      </c>
      <c r="BF747" s="18">
        <v>0</v>
      </c>
      <c r="BG747">
        <v>1</v>
      </c>
      <c r="BH747">
        <v>0</v>
      </c>
      <c r="BI747" s="18">
        <v>0</v>
      </c>
      <c r="BJ747">
        <v>9167</v>
      </c>
      <c r="BK747" t="s">
        <v>98</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2" customFormat="1" x14ac:dyDescent="0.25">
      <c r="A748" s="142">
        <v>747</v>
      </c>
      <c r="B748" s="142">
        <v>46</v>
      </c>
      <c r="C748" s="143" t="s">
        <v>471</v>
      </c>
      <c r="D748" s="144">
        <v>4.3</v>
      </c>
      <c r="E748" s="145">
        <v>0.8</v>
      </c>
      <c r="F748" s="146">
        <f t="shared" si="180"/>
        <v>5.3749999999999991</v>
      </c>
      <c r="G748" s="146">
        <f t="shared" si="173"/>
        <v>3.5</v>
      </c>
      <c r="H748" s="147">
        <f t="shared" si="174"/>
        <v>5.0999999999999996</v>
      </c>
      <c r="I748" s="11">
        <f t="shared" si="177"/>
        <v>0.12606501899983297</v>
      </c>
      <c r="J748" s="33">
        <f t="shared" si="178"/>
        <v>2.3453957023224743E-2</v>
      </c>
      <c r="K748" s="33">
        <f t="shared" si="179"/>
        <v>42.636728591673162</v>
      </c>
      <c r="L748" s="149">
        <v>1</v>
      </c>
      <c r="M748" s="150">
        <v>0</v>
      </c>
      <c r="N748" s="149">
        <v>1</v>
      </c>
      <c r="O748" s="150">
        <v>0</v>
      </c>
      <c r="P748" s="150">
        <v>0</v>
      </c>
      <c r="Q748" s="150">
        <v>0</v>
      </c>
      <c r="R748" s="150">
        <v>0</v>
      </c>
      <c r="S748" s="149">
        <v>1800</v>
      </c>
      <c r="T748" s="150">
        <v>10</v>
      </c>
      <c r="U748" s="150">
        <f t="shared" si="175"/>
        <v>1789</v>
      </c>
      <c r="V748" s="150">
        <f t="shared" si="176"/>
        <v>14</v>
      </c>
      <c r="W748" s="146">
        <v>8.75</v>
      </c>
      <c r="X748" s="146">
        <f t="shared" si="181"/>
        <v>18.43</v>
      </c>
      <c r="Y748" s="150">
        <v>1</v>
      </c>
      <c r="Z748" s="150">
        <v>0</v>
      </c>
      <c r="AA748" s="150">
        <v>1</v>
      </c>
      <c r="AB748" s="150">
        <v>0</v>
      </c>
      <c r="AC748" s="150">
        <v>0</v>
      </c>
      <c r="AD748" s="150">
        <v>0</v>
      </c>
      <c r="AE748" s="149">
        <v>0</v>
      </c>
      <c r="AF748" s="150">
        <v>0</v>
      </c>
      <c r="AG748" s="151">
        <v>1</v>
      </c>
      <c r="AH748" s="150">
        <v>1</v>
      </c>
      <c r="AI748" s="151">
        <v>0</v>
      </c>
      <c r="AJ748" s="152">
        <v>1960</v>
      </c>
      <c r="AK748" s="33">
        <v>0.33</v>
      </c>
      <c r="AL748" s="33">
        <v>0.36</v>
      </c>
      <c r="AM748" s="33">
        <v>0.26</v>
      </c>
      <c r="AN748" s="43">
        <v>0.05</v>
      </c>
      <c r="AO748" s="154">
        <f t="shared" si="182"/>
        <v>0.97</v>
      </c>
      <c r="AP748" s="155">
        <v>0.03</v>
      </c>
      <c r="AQ748" s="142">
        <v>1</v>
      </c>
      <c r="AR748" s="156">
        <v>0</v>
      </c>
      <c r="AS748" s="142" t="s">
        <v>98</v>
      </c>
      <c r="AT748" s="156" t="s">
        <v>98</v>
      </c>
      <c r="AU748">
        <v>1</v>
      </c>
      <c r="AV748" s="155">
        <v>0</v>
      </c>
      <c r="AW748" s="142">
        <v>0</v>
      </c>
      <c r="AX748" s="155">
        <v>1</v>
      </c>
      <c r="AY748" s="155" t="s">
        <v>472</v>
      </c>
      <c r="AZ748">
        <v>1</v>
      </c>
      <c r="BA748">
        <v>0</v>
      </c>
      <c r="BB748">
        <v>0</v>
      </c>
      <c r="BC748">
        <v>0</v>
      </c>
      <c r="BD748">
        <v>0</v>
      </c>
      <c r="BE748">
        <v>0</v>
      </c>
      <c r="BF748" s="155">
        <v>0</v>
      </c>
      <c r="BG748">
        <v>1</v>
      </c>
      <c r="BH748">
        <v>0</v>
      </c>
      <c r="BI748" s="155">
        <v>0</v>
      </c>
      <c r="BJ748">
        <v>9167</v>
      </c>
      <c r="BK748" t="s">
        <v>98</v>
      </c>
      <c r="BL748" s="143">
        <v>34.18</v>
      </c>
      <c r="BM748" s="142">
        <v>1</v>
      </c>
      <c r="BN748" s="142">
        <v>0</v>
      </c>
      <c r="BO748" s="142">
        <v>0</v>
      </c>
      <c r="BP748" s="142">
        <v>0</v>
      </c>
      <c r="BQ748" s="142">
        <v>0</v>
      </c>
      <c r="BR748" s="142">
        <v>0</v>
      </c>
      <c r="BS748" s="142">
        <v>0</v>
      </c>
      <c r="BT748" s="155">
        <v>0</v>
      </c>
      <c r="BU748" s="142">
        <v>0</v>
      </c>
      <c r="BV748" s="142">
        <v>0</v>
      </c>
      <c r="BW748" s="142">
        <v>1</v>
      </c>
      <c r="BX748" s="155">
        <v>0</v>
      </c>
      <c r="BY748" s="142">
        <v>0</v>
      </c>
      <c r="BZ748" s="142">
        <v>0</v>
      </c>
      <c r="CA748" s="142">
        <v>0</v>
      </c>
      <c r="CB748" s="142">
        <v>0</v>
      </c>
      <c r="CC748" s="155">
        <v>0</v>
      </c>
      <c r="CD748" s="142">
        <v>0</v>
      </c>
      <c r="CE748" s="142">
        <v>0</v>
      </c>
      <c r="CF748" s="142">
        <v>1</v>
      </c>
      <c r="CG748" s="142">
        <v>0</v>
      </c>
      <c r="CH748" s="142">
        <v>1</v>
      </c>
      <c r="CI748" s="142">
        <v>0</v>
      </c>
      <c r="CJ748" s="142">
        <v>0</v>
      </c>
      <c r="CK748" s="142">
        <v>0</v>
      </c>
      <c r="CL748" s="142">
        <v>0</v>
      </c>
      <c r="CM748" s="142">
        <v>0</v>
      </c>
      <c r="CN748" s="155">
        <v>1</v>
      </c>
      <c r="CO748">
        <v>0.29799999999999999</v>
      </c>
      <c r="CP748">
        <v>21</v>
      </c>
      <c r="CQ748">
        <v>1</v>
      </c>
      <c r="CR748">
        <v>0</v>
      </c>
      <c r="CS748">
        <v>20</v>
      </c>
      <c r="CT748" s="157"/>
      <c r="CY748" s="157"/>
    </row>
    <row r="749" spans="1:103"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7"/>
        <v>0.56442779993810444</v>
      </c>
      <c r="J749" s="33">
        <f t="shared" si="178"/>
        <v>1.2270169563871839E-2</v>
      </c>
      <c r="K749" s="33">
        <f t="shared" si="179"/>
        <v>81.498466243236749</v>
      </c>
      <c r="L749" s="8">
        <v>0</v>
      </c>
      <c r="M749" s="9">
        <v>1</v>
      </c>
      <c r="N749" s="8">
        <v>0</v>
      </c>
      <c r="O749" s="9">
        <v>0</v>
      </c>
      <c r="P749" s="9">
        <v>1</v>
      </c>
      <c r="Q749" s="9">
        <v>0</v>
      </c>
      <c r="R749" s="9">
        <v>0</v>
      </c>
      <c r="S749" s="8">
        <v>4530</v>
      </c>
      <c r="T749" s="9">
        <v>3</v>
      </c>
      <c r="U749" s="9">
        <f t="shared" si="175"/>
        <v>4526</v>
      </c>
      <c r="V749" s="9">
        <f t="shared" si="176"/>
        <v>9</v>
      </c>
      <c r="W749" s="7">
        <f t="shared" ref="W749:W757" si="183">(0*AK749+9*AL749+15*AM749+18*AN749)</f>
        <v>10.29</v>
      </c>
      <c r="X749" s="7">
        <f t="shared" ref="X749:X757" si="184">BL749-W749-6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v>0</v>
      </c>
      <c r="BF749" s="18">
        <v>1</v>
      </c>
      <c r="BG749">
        <v>0</v>
      </c>
      <c r="BH749">
        <v>0</v>
      </c>
      <c r="BI749" s="18">
        <v>1</v>
      </c>
      <c r="BJ749">
        <v>430</v>
      </c>
      <c r="BK749">
        <v>26</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80"/>
        <v>40</v>
      </c>
      <c r="G750" s="7">
        <f t="shared" si="173"/>
        <v>15.6</v>
      </c>
      <c r="H750" s="16">
        <f t="shared" si="174"/>
        <v>16.399999999999999</v>
      </c>
      <c r="I750" s="11">
        <f t="shared" si="177"/>
        <v>0.36366641995444088</v>
      </c>
      <c r="J750" s="33">
        <f t="shared" si="178"/>
        <v>9.0916604988610216E-3</v>
      </c>
      <c r="K750" s="33">
        <f t="shared" si="179"/>
        <v>109.99090871522064</v>
      </c>
      <c r="L750" s="8">
        <v>0</v>
      </c>
      <c r="M750" s="9">
        <v>1</v>
      </c>
      <c r="N750" s="8">
        <v>0</v>
      </c>
      <c r="O750" s="9">
        <v>0</v>
      </c>
      <c r="P750" s="9">
        <v>1</v>
      </c>
      <c r="Q750" s="9">
        <v>0</v>
      </c>
      <c r="R750" s="9">
        <v>0</v>
      </c>
      <c r="S750" s="8">
        <v>10502</v>
      </c>
      <c r="T750" s="9">
        <v>3</v>
      </c>
      <c r="U750" s="9">
        <f t="shared" si="175"/>
        <v>10498</v>
      </c>
      <c r="V750" s="9">
        <f t="shared" si="176"/>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v>0</v>
      </c>
      <c r="BF750" s="18">
        <v>1</v>
      </c>
      <c r="BG750">
        <v>0</v>
      </c>
      <c r="BH750">
        <v>0</v>
      </c>
      <c r="BI750" s="18">
        <v>1</v>
      </c>
      <c r="BJ750">
        <v>510</v>
      </c>
      <c r="BK750">
        <v>49</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7"/>
        <v>0.32424493852851566</v>
      </c>
      <c r="J751" s="33">
        <f t="shared" si="178"/>
        <v>7.9084131348418473E-3</v>
      </c>
      <c r="K751" s="33">
        <f t="shared" si="179"/>
        <v>126.44761761298628</v>
      </c>
      <c r="L751" s="8">
        <v>0</v>
      </c>
      <c r="M751" s="9">
        <v>1</v>
      </c>
      <c r="N751" s="8">
        <v>0</v>
      </c>
      <c r="O751" s="9">
        <v>0</v>
      </c>
      <c r="P751" s="9">
        <v>1</v>
      </c>
      <c r="Q751" s="9">
        <v>0</v>
      </c>
      <c r="R751" s="9">
        <v>0</v>
      </c>
      <c r="S751" s="8">
        <v>14312</v>
      </c>
      <c r="T751" s="9">
        <v>3</v>
      </c>
      <c r="U751" s="9">
        <f t="shared" si="175"/>
        <v>14308</v>
      </c>
      <c r="V751" s="9">
        <f t="shared" si="176"/>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v>0</v>
      </c>
      <c r="BF751" s="18">
        <v>1</v>
      </c>
      <c r="BG751">
        <v>0</v>
      </c>
      <c r="BH751">
        <v>0</v>
      </c>
      <c r="BI751" s="18">
        <v>1</v>
      </c>
      <c r="BJ751">
        <v>571</v>
      </c>
      <c r="BK751">
        <v>83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80"/>
        <v>23.999999999999996</v>
      </c>
      <c r="G752" s="7">
        <f t="shared" si="173"/>
        <v>9.1999999999999993</v>
      </c>
      <c r="H752" s="16">
        <f t="shared" si="174"/>
        <v>10</v>
      </c>
      <c r="I752" s="11">
        <f t="shared" si="177"/>
        <v>0.26153475390982339</v>
      </c>
      <c r="J752" s="33">
        <f t="shared" si="178"/>
        <v>1.0897281412909309E-2</v>
      </c>
      <c r="K752" s="33">
        <f t="shared" si="179"/>
        <v>91.766006778109286</v>
      </c>
      <c r="L752" s="8">
        <v>0</v>
      </c>
      <c r="M752" s="9">
        <v>1</v>
      </c>
      <c r="N752" s="8">
        <v>0</v>
      </c>
      <c r="O752" s="9">
        <v>0</v>
      </c>
      <c r="P752" s="9">
        <v>1</v>
      </c>
      <c r="Q752" s="9">
        <v>0</v>
      </c>
      <c r="R752" s="9">
        <v>0</v>
      </c>
      <c r="S752" s="8">
        <v>7860</v>
      </c>
      <c r="T752" s="9">
        <v>14</v>
      </c>
      <c r="U752" s="9">
        <f t="shared" si="175"/>
        <v>7845</v>
      </c>
      <c r="V752" s="9">
        <f t="shared" si="176"/>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v>0</v>
      </c>
      <c r="BF752" s="18">
        <v>1</v>
      </c>
      <c r="BG752">
        <v>0</v>
      </c>
      <c r="BH752">
        <v>0</v>
      </c>
      <c r="BI752" s="18">
        <v>1</v>
      </c>
      <c r="BJ752">
        <v>430</v>
      </c>
      <c r="BK752">
        <v>26</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80"/>
        <v>22.25</v>
      </c>
      <c r="G753" s="7">
        <f t="shared" si="173"/>
        <v>8.5</v>
      </c>
      <c r="H753" s="16">
        <f t="shared" si="174"/>
        <v>9.3000000000000007</v>
      </c>
      <c r="I753" s="11">
        <f t="shared" si="177"/>
        <v>0.21231860878491449</v>
      </c>
      <c r="J753" s="33">
        <f t="shared" si="178"/>
        <v>9.5424093835916619E-3</v>
      </c>
      <c r="K753" s="33">
        <f t="shared" si="179"/>
        <v>104.79533625119011</v>
      </c>
      <c r="L753" s="8">
        <v>0</v>
      </c>
      <c r="M753" s="9">
        <v>1</v>
      </c>
      <c r="N753" s="8">
        <v>0</v>
      </c>
      <c r="O753" s="9">
        <v>0</v>
      </c>
      <c r="P753" s="9">
        <v>1</v>
      </c>
      <c r="Q753" s="9">
        <v>0</v>
      </c>
      <c r="R753" s="9">
        <v>0</v>
      </c>
      <c r="S753" s="8">
        <v>10502</v>
      </c>
      <c r="T753" s="9">
        <v>14</v>
      </c>
      <c r="U753" s="9">
        <f t="shared" si="175"/>
        <v>10487</v>
      </c>
      <c r="V753" s="9">
        <f t="shared" si="176"/>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v>0</v>
      </c>
      <c r="BF753" s="18">
        <v>1</v>
      </c>
      <c r="BG753">
        <v>0</v>
      </c>
      <c r="BH753">
        <v>0</v>
      </c>
      <c r="BI753" s="18">
        <v>1</v>
      </c>
      <c r="BJ753">
        <v>510</v>
      </c>
      <c r="BK753">
        <v>49</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80"/>
        <v>36.000000000000007</v>
      </c>
      <c r="G754" s="7">
        <f t="shared" si="173"/>
        <v>10.5</v>
      </c>
      <c r="H754" s="16">
        <f t="shared" si="174"/>
        <v>11.100000000000001</v>
      </c>
      <c r="I754" s="11">
        <f t="shared" si="177"/>
        <v>0.28829536575931408</v>
      </c>
      <c r="J754" s="33">
        <f t="shared" si="178"/>
        <v>8.0082046044253896E-3</v>
      </c>
      <c r="K754" s="33">
        <f t="shared" si="179"/>
        <v>124.87193439680513</v>
      </c>
      <c r="L754" s="8">
        <v>0</v>
      </c>
      <c r="M754" s="9">
        <v>1</v>
      </c>
      <c r="N754" s="8">
        <v>0</v>
      </c>
      <c r="O754" s="9">
        <v>0</v>
      </c>
      <c r="P754" s="9">
        <v>1</v>
      </c>
      <c r="Q754" s="9">
        <v>0</v>
      </c>
      <c r="R754" s="9">
        <v>0</v>
      </c>
      <c r="S754" s="8">
        <v>14312</v>
      </c>
      <c r="T754" s="9">
        <v>14</v>
      </c>
      <c r="U754" s="9">
        <f t="shared" si="175"/>
        <v>14297</v>
      </c>
      <c r="V754" s="9">
        <f t="shared" si="176"/>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v>0</v>
      </c>
      <c r="BF754" s="18">
        <v>1</v>
      </c>
      <c r="BG754">
        <v>0</v>
      </c>
      <c r="BH754">
        <v>0</v>
      </c>
      <c r="BI754" s="18">
        <v>1</v>
      </c>
      <c r="BJ754">
        <v>571</v>
      </c>
      <c r="BK754">
        <v>83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80"/>
        <v>15.428571428571431</v>
      </c>
      <c r="G755" s="7">
        <f t="shared" si="173"/>
        <v>10.100000000000001</v>
      </c>
      <c r="H755" s="16">
        <f t="shared" si="174"/>
        <v>11.5</v>
      </c>
      <c r="I755" s="11">
        <f t="shared" si="177"/>
        <v>0.17160831599091331</v>
      </c>
      <c r="J755" s="33">
        <f t="shared" si="178"/>
        <v>1.1122761221633269E-2</v>
      </c>
      <c r="K755" s="33">
        <f t="shared" si="179"/>
        <v>89.905732944715666</v>
      </c>
      <c r="L755" s="8">
        <v>0</v>
      </c>
      <c r="M755" s="9">
        <v>1</v>
      </c>
      <c r="N755" s="8">
        <v>0</v>
      </c>
      <c r="O755" s="9">
        <v>0</v>
      </c>
      <c r="P755" s="9">
        <v>1</v>
      </c>
      <c r="Q755" s="9">
        <v>0</v>
      </c>
      <c r="R755" s="9">
        <v>0</v>
      </c>
      <c r="S755" s="8">
        <v>7860</v>
      </c>
      <c r="T755" s="9">
        <v>14</v>
      </c>
      <c r="U755" s="9">
        <f t="shared" si="175"/>
        <v>7845</v>
      </c>
      <c r="V755" s="9">
        <f t="shared" si="176"/>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v>0</v>
      </c>
      <c r="BF755" s="18">
        <v>1</v>
      </c>
      <c r="BG755">
        <v>0</v>
      </c>
      <c r="BH755">
        <v>0</v>
      </c>
      <c r="BI755" s="18">
        <v>1</v>
      </c>
      <c r="BJ755">
        <v>430</v>
      </c>
      <c r="BK755">
        <v>26</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80"/>
        <v>12.3</v>
      </c>
      <c r="G756" s="7">
        <f t="shared" si="173"/>
        <v>11.3</v>
      </c>
      <c r="H756" s="16">
        <f t="shared" si="174"/>
        <v>13.3</v>
      </c>
      <c r="I756" s="11">
        <f t="shared" si="177"/>
        <v>0.11925296861604824</v>
      </c>
      <c r="J756" s="33">
        <f t="shared" si="178"/>
        <v>9.6953633021177425E-3</v>
      </c>
      <c r="K756" s="33">
        <f t="shared" si="179"/>
        <v>103.14208646328618</v>
      </c>
      <c r="L756" s="8">
        <v>0</v>
      </c>
      <c r="M756" s="9">
        <v>1</v>
      </c>
      <c r="N756" s="8">
        <v>0</v>
      </c>
      <c r="O756" s="9">
        <v>0</v>
      </c>
      <c r="P756" s="9">
        <v>1</v>
      </c>
      <c r="Q756" s="9">
        <v>0</v>
      </c>
      <c r="R756" s="9">
        <v>0</v>
      </c>
      <c r="S756" s="8">
        <v>10502</v>
      </c>
      <c r="T756" s="9">
        <v>14</v>
      </c>
      <c r="U756" s="9">
        <f t="shared" si="175"/>
        <v>10487</v>
      </c>
      <c r="V756" s="9">
        <f t="shared" si="176"/>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v>0</v>
      </c>
      <c r="BF756" s="18">
        <v>1</v>
      </c>
      <c r="BG756">
        <v>0</v>
      </c>
      <c r="BH756">
        <v>0</v>
      </c>
      <c r="BI756" s="18">
        <v>1</v>
      </c>
      <c r="BJ756">
        <v>510</v>
      </c>
      <c r="BK756">
        <v>49</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2" customFormat="1" x14ac:dyDescent="0.25">
      <c r="A757" s="142">
        <v>756</v>
      </c>
      <c r="B757" s="142">
        <v>47</v>
      </c>
      <c r="C757" s="143" t="s">
        <v>473</v>
      </c>
      <c r="D757" s="144">
        <v>17.399999999999999</v>
      </c>
      <c r="E757" s="145">
        <v>1</v>
      </c>
      <c r="F757" s="146">
        <f t="shared" si="180"/>
        <v>17.399999999999999</v>
      </c>
      <c r="G757" s="146">
        <f t="shared" si="173"/>
        <v>16.399999999999999</v>
      </c>
      <c r="H757" s="147">
        <f t="shared" si="174"/>
        <v>18.399999999999999</v>
      </c>
      <c r="I757" s="11">
        <f t="shared" si="177"/>
        <v>0.14400460822119579</v>
      </c>
      <c r="J757" s="33">
        <f t="shared" si="178"/>
        <v>8.2761269092641258E-3</v>
      </c>
      <c r="K757" s="33">
        <f t="shared" si="179"/>
        <v>120.82946660479803</v>
      </c>
      <c r="L757" s="149">
        <v>0</v>
      </c>
      <c r="M757" s="150">
        <v>1</v>
      </c>
      <c r="N757" s="149">
        <v>0</v>
      </c>
      <c r="O757" s="150">
        <v>0</v>
      </c>
      <c r="P757" s="150">
        <v>1</v>
      </c>
      <c r="Q757" s="150">
        <v>0</v>
      </c>
      <c r="R757" s="150">
        <v>0</v>
      </c>
      <c r="S757" s="149">
        <v>14312</v>
      </c>
      <c r="T757" s="150">
        <v>14</v>
      </c>
      <c r="U757" s="150">
        <f t="shared" si="175"/>
        <v>14297</v>
      </c>
      <c r="V757" s="150">
        <f t="shared" si="176"/>
        <v>9</v>
      </c>
      <c r="W757" s="146">
        <f t="shared" si="183"/>
        <v>11.01</v>
      </c>
      <c r="X757" s="146">
        <f t="shared" si="184"/>
        <v>22.490000000000002</v>
      </c>
      <c r="Y757" s="150">
        <v>1</v>
      </c>
      <c r="Z757" s="150">
        <v>0</v>
      </c>
      <c r="AA757" s="150">
        <v>0</v>
      </c>
      <c r="AB757" s="150">
        <v>0</v>
      </c>
      <c r="AC757" s="150">
        <v>1</v>
      </c>
      <c r="AD757" s="150">
        <v>0</v>
      </c>
      <c r="AE757" s="149">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5"/>
        <v>0.59000000000000008</v>
      </c>
      <c r="AR757" s="156">
        <v>0.41</v>
      </c>
      <c r="AS757" s="169">
        <f t="shared" si="186"/>
        <v>0.79889999999999994</v>
      </c>
      <c r="AT757" s="156">
        <v>0.2011</v>
      </c>
      <c r="AU757">
        <v>0</v>
      </c>
      <c r="AV757" s="155">
        <v>1</v>
      </c>
      <c r="AW757" s="142">
        <v>0.1943</v>
      </c>
      <c r="AX757" s="155">
        <f t="shared" si="187"/>
        <v>0.80569999999999997</v>
      </c>
      <c r="AY757" s="155" t="s">
        <v>474</v>
      </c>
      <c r="AZ757">
        <v>0</v>
      </c>
      <c r="BA757">
        <v>0</v>
      </c>
      <c r="BB757">
        <v>0</v>
      </c>
      <c r="BC757">
        <v>0</v>
      </c>
      <c r="BD757">
        <v>0</v>
      </c>
      <c r="BE757">
        <v>0</v>
      </c>
      <c r="BF757" s="155">
        <v>1</v>
      </c>
      <c r="BG757">
        <v>0</v>
      </c>
      <c r="BH757">
        <v>0</v>
      </c>
      <c r="BI757" s="155">
        <v>1</v>
      </c>
      <c r="BJ757">
        <v>571</v>
      </c>
      <c r="BK757">
        <v>83</v>
      </c>
      <c r="BL757" s="143">
        <v>39.5</v>
      </c>
      <c r="BM757" s="142">
        <v>1</v>
      </c>
      <c r="BN757" s="142">
        <v>0</v>
      </c>
      <c r="BO757" s="142">
        <v>0</v>
      </c>
      <c r="BP757" s="142">
        <v>0</v>
      </c>
      <c r="BQ757" s="142">
        <v>0</v>
      </c>
      <c r="BR757" s="142">
        <v>0</v>
      </c>
      <c r="BS757" s="142">
        <v>0</v>
      </c>
      <c r="BT757" s="155">
        <v>0</v>
      </c>
      <c r="BU757" s="142">
        <v>0</v>
      </c>
      <c r="BV757" s="142">
        <v>1</v>
      </c>
      <c r="BW757" s="142">
        <v>0</v>
      </c>
      <c r="BX757" s="155">
        <v>0</v>
      </c>
      <c r="BY757" s="142">
        <v>0</v>
      </c>
      <c r="BZ757" s="142">
        <v>0</v>
      </c>
      <c r="CA757" s="142">
        <v>0</v>
      </c>
      <c r="CB757" s="142">
        <v>0</v>
      </c>
      <c r="CC757" s="155">
        <v>0</v>
      </c>
      <c r="CD757" s="142">
        <v>1</v>
      </c>
      <c r="CE757" s="142">
        <v>1</v>
      </c>
      <c r="CF757" s="142">
        <v>0</v>
      </c>
      <c r="CG757" s="142">
        <v>0</v>
      </c>
      <c r="CH757" s="142">
        <v>0</v>
      </c>
      <c r="CI757" s="142">
        <v>0</v>
      </c>
      <c r="CJ757" s="142">
        <v>1</v>
      </c>
      <c r="CK757" s="142">
        <v>1</v>
      </c>
      <c r="CL757" s="142">
        <v>0</v>
      </c>
      <c r="CM757" s="142">
        <v>1</v>
      </c>
      <c r="CN757" s="155">
        <v>0</v>
      </c>
      <c r="CO757">
        <v>0.14599999999999999</v>
      </c>
      <c r="CP757">
        <v>1</v>
      </c>
      <c r="CQ757">
        <v>1</v>
      </c>
      <c r="CR757">
        <v>0</v>
      </c>
      <c r="CS757">
        <v>24</v>
      </c>
      <c r="CT757" s="157"/>
      <c r="CY757" s="157"/>
    </row>
    <row r="758" spans="1:103" x14ac:dyDescent="0.25">
      <c r="A758">
        <v>757</v>
      </c>
      <c r="B758">
        <v>48</v>
      </c>
      <c r="C758" s="25" t="s">
        <v>475</v>
      </c>
      <c r="D758" s="12">
        <v>11.7</v>
      </c>
      <c r="E758" s="14">
        <v>0.3</v>
      </c>
      <c r="F758" s="7">
        <f t="shared" si="180"/>
        <v>39</v>
      </c>
      <c r="G758" s="7">
        <f t="shared" si="173"/>
        <v>11.399999999999999</v>
      </c>
      <c r="H758" s="16">
        <f t="shared" si="174"/>
        <v>12</v>
      </c>
      <c r="I758" s="11">
        <f t="shared" si="177"/>
        <v>0.38390587509210189</v>
      </c>
      <c r="J758" s="33">
        <f t="shared" si="178"/>
        <v>9.8437403869769714E-3</v>
      </c>
      <c r="K758" s="33">
        <f t="shared" si="179"/>
        <v>101.58740079360236</v>
      </c>
      <c r="L758" s="8">
        <v>0</v>
      </c>
      <c r="M758" s="9">
        <v>1</v>
      </c>
      <c r="N758" s="8">
        <v>0</v>
      </c>
      <c r="O758" s="9">
        <v>1</v>
      </c>
      <c r="P758" s="9">
        <v>0</v>
      </c>
      <c r="Q758" s="9">
        <v>0</v>
      </c>
      <c r="R758" s="9">
        <v>0</v>
      </c>
      <c r="S758" s="8">
        <v>8807</v>
      </c>
      <c r="T758" s="9">
        <v>7</v>
      </c>
      <c r="U758" s="9">
        <f t="shared" si="175"/>
        <v>8799</v>
      </c>
      <c r="V758" s="9">
        <f t="shared" si="176"/>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v>0</v>
      </c>
      <c r="BF758" s="18">
        <v>0</v>
      </c>
      <c r="BG758">
        <v>0</v>
      </c>
      <c r="BH758">
        <v>1</v>
      </c>
      <c r="BI758" s="18">
        <v>0</v>
      </c>
      <c r="BJ758">
        <v>1172</v>
      </c>
      <c r="BK758">
        <v>35</v>
      </c>
      <c r="BL758" s="93">
        <f t="shared" ref="BL758:BL767" si="190">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80"/>
        <v>36.333333333333336</v>
      </c>
      <c r="G759" s="7">
        <f t="shared" si="173"/>
        <v>10.6</v>
      </c>
      <c r="H759" s="16">
        <f t="shared" si="174"/>
        <v>11.200000000000001</v>
      </c>
      <c r="I759" s="11">
        <f t="shared" si="177"/>
        <v>0.43610467768547451</v>
      </c>
      <c r="J759" s="33">
        <f t="shared" si="178"/>
        <v>1.2002881037214894E-2</v>
      </c>
      <c r="K759" s="33">
        <f t="shared" si="179"/>
        <v>83.313330932757154</v>
      </c>
      <c r="L759" s="8">
        <v>0</v>
      </c>
      <c r="M759" s="9">
        <v>1</v>
      </c>
      <c r="N759" s="8">
        <v>0</v>
      </c>
      <c r="O759" s="9">
        <v>1</v>
      </c>
      <c r="P759" s="9">
        <v>0</v>
      </c>
      <c r="Q759" s="9">
        <v>0</v>
      </c>
      <c r="R759" s="9">
        <v>0</v>
      </c>
      <c r="S759" s="8">
        <v>5629</v>
      </c>
      <c r="T759" s="9">
        <v>7</v>
      </c>
      <c r="U759" s="9">
        <f t="shared" si="175"/>
        <v>5621</v>
      </c>
      <c r="V759" s="9">
        <f t="shared" si="176"/>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v>0</v>
      </c>
      <c r="BF759" s="18">
        <v>0</v>
      </c>
      <c r="BG759">
        <v>0</v>
      </c>
      <c r="BH759">
        <v>1</v>
      </c>
      <c r="BI759" s="18">
        <v>0</v>
      </c>
      <c r="BJ759">
        <v>1172</v>
      </c>
      <c r="BK759">
        <v>35</v>
      </c>
      <c r="BL759" s="93">
        <f t="shared" si="190"/>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80"/>
        <v>29.5</v>
      </c>
      <c r="G760" s="7">
        <f t="shared" si="173"/>
        <v>11.4</v>
      </c>
      <c r="H760" s="16">
        <f t="shared" si="174"/>
        <v>12.200000000000001</v>
      </c>
      <c r="I760" s="11">
        <f t="shared" si="177"/>
        <v>0.46410676243477589</v>
      </c>
      <c r="J760" s="33">
        <f t="shared" si="178"/>
        <v>1.5732432624907658E-2</v>
      </c>
      <c r="K760" s="33">
        <f t="shared" si="179"/>
        <v>63.562960912783161</v>
      </c>
      <c r="L760" s="8">
        <v>0</v>
      </c>
      <c r="M760" s="9">
        <v>1</v>
      </c>
      <c r="N760" s="8">
        <v>0</v>
      </c>
      <c r="O760" s="9">
        <v>1</v>
      </c>
      <c r="P760" s="9">
        <v>0</v>
      </c>
      <c r="Q760" s="9">
        <v>0</v>
      </c>
      <c r="R760" s="9">
        <v>0</v>
      </c>
      <c r="S760" s="8">
        <v>3178</v>
      </c>
      <c r="T760" s="9">
        <v>7</v>
      </c>
      <c r="U760" s="9">
        <f t="shared" si="175"/>
        <v>3170</v>
      </c>
      <c r="V760" s="9">
        <f t="shared" si="176"/>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v>0</v>
      </c>
      <c r="BF760" s="18">
        <v>0</v>
      </c>
      <c r="BG760">
        <v>0</v>
      </c>
      <c r="BH760">
        <v>1</v>
      </c>
      <c r="BI760" s="18">
        <v>0</v>
      </c>
      <c r="BJ760">
        <v>1172</v>
      </c>
      <c r="BK760">
        <v>35</v>
      </c>
      <c r="BL760" s="93">
        <f t="shared" si="190"/>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80"/>
        <v>9</v>
      </c>
      <c r="G761" s="7">
        <f t="shared" si="173"/>
        <v>4</v>
      </c>
      <c r="H761" s="16">
        <f t="shared" si="174"/>
        <v>5</v>
      </c>
      <c r="I761" s="11">
        <f t="shared" si="177"/>
        <v>0.12928579327743625</v>
      </c>
      <c r="J761" s="33">
        <f t="shared" si="178"/>
        <v>1.4365088141937361E-2</v>
      </c>
      <c r="K761" s="33">
        <f t="shared" si="179"/>
        <v>69.613217135828449</v>
      </c>
      <c r="L761" s="8">
        <v>0</v>
      </c>
      <c r="M761" s="9">
        <v>1</v>
      </c>
      <c r="N761" s="8">
        <v>0</v>
      </c>
      <c r="O761" s="9">
        <v>1</v>
      </c>
      <c r="P761" s="9">
        <v>0</v>
      </c>
      <c r="Q761" s="9">
        <v>0</v>
      </c>
      <c r="R761" s="9">
        <v>0</v>
      </c>
      <c r="S761" s="8">
        <v>4777</v>
      </c>
      <c r="T761" s="9">
        <v>11</v>
      </c>
      <c r="U761" s="9">
        <f t="shared" si="175"/>
        <v>4765</v>
      </c>
      <c r="V761" s="9">
        <f t="shared" si="176"/>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v>0</v>
      </c>
      <c r="BF761" s="18">
        <v>0</v>
      </c>
      <c r="BG761">
        <v>0</v>
      </c>
      <c r="BH761">
        <v>1</v>
      </c>
      <c r="BI761" s="18">
        <v>0</v>
      </c>
      <c r="BJ761">
        <v>1172</v>
      </c>
      <c r="BK761">
        <v>35</v>
      </c>
      <c r="BL761" s="93">
        <f t="shared" si="190"/>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80"/>
        <v>22</v>
      </c>
      <c r="G762" s="7">
        <f t="shared" si="173"/>
        <v>10.5</v>
      </c>
      <c r="H762" s="16">
        <f t="shared" si="174"/>
        <v>11.5</v>
      </c>
      <c r="I762" s="11">
        <f t="shared" si="177"/>
        <v>0.30354213217309406</v>
      </c>
      <c r="J762" s="33">
        <f t="shared" si="178"/>
        <v>1.3797369644231547E-2</v>
      </c>
      <c r="K762" s="33">
        <f t="shared" si="179"/>
        <v>72.477582741148311</v>
      </c>
      <c r="L762" s="8">
        <v>0</v>
      </c>
      <c r="M762" s="9">
        <v>1</v>
      </c>
      <c r="N762" s="8">
        <v>0</v>
      </c>
      <c r="O762" s="9">
        <v>1</v>
      </c>
      <c r="P762" s="9">
        <v>0</v>
      </c>
      <c r="Q762" s="9">
        <v>0</v>
      </c>
      <c r="R762" s="9">
        <v>0</v>
      </c>
      <c r="S762" s="8">
        <v>4777</v>
      </c>
      <c r="T762" s="9">
        <v>7</v>
      </c>
      <c r="U762" s="9">
        <f t="shared" si="175"/>
        <v>4769</v>
      </c>
      <c r="V762" s="9">
        <f t="shared" si="176"/>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v>0</v>
      </c>
      <c r="BF762" s="18">
        <v>0</v>
      </c>
      <c r="BG762">
        <v>0</v>
      </c>
      <c r="BH762">
        <v>1</v>
      </c>
      <c r="BI762" s="18">
        <v>0</v>
      </c>
      <c r="BJ762">
        <v>1172</v>
      </c>
      <c r="BK762">
        <v>35</v>
      </c>
      <c r="BL762" s="93">
        <f t="shared" si="190"/>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80"/>
        <v>21.625</v>
      </c>
      <c r="G763" s="7">
        <f t="shared" si="173"/>
        <v>16.5</v>
      </c>
      <c r="H763" s="16">
        <f t="shared" si="174"/>
        <v>18.100000000000001</v>
      </c>
      <c r="I763" s="11">
        <f t="shared" si="177"/>
        <v>0.29280132979162882</v>
      </c>
      <c r="J763" s="33">
        <f t="shared" si="178"/>
        <v>1.3539945886318095E-2</v>
      </c>
      <c r="K763" s="33">
        <f t="shared" si="179"/>
        <v>73.855538891812301</v>
      </c>
      <c r="L763" s="8">
        <v>0</v>
      </c>
      <c r="M763" s="9">
        <v>1</v>
      </c>
      <c r="N763" s="8">
        <v>0</v>
      </c>
      <c r="O763" s="9">
        <v>1</v>
      </c>
      <c r="P763" s="9">
        <v>0</v>
      </c>
      <c r="Q763" s="9">
        <v>0</v>
      </c>
      <c r="R763" s="9">
        <v>0</v>
      </c>
      <c r="S763" s="8">
        <v>4994</v>
      </c>
      <c r="T763" s="9">
        <v>6</v>
      </c>
      <c r="U763" s="9">
        <f t="shared" si="175"/>
        <v>4987</v>
      </c>
      <c r="V763" s="9">
        <f t="shared" si="176"/>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v>0</v>
      </c>
      <c r="BF763" s="18">
        <v>0</v>
      </c>
      <c r="BG763">
        <v>0</v>
      </c>
      <c r="BH763">
        <v>1</v>
      </c>
      <c r="BI763" s="18">
        <v>0</v>
      </c>
      <c r="BJ763">
        <v>1172</v>
      </c>
      <c r="BK763">
        <v>35</v>
      </c>
      <c r="BL763" s="93">
        <f t="shared" si="190"/>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80"/>
        <v>16.3</v>
      </c>
      <c r="G764" s="7">
        <f t="shared" si="173"/>
        <v>15.3</v>
      </c>
      <c r="H764" s="16">
        <f t="shared" si="174"/>
        <v>17.3</v>
      </c>
      <c r="I764" s="11">
        <f t="shared" si="177"/>
        <v>0.27490479659359807</v>
      </c>
      <c r="J764" s="33">
        <f t="shared" si="178"/>
        <v>1.6865324944392517E-2</v>
      </c>
      <c r="K764" s="33">
        <f t="shared" si="179"/>
        <v>59.293254253751329</v>
      </c>
      <c r="L764" s="8">
        <v>0</v>
      </c>
      <c r="M764" s="9">
        <v>1</v>
      </c>
      <c r="N764" s="8">
        <v>0</v>
      </c>
      <c r="O764" s="9">
        <v>1</v>
      </c>
      <c r="P764" s="9">
        <v>0</v>
      </c>
      <c r="Q764" s="9">
        <v>0</v>
      </c>
      <c r="R764" s="9">
        <v>0</v>
      </c>
      <c r="S764" s="8">
        <v>3257</v>
      </c>
      <c r="T764" s="9">
        <v>6</v>
      </c>
      <c r="U764" s="9">
        <f t="shared" si="175"/>
        <v>3250</v>
      </c>
      <c r="V764" s="9">
        <f t="shared" si="176"/>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v>0</v>
      </c>
      <c r="BF764" s="18">
        <v>0</v>
      </c>
      <c r="BG764">
        <v>0</v>
      </c>
      <c r="BH764">
        <v>1</v>
      </c>
      <c r="BI764" s="18">
        <v>0</v>
      </c>
      <c r="BJ764">
        <v>1172</v>
      </c>
      <c r="BK764">
        <v>35</v>
      </c>
      <c r="BL764" s="93">
        <f t="shared" si="190"/>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80"/>
        <v>15.583333333333334</v>
      </c>
      <c r="G765" s="7">
        <f t="shared" si="173"/>
        <v>17.5</v>
      </c>
      <c r="H765" s="16">
        <f t="shared" si="174"/>
        <v>19.899999999999999</v>
      </c>
      <c r="I765" s="11">
        <f t="shared" si="177"/>
        <v>0.35084427767354598</v>
      </c>
      <c r="J765" s="33">
        <f t="shared" si="178"/>
        <v>2.2514071294559099E-2</v>
      </c>
      <c r="K765" s="33">
        <f t="shared" si="179"/>
        <v>44.416666666666664</v>
      </c>
      <c r="L765" s="8">
        <v>0</v>
      </c>
      <c r="M765" s="9">
        <v>1</v>
      </c>
      <c r="N765" s="8">
        <v>0</v>
      </c>
      <c r="O765" s="9">
        <v>1</v>
      </c>
      <c r="P765" s="9">
        <v>0</v>
      </c>
      <c r="Q765" s="9">
        <v>0</v>
      </c>
      <c r="R765" s="9">
        <v>0</v>
      </c>
      <c r="S765" s="8">
        <v>1737</v>
      </c>
      <c r="T765" s="9">
        <v>6</v>
      </c>
      <c r="U765" s="9">
        <f t="shared" si="175"/>
        <v>1730</v>
      </c>
      <c r="V765" s="9">
        <f t="shared" si="176"/>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v>0</v>
      </c>
      <c r="BF765" s="18">
        <v>0</v>
      </c>
      <c r="BG765">
        <v>0</v>
      </c>
      <c r="BH765">
        <v>1</v>
      </c>
      <c r="BI765" s="18">
        <v>0</v>
      </c>
      <c r="BJ765">
        <v>1172</v>
      </c>
      <c r="BK765">
        <v>35</v>
      </c>
      <c r="BL765" s="93">
        <f t="shared" si="190"/>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7"/>
        <v>0.36180549224905884</v>
      </c>
      <c r="J766" s="33">
        <f t="shared" si="178"/>
        <v>3.6850559395737476E-2</v>
      </c>
      <c r="K766" s="33">
        <f t="shared" si="179"/>
        <v>27.136630118990013</v>
      </c>
      <c r="L766" s="8">
        <v>0</v>
      </c>
      <c r="M766" s="9">
        <v>1</v>
      </c>
      <c r="N766" s="8">
        <v>0</v>
      </c>
      <c r="O766" s="9">
        <v>1</v>
      </c>
      <c r="P766" s="9">
        <v>0</v>
      </c>
      <c r="Q766" s="9">
        <v>0</v>
      </c>
      <c r="R766" s="9">
        <v>0</v>
      </c>
      <c r="S766" s="8">
        <v>648</v>
      </c>
      <c r="T766" s="9">
        <v>7</v>
      </c>
      <c r="U766" s="9">
        <f t="shared" si="175"/>
        <v>640</v>
      </c>
      <c r="V766" s="9">
        <f t="shared" si="176"/>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v>0</v>
      </c>
      <c r="BF766" s="18">
        <v>0</v>
      </c>
      <c r="BG766">
        <v>0</v>
      </c>
      <c r="BH766">
        <v>1</v>
      </c>
      <c r="BI766" s="18">
        <v>0</v>
      </c>
      <c r="BJ766">
        <v>1172</v>
      </c>
      <c r="BK766">
        <v>35</v>
      </c>
      <c r="BL766" s="93">
        <f t="shared" si="190"/>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2" customFormat="1" x14ac:dyDescent="0.25">
      <c r="A767" s="142">
        <v>766</v>
      </c>
      <c r="B767" s="142">
        <v>48</v>
      </c>
      <c r="C767" s="143" t="s">
        <v>475</v>
      </c>
      <c r="D767" s="144">
        <v>5</v>
      </c>
      <c r="E767" s="145">
        <v>2.4</v>
      </c>
      <c r="F767" s="146">
        <f t="shared" si="180"/>
        <v>2.0833333333333335</v>
      </c>
      <c r="G767" s="146">
        <f t="shared" si="173"/>
        <v>2.6</v>
      </c>
      <c r="H767" s="147">
        <f t="shared" si="174"/>
        <v>7.4</v>
      </c>
      <c r="I767" s="11">
        <f t="shared" si="177"/>
        <v>8.1946074150553536E-2</v>
      </c>
      <c r="J767" s="33">
        <f t="shared" si="178"/>
        <v>3.9334115592265698E-2</v>
      </c>
      <c r="K767" s="33">
        <f t="shared" si="179"/>
        <v>25.423223198048234</v>
      </c>
      <c r="L767" s="149">
        <v>0</v>
      </c>
      <c r="M767" s="150">
        <v>1</v>
      </c>
      <c r="N767" s="149">
        <v>0</v>
      </c>
      <c r="O767" s="150">
        <v>1</v>
      </c>
      <c r="P767" s="150">
        <v>0</v>
      </c>
      <c r="Q767" s="150">
        <v>0</v>
      </c>
      <c r="R767" s="150">
        <v>0</v>
      </c>
      <c r="S767" s="149">
        <v>648</v>
      </c>
      <c r="T767" s="150">
        <v>5</v>
      </c>
      <c r="U767" s="150">
        <f t="shared" si="175"/>
        <v>642</v>
      </c>
      <c r="V767" s="150">
        <f t="shared" si="176"/>
        <v>10</v>
      </c>
      <c r="W767" s="146">
        <v>9.6470000000000002</v>
      </c>
      <c r="X767" s="146">
        <v>17.068999999999999</v>
      </c>
      <c r="Y767" s="150">
        <v>1</v>
      </c>
      <c r="Z767" s="150">
        <v>0</v>
      </c>
      <c r="AA767" s="150">
        <v>0</v>
      </c>
      <c r="AB767" s="150">
        <v>0</v>
      </c>
      <c r="AC767" s="150">
        <v>1</v>
      </c>
      <c r="AD767" s="150">
        <v>0</v>
      </c>
      <c r="AE767" s="149">
        <v>0</v>
      </c>
      <c r="AF767" s="150">
        <v>0</v>
      </c>
      <c r="AG767" s="151">
        <v>1</v>
      </c>
      <c r="AH767" s="150">
        <v>0</v>
      </c>
      <c r="AI767" s="151">
        <v>1</v>
      </c>
      <c r="AJ767" s="152">
        <v>2000</v>
      </c>
      <c r="AK767" s="148">
        <v>2.9000000000000001E-2</v>
      </c>
      <c r="AL767" s="148">
        <v>0.28000000000000003</v>
      </c>
      <c r="AM767" s="148">
        <f t="shared" si="188"/>
        <v>0.498</v>
      </c>
      <c r="AN767" s="153">
        <v>0.193</v>
      </c>
      <c r="AO767" s="154">
        <v>1</v>
      </c>
      <c r="AP767" s="155">
        <v>0</v>
      </c>
      <c r="AQ767" s="142">
        <v>0.6391</v>
      </c>
      <c r="AR767" s="156">
        <f>1-AQ767</f>
        <v>0.3609</v>
      </c>
      <c r="AS767" s="142" t="s">
        <v>98</v>
      </c>
      <c r="AT767" s="156" t="s">
        <v>98</v>
      </c>
      <c r="AU767">
        <v>0</v>
      </c>
      <c r="AV767" s="155">
        <v>1</v>
      </c>
      <c r="AW767" s="142">
        <f t="shared" si="189"/>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90"/>
        <v>32.716000000000001</v>
      </c>
      <c r="BM767" s="142">
        <v>0</v>
      </c>
      <c r="BN767" s="142">
        <v>0</v>
      </c>
      <c r="BO767" s="142">
        <v>0</v>
      </c>
      <c r="BP767" s="142">
        <v>1</v>
      </c>
      <c r="BQ767" s="142">
        <v>0</v>
      </c>
      <c r="BR767" s="142">
        <v>0</v>
      </c>
      <c r="BS767" s="142">
        <v>0</v>
      </c>
      <c r="BT767" s="155">
        <v>0</v>
      </c>
      <c r="BU767" s="142">
        <v>0</v>
      </c>
      <c r="BV767" s="142">
        <v>0</v>
      </c>
      <c r="BW767" s="142">
        <v>1</v>
      </c>
      <c r="BX767" s="155">
        <v>0</v>
      </c>
      <c r="BY767" s="142">
        <v>0</v>
      </c>
      <c r="BZ767" s="142">
        <v>0</v>
      </c>
      <c r="CA767" s="142">
        <v>0</v>
      </c>
      <c r="CB767" s="142">
        <v>0</v>
      </c>
      <c r="CC767" s="155">
        <v>0</v>
      </c>
      <c r="CD767" s="142">
        <v>0</v>
      </c>
      <c r="CE767" s="142">
        <v>0</v>
      </c>
      <c r="CF767" s="142">
        <v>1</v>
      </c>
      <c r="CG767" s="142">
        <v>1</v>
      </c>
      <c r="CH767" s="142">
        <v>0</v>
      </c>
      <c r="CI767" s="142">
        <v>0</v>
      </c>
      <c r="CJ767" s="142">
        <v>1</v>
      </c>
      <c r="CK767" s="142">
        <v>0</v>
      </c>
      <c r="CL767" s="142">
        <v>0</v>
      </c>
      <c r="CM767" s="142">
        <v>1</v>
      </c>
      <c r="CN767" s="155">
        <v>0</v>
      </c>
      <c r="CO767">
        <v>2.5000000000000001E-2</v>
      </c>
      <c r="CP767">
        <v>25</v>
      </c>
      <c r="CQ767">
        <v>1</v>
      </c>
      <c r="CR767">
        <v>0</v>
      </c>
      <c r="CS767">
        <v>19</v>
      </c>
      <c r="CT767" s="157"/>
      <c r="CY767" s="157"/>
    </row>
    <row r="768" spans="1:103" x14ac:dyDescent="0.25">
      <c r="A768">
        <v>767</v>
      </c>
      <c r="B768">
        <v>49</v>
      </c>
      <c r="C768" s="25" t="s">
        <v>476</v>
      </c>
      <c r="D768" s="12">
        <v>1.5</v>
      </c>
      <c r="E768" s="14">
        <v>0.2</v>
      </c>
      <c r="F768" s="7">
        <f t="shared" si="180"/>
        <v>7.5</v>
      </c>
      <c r="G768" s="7">
        <f t="shared" si="173"/>
        <v>1.3</v>
      </c>
      <c r="H768" s="16">
        <f t="shared" si="174"/>
        <v>1.7</v>
      </c>
      <c r="I768" s="11">
        <f t="shared" si="177"/>
        <v>3.4257559150632909E-2</v>
      </c>
      <c r="J768" s="33">
        <f t="shared" si="178"/>
        <v>4.5676745534177212E-3</v>
      </c>
      <c r="K768" s="33">
        <f t="shared" si="179"/>
        <v>218.9297832639497</v>
      </c>
      <c r="L768" s="8">
        <v>0</v>
      </c>
      <c r="M768" s="9">
        <v>1</v>
      </c>
      <c r="N768" s="8">
        <v>0</v>
      </c>
      <c r="O768" s="9">
        <v>0</v>
      </c>
      <c r="P768" s="9">
        <v>0</v>
      </c>
      <c r="Q768" s="9">
        <v>1</v>
      </c>
      <c r="R768" s="9">
        <v>0</v>
      </c>
      <c r="S768" s="8">
        <v>47881</v>
      </c>
      <c r="T768" s="9">
        <v>6</v>
      </c>
      <c r="U768" s="9">
        <f t="shared" si="175"/>
        <v>47874</v>
      </c>
      <c r="V768" s="9">
        <f t="shared" si="176"/>
        <v>4</v>
      </c>
      <c r="W768" s="7">
        <f>(6*AL768+11*AM768)</f>
        <v>9.8500000000000014</v>
      </c>
      <c r="X768" s="7">
        <f t="shared" ref="X768:X777" si="191">BL768-W768-6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v>0</v>
      </c>
      <c r="BF768" s="18">
        <v>0</v>
      </c>
      <c r="BG768">
        <v>1</v>
      </c>
      <c r="BH768">
        <v>0</v>
      </c>
      <c r="BI768" s="18">
        <v>0</v>
      </c>
      <c r="BJ768">
        <v>16480</v>
      </c>
      <c r="BK768">
        <v>3916</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80"/>
        <v>13.5</v>
      </c>
      <c r="G769" s="7">
        <f t="shared" si="173"/>
        <v>2.5</v>
      </c>
      <c r="H769" s="16">
        <f t="shared" si="174"/>
        <v>2.9000000000000004</v>
      </c>
      <c r="I769" s="11">
        <f t="shared" si="177"/>
        <v>6.1583355408391327E-2</v>
      </c>
      <c r="J769" s="33">
        <f t="shared" si="178"/>
        <v>4.5617300302512095E-3</v>
      </c>
      <c r="K769" s="33">
        <f t="shared" si="179"/>
        <v>219.21507703622942</v>
      </c>
      <c r="L769" s="8">
        <v>0</v>
      </c>
      <c r="M769" s="9">
        <v>1</v>
      </c>
      <c r="N769" s="8">
        <v>0</v>
      </c>
      <c r="O769" s="9">
        <v>0</v>
      </c>
      <c r="P769" s="9">
        <v>0</v>
      </c>
      <c r="Q769" s="9">
        <v>1</v>
      </c>
      <c r="R769" s="9">
        <v>0</v>
      </c>
      <c r="S769" s="8">
        <v>47881</v>
      </c>
      <c r="T769" s="9">
        <v>7</v>
      </c>
      <c r="U769" s="9">
        <f t="shared" si="175"/>
        <v>47873</v>
      </c>
      <c r="V769" s="9">
        <f t="shared" si="176"/>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v>0</v>
      </c>
      <c r="BF769" s="18">
        <v>0</v>
      </c>
      <c r="BG769">
        <v>1</v>
      </c>
      <c r="BH769">
        <v>0</v>
      </c>
      <c r="BI769" s="18">
        <v>0</v>
      </c>
      <c r="BJ769">
        <v>16480</v>
      </c>
      <c r="BK769">
        <v>3916</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80"/>
        <v>1.625</v>
      </c>
      <c r="G770" s="7">
        <f t="shared" ref="G770:G833" si="192">D770-E770</f>
        <v>1</v>
      </c>
      <c r="H770" s="16">
        <f t="shared" ref="H770:H833" si="193">D770+E770</f>
        <v>4.2</v>
      </c>
      <c r="I770" s="11">
        <f t="shared" si="177"/>
        <v>7.4267031656713844E-3</v>
      </c>
      <c r="J770" s="33">
        <f t="shared" si="178"/>
        <v>4.5702788711823898E-3</v>
      </c>
      <c r="K770" s="33">
        <f t="shared" si="179"/>
        <v>218.8050287927588</v>
      </c>
      <c r="L770" s="8">
        <v>0</v>
      </c>
      <c r="M770" s="9">
        <v>1</v>
      </c>
      <c r="N770" s="8">
        <v>0</v>
      </c>
      <c r="O770" s="9">
        <v>0</v>
      </c>
      <c r="P770" s="9">
        <v>0</v>
      </c>
      <c r="Q770" s="9">
        <v>1</v>
      </c>
      <c r="R770" s="9">
        <v>0</v>
      </c>
      <c r="S770" s="8">
        <v>47881</v>
      </c>
      <c r="T770" s="9">
        <v>7</v>
      </c>
      <c r="U770" s="9">
        <f t="shared" ref="U770:U833" si="194">S770-T770-1</f>
        <v>47873</v>
      </c>
      <c r="V770" s="9">
        <f t="shared" ref="V770:V833" si="195">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v>0</v>
      </c>
      <c r="BF770" s="18">
        <v>0</v>
      </c>
      <c r="BG770">
        <v>1</v>
      </c>
      <c r="BH770">
        <v>0</v>
      </c>
      <c r="BI770" s="18">
        <v>0</v>
      </c>
      <c r="BJ770">
        <v>16480</v>
      </c>
      <c r="BK770">
        <v>3916</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2" customFormat="1" x14ac:dyDescent="0.25">
      <c r="A771" s="142">
        <v>770</v>
      </c>
      <c r="B771" s="142">
        <v>49</v>
      </c>
      <c r="C771" s="143" t="s">
        <v>476</v>
      </c>
      <c r="D771" s="144">
        <v>4.0999999999999996</v>
      </c>
      <c r="E771" s="145">
        <v>1.8</v>
      </c>
      <c r="F771" s="146">
        <f t="shared" si="180"/>
        <v>2.2777777777777777</v>
      </c>
      <c r="G771" s="146">
        <f t="shared" si="192"/>
        <v>2.2999999999999998</v>
      </c>
      <c r="H771" s="147">
        <f t="shared" si="193"/>
        <v>5.8999999999999995</v>
      </c>
      <c r="I771" s="11">
        <f t="shared" si="177"/>
        <v>1.0409802681932152E-2</v>
      </c>
      <c r="J771" s="33">
        <f t="shared" si="178"/>
        <v>4.5701572749946035E-3</v>
      </c>
      <c r="K771" s="33">
        <f t="shared" si="179"/>
        <v>218.81085044303663</v>
      </c>
      <c r="L771" s="149">
        <v>0</v>
      </c>
      <c r="M771" s="150">
        <v>1</v>
      </c>
      <c r="N771" s="149">
        <v>0</v>
      </c>
      <c r="O771" s="150">
        <v>0</v>
      </c>
      <c r="P771" s="150">
        <v>0</v>
      </c>
      <c r="Q771" s="150">
        <v>1</v>
      </c>
      <c r="R771" s="150">
        <v>0</v>
      </c>
      <c r="S771" s="149">
        <v>47881</v>
      </c>
      <c r="T771" s="150">
        <v>7</v>
      </c>
      <c r="U771" s="150">
        <f t="shared" si="194"/>
        <v>47873</v>
      </c>
      <c r="V771" s="150">
        <f t="shared" si="195"/>
        <v>4</v>
      </c>
      <c r="W771" s="146">
        <f>(6*AL771+11*AM771)</f>
        <v>9.8500000000000014</v>
      </c>
      <c r="X771" s="146">
        <f t="shared" si="191"/>
        <v>1.1499999999999986</v>
      </c>
      <c r="Y771" s="150">
        <v>1</v>
      </c>
      <c r="Z771" s="150">
        <v>0</v>
      </c>
      <c r="AA771" s="150">
        <v>1</v>
      </c>
      <c r="AB771" s="150">
        <v>0</v>
      </c>
      <c r="AC771" s="150">
        <v>0</v>
      </c>
      <c r="AD771" s="150">
        <v>0</v>
      </c>
      <c r="AE771" s="149">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2">
        <v>1</v>
      </c>
      <c r="AT771" s="156">
        <v>0</v>
      </c>
      <c r="AU771">
        <v>1</v>
      </c>
      <c r="AV771" s="155">
        <v>0</v>
      </c>
      <c r="AW771" s="142">
        <f t="shared" si="189"/>
        <v>0.86519999999999997</v>
      </c>
      <c r="AX771" s="155">
        <v>0.1348</v>
      </c>
      <c r="AY771" s="155" t="s">
        <v>477</v>
      </c>
      <c r="AZ771">
        <v>1</v>
      </c>
      <c r="BA771">
        <v>0</v>
      </c>
      <c r="BB771">
        <v>0</v>
      </c>
      <c r="BC771">
        <v>0</v>
      </c>
      <c r="BD771">
        <v>0</v>
      </c>
      <c r="BE771">
        <v>0</v>
      </c>
      <c r="BF771" s="155">
        <v>0</v>
      </c>
      <c r="BG771">
        <v>1</v>
      </c>
      <c r="BH771">
        <v>0</v>
      </c>
      <c r="BI771" s="155">
        <v>0</v>
      </c>
      <c r="BJ771">
        <v>16480</v>
      </c>
      <c r="BK771">
        <v>3916</v>
      </c>
      <c r="BL771" s="143">
        <v>17</v>
      </c>
      <c r="BM771" s="142">
        <v>0</v>
      </c>
      <c r="BN771" s="142">
        <v>0</v>
      </c>
      <c r="BO771" s="142">
        <v>0</v>
      </c>
      <c r="BP771" s="142">
        <v>0</v>
      </c>
      <c r="BQ771" s="142">
        <v>0</v>
      </c>
      <c r="BR771" s="142">
        <v>0</v>
      </c>
      <c r="BS771" s="142">
        <v>0</v>
      </c>
      <c r="BT771" s="155">
        <v>1</v>
      </c>
      <c r="BU771" s="142">
        <v>0</v>
      </c>
      <c r="BV771" s="142">
        <v>1</v>
      </c>
      <c r="BW771" s="142">
        <v>0</v>
      </c>
      <c r="BX771" s="155">
        <v>0</v>
      </c>
      <c r="BY771" s="142">
        <v>0</v>
      </c>
      <c r="BZ771" s="142">
        <v>0</v>
      </c>
      <c r="CA771" s="142">
        <v>0</v>
      </c>
      <c r="CB771" s="142">
        <v>0</v>
      </c>
      <c r="CC771" s="155">
        <v>1</v>
      </c>
      <c r="CD771" s="142">
        <v>1</v>
      </c>
      <c r="CE771" s="142">
        <v>1</v>
      </c>
      <c r="CF771" s="142">
        <v>1</v>
      </c>
      <c r="CG771" s="142">
        <v>1</v>
      </c>
      <c r="CH771" s="142">
        <v>1</v>
      </c>
      <c r="CI771" s="142">
        <v>0</v>
      </c>
      <c r="CJ771" s="142">
        <v>0</v>
      </c>
      <c r="CK771" s="142">
        <v>0</v>
      </c>
      <c r="CL771" s="142">
        <v>0</v>
      </c>
      <c r="CM771" s="142">
        <v>0</v>
      </c>
      <c r="CN771" s="155">
        <v>1</v>
      </c>
      <c r="CO771">
        <v>0.63</v>
      </c>
      <c r="CP771">
        <v>161</v>
      </c>
      <c r="CQ771">
        <v>1</v>
      </c>
      <c r="CR771">
        <v>0</v>
      </c>
      <c r="CS771">
        <v>12</v>
      </c>
      <c r="CT771" s="157"/>
      <c r="CY771" s="157"/>
    </row>
    <row r="772" spans="1:103" x14ac:dyDescent="0.25">
      <c r="A772">
        <v>771</v>
      </c>
      <c r="B772">
        <v>50</v>
      </c>
      <c r="C772" s="25" t="s">
        <v>478</v>
      </c>
      <c r="D772" s="12">
        <v>8.6</v>
      </c>
      <c r="E772" s="14">
        <v>0.5</v>
      </c>
      <c r="F772" s="7">
        <f t="shared" si="180"/>
        <v>17.2</v>
      </c>
      <c r="G772" s="7">
        <f t="shared" si="192"/>
        <v>8.1</v>
      </c>
      <c r="H772" s="16">
        <f t="shared" si="193"/>
        <v>9.1</v>
      </c>
      <c r="I772" s="11">
        <f t="shared" si="177"/>
        <v>9.4587141279251663E-2</v>
      </c>
      <c r="J772" s="33">
        <f t="shared" si="178"/>
        <v>5.499252399956492E-3</v>
      </c>
      <c r="K772" s="33">
        <f t="shared" si="179"/>
        <v>181.8428992289773</v>
      </c>
      <c r="L772" s="8">
        <v>0</v>
      </c>
      <c r="M772" s="9">
        <v>1</v>
      </c>
      <c r="N772" s="8">
        <v>0</v>
      </c>
      <c r="O772" s="9">
        <v>0</v>
      </c>
      <c r="P772" s="9">
        <v>0</v>
      </c>
      <c r="Q772" s="9">
        <v>1</v>
      </c>
      <c r="R772" s="9">
        <v>0</v>
      </c>
      <c r="S772" s="8">
        <v>32775</v>
      </c>
      <c r="T772" s="9">
        <v>3</v>
      </c>
      <c r="U772" s="9">
        <f t="shared" si="194"/>
        <v>32771</v>
      </c>
      <c r="V772" s="9">
        <f t="shared" si="195"/>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v>0</v>
      </c>
      <c r="BF772" s="18">
        <v>0</v>
      </c>
      <c r="BG772">
        <v>1</v>
      </c>
      <c r="BH772">
        <v>0</v>
      </c>
      <c r="BI772" s="18">
        <v>0</v>
      </c>
      <c r="BJ772">
        <v>30085</v>
      </c>
      <c r="BK772">
        <v>22725</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77"/>
        <v>7.0813475985194219E-2</v>
      </c>
      <c r="J773" s="33">
        <f t="shared" si="178"/>
        <v>5.5077147988484383E-3</v>
      </c>
      <c r="K773" s="33">
        <f t="shared" si="179"/>
        <v>181.5635043791813</v>
      </c>
      <c r="L773" s="8">
        <v>0</v>
      </c>
      <c r="M773" s="9">
        <v>1</v>
      </c>
      <c r="N773" s="8">
        <v>0</v>
      </c>
      <c r="O773" s="9">
        <v>0</v>
      </c>
      <c r="P773" s="9">
        <v>0</v>
      </c>
      <c r="Q773" s="9">
        <v>1</v>
      </c>
      <c r="R773" s="9">
        <v>0</v>
      </c>
      <c r="S773" s="8">
        <v>32804</v>
      </c>
      <c r="T773" s="9">
        <v>3</v>
      </c>
      <c r="U773" s="9">
        <f t="shared" si="194"/>
        <v>32800</v>
      </c>
      <c r="V773" s="9">
        <f t="shared" si="195"/>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v>0</v>
      </c>
      <c r="BF773" s="18">
        <v>0</v>
      </c>
      <c r="BG773">
        <v>1</v>
      </c>
      <c r="BH773">
        <v>0</v>
      </c>
      <c r="BI773" s="18">
        <v>0</v>
      </c>
      <c r="BJ773">
        <v>30085</v>
      </c>
      <c r="BK773">
        <v>22725</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80"/>
        <v>14.714285714285717</v>
      </c>
      <c r="G774" s="7">
        <f t="shared" si="192"/>
        <v>9.6000000000000014</v>
      </c>
      <c r="H774" s="16">
        <f t="shared" si="193"/>
        <v>11</v>
      </c>
      <c r="I774" s="11">
        <f t="shared" si="177"/>
        <v>8.0004977370878347E-2</v>
      </c>
      <c r="J774" s="33">
        <f t="shared" si="178"/>
        <v>5.4372314718072658E-3</v>
      </c>
      <c r="K774" s="33">
        <f t="shared" si="179"/>
        <v>183.91712863157045</v>
      </c>
      <c r="L774" s="8">
        <v>0</v>
      </c>
      <c r="M774" s="9">
        <v>1</v>
      </c>
      <c r="N774" s="8">
        <v>0</v>
      </c>
      <c r="O774" s="9">
        <v>0</v>
      </c>
      <c r="P774" s="9">
        <v>0</v>
      </c>
      <c r="Q774" s="9">
        <v>1</v>
      </c>
      <c r="R774" s="9">
        <v>0</v>
      </c>
      <c r="S774" s="8">
        <v>33613</v>
      </c>
      <c r="T774" s="9">
        <v>3</v>
      </c>
      <c r="U774" s="9">
        <f t="shared" si="194"/>
        <v>33609</v>
      </c>
      <c r="V774" s="9">
        <f t="shared" si="195"/>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v>0</v>
      </c>
      <c r="BF774" s="18">
        <v>0</v>
      </c>
      <c r="BG774">
        <v>1</v>
      </c>
      <c r="BH774">
        <v>0</v>
      </c>
      <c r="BI774" s="18">
        <v>0</v>
      </c>
      <c r="BJ774">
        <v>30085</v>
      </c>
      <c r="BK774">
        <v>22725</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80"/>
        <v>25.333333333333332</v>
      </c>
      <c r="G775" s="7">
        <f t="shared" si="192"/>
        <v>7.3</v>
      </c>
      <c r="H775" s="16">
        <f t="shared" si="193"/>
        <v>7.8999999999999995</v>
      </c>
      <c r="I775" s="11">
        <f t="shared" si="177"/>
        <v>0.13855815394052531</v>
      </c>
      <c r="J775" s="33">
        <f t="shared" si="178"/>
        <v>5.4694008134417889E-3</v>
      </c>
      <c r="K775" s="33">
        <f t="shared" si="179"/>
        <v>182.83538437014258</v>
      </c>
      <c r="L775" s="8">
        <v>0</v>
      </c>
      <c r="M775" s="9">
        <v>1</v>
      </c>
      <c r="N775" s="8">
        <v>0</v>
      </c>
      <c r="O775" s="9">
        <v>0</v>
      </c>
      <c r="P775" s="9">
        <v>0</v>
      </c>
      <c r="Q775" s="9">
        <v>1</v>
      </c>
      <c r="R775" s="9">
        <v>0</v>
      </c>
      <c r="S775" s="8">
        <v>32791</v>
      </c>
      <c r="T775" s="9">
        <v>3</v>
      </c>
      <c r="U775" s="9">
        <f t="shared" si="194"/>
        <v>32787</v>
      </c>
      <c r="V775" s="9">
        <f t="shared" si="195"/>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v>0</v>
      </c>
      <c r="BF775" s="18">
        <v>0</v>
      </c>
      <c r="BG775">
        <v>1</v>
      </c>
      <c r="BH775">
        <v>0</v>
      </c>
      <c r="BI775" s="18">
        <v>0</v>
      </c>
      <c r="BJ775">
        <v>30085</v>
      </c>
      <c r="BK775">
        <v>22725</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80"/>
        <v>22.4</v>
      </c>
      <c r="G776" s="7">
        <f t="shared" si="192"/>
        <v>10.7</v>
      </c>
      <c r="H776" s="16">
        <f t="shared" si="193"/>
        <v>11.7</v>
      </c>
      <c r="I776" s="11">
        <f t="shared" ref="I776:I839" si="196">IFERROR(F776/SQRT(F776^2+U776), "X")</f>
        <v>0.12271852327728827</v>
      </c>
      <c r="J776" s="33">
        <f t="shared" ref="J776:J839" si="197">IFERROR(SQRT((1-I776^2)/U776), "X")</f>
        <v>5.4785055034503698E-3</v>
      </c>
      <c r="K776" s="33">
        <f t="shared" ref="K776:K839" si="198">IFERROR(1/J776, "X")</f>
        <v>182.53153152263857</v>
      </c>
      <c r="L776" s="8">
        <v>0</v>
      </c>
      <c r="M776" s="9">
        <v>1</v>
      </c>
      <c r="N776" s="8">
        <v>0</v>
      </c>
      <c r="O776" s="9">
        <v>0</v>
      </c>
      <c r="P776" s="9">
        <v>0</v>
      </c>
      <c r="Q776" s="9">
        <v>1</v>
      </c>
      <c r="R776" s="9">
        <v>0</v>
      </c>
      <c r="S776" s="8">
        <v>32820</v>
      </c>
      <c r="T776" s="9">
        <v>3</v>
      </c>
      <c r="U776" s="9">
        <f t="shared" si="194"/>
        <v>32816</v>
      </c>
      <c r="V776" s="9">
        <f t="shared" si="195"/>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v>0</v>
      </c>
      <c r="BF776" s="18">
        <v>0</v>
      </c>
      <c r="BG776">
        <v>1</v>
      </c>
      <c r="BH776">
        <v>0</v>
      </c>
      <c r="BI776" s="18">
        <v>0</v>
      </c>
      <c r="BJ776">
        <v>30085</v>
      </c>
      <c r="BK776">
        <v>22725</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2" customFormat="1" x14ac:dyDescent="0.25">
      <c r="A777" s="142">
        <v>776</v>
      </c>
      <c r="B777" s="142">
        <v>50</v>
      </c>
      <c r="C777" s="143" t="s">
        <v>478</v>
      </c>
      <c r="D777" s="144">
        <v>11.4</v>
      </c>
      <c r="E777" s="145">
        <v>0.5</v>
      </c>
      <c r="F777" s="146">
        <f t="shared" si="180"/>
        <v>22.8</v>
      </c>
      <c r="G777" s="146">
        <f t="shared" si="192"/>
        <v>10.9</v>
      </c>
      <c r="H777" s="147">
        <f t="shared" si="193"/>
        <v>11.9</v>
      </c>
      <c r="I777" s="11">
        <f t="shared" si="196"/>
        <v>0.12474327691742701</v>
      </c>
      <c r="J777" s="33">
        <f t="shared" si="197"/>
        <v>5.4711963560275002E-3</v>
      </c>
      <c r="K777" s="33">
        <f t="shared" si="198"/>
        <v>182.77538127439374</v>
      </c>
      <c r="L777" s="149">
        <v>0</v>
      </c>
      <c r="M777" s="150">
        <v>1</v>
      </c>
      <c r="N777" s="149">
        <v>0</v>
      </c>
      <c r="O777" s="150">
        <v>0</v>
      </c>
      <c r="P777" s="150">
        <v>0</v>
      </c>
      <c r="Q777" s="150">
        <v>1</v>
      </c>
      <c r="R777" s="150">
        <v>0</v>
      </c>
      <c r="S777" s="149">
        <v>32891</v>
      </c>
      <c r="T777" s="150">
        <v>3</v>
      </c>
      <c r="U777" s="150">
        <f t="shared" si="194"/>
        <v>32887</v>
      </c>
      <c r="V777" s="150">
        <f t="shared" si="195"/>
        <v>6</v>
      </c>
      <c r="W777" s="146">
        <v>12.8</v>
      </c>
      <c r="X777" s="146">
        <f t="shared" si="191"/>
        <v>25.7</v>
      </c>
      <c r="Y777" s="150">
        <v>1</v>
      </c>
      <c r="Z777" s="150">
        <v>0</v>
      </c>
      <c r="AA777" s="150">
        <v>0</v>
      </c>
      <c r="AB777" s="150">
        <v>0</v>
      </c>
      <c r="AC777" s="150">
        <v>0</v>
      </c>
      <c r="AD777" s="150">
        <v>1</v>
      </c>
      <c r="AE777" s="149">
        <v>0</v>
      </c>
      <c r="AF777" s="150">
        <v>1</v>
      </c>
      <c r="AG777" s="151">
        <v>0</v>
      </c>
      <c r="AH777" s="150">
        <v>0</v>
      </c>
      <c r="AI777" s="151">
        <v>1</v>
      </c>
      <c r="AJ777" s="152">
        <v>2008</v>
      </c>
      <c r="AK777" s="148">
        <v>0</v>
      </c>
      <c r="AL777" s="148">
        <v>0</v>
      </c>
      <c r="AM777" s="148">
        <v>0</v>
      </c>
      <c r="AN777" s="153">
        <v>1</v>
      </c>
      <c r="AO777" s="154" t="s">
        <v>98</v>
      </c>
      <c r="AP777" s="155" t="s">
        <v>98</v>
      </c>
      <c r="AQ777" s="142">
        <v>0</v>
      </c>
      <c r="AR777" s="156">
        <v>1</v>
      </c>
      <c r="AS777" s="142" t="s">
        <v>98</v>
      </c>
      <c r="AT777" s="156" t="s">
        <v>98</v>
      </c>
      <c r="AU777">
        <v>0</v>
      </c>
      <c r="AV777" s="155">
        <v>1</v>
      </c>
      <c r="AW777" s="142" t="s">
        <v>98</v>
      </c>
      <c r="AX777" s="155" t="s">
        <v>98</v>
      </c>
      <c r="AY777" s="155" t="s">
        <v>2</v>
      </c>
      <c r="AZ777">
        <v>1</v>
      </c>
      <c r="BA777">
        <v>0</v>
      </c>
      <c r="BB777">
        <v>0</v>
      </c>
      <c r="BC777">
        <v>0</v>
      </c>
      <c r="BD777">
        <v>0</v>
      </c>
      <c r="BE777">
        <v>0</v>
      </c>
      <c r="BF777" s="155">
        <v>0</v>
      </c>
      <c r="BG777">
        <v>1</v>
      </c>
      <c r="BH777">
        <v>0</v>
      </c>
      <c r="BI777" s="155">
        <v>0</v>
      </c>
      <c r="BJ777">
        <v>30085</v>
      </c>
      <c r="BK777">
        <v>22725</v>
      </c>
      <c r="BL777" s="143">
        <v>44.5</v>
      </c>
      <c r="BM777" s="142">
        <v>1</v>
      </c>
      <c r="BN777" s="142">
        <v>0</v>
      </c>
      <c r="BO777" s="142">
        <v>0</v>
      </c>
      <c r="BP777" s="142">
        <v>0</v>
      </c>
      <c r="BQ777" s="142">
        <v>0</v>
      </c>
      <c r="BR777" s="142">
        <v>0</v>
      </c>
      <c r="BS777" s="142">
        <v>0</v>
      </c>
      <c r="BT777" s="155">
        <v>0</v>
      </c>
      <c r="BU777" s="142">
        <v>0</v>
      </c>
      <c r="BV777" s="142">
        <v>0</v>
      </c>
      <c r="BW777" s="142">
        <v>0</v>
      </c>
      <c r="BX777" s="155">
        <v>1</v>
      </c>
      <c r="BY777" s="142">
        <v>0</v>
      </c>
      <c r="BZ777" s="142">
        <v>0</v>
      </c>
      <c r="CA777" s="142">
        <v>0</v>
      </c>
      <c r="CB777" s="142">
        <v>0</v>
      </c>
      <c r="CC777" s="155">
        <v>0</v>
      </c>
      <c r="CD777" s="142">
        <v>0</v>
      </c>
      <c r="CE777" s="142">
        <v>0</v>
      </c>
      <c r="CF777" s="142">
        <v>1</v>
      </c>
      <c r="CG777" s="142">
        <v>1</v>
      </c>
      <c r="CH777" s="142">
        <v>0</v>
      </c>
      <c r="CI777" s="142">
        <v>0</v>
      </c>
      <c r="CJ777" s="142">
        <v>0</v>
      </c>
      <c r="CK777" s="142">
        <v>0</v>
      </c>
      <c r="CL777" s="142">
        <v>0</v>
      </c>
      <c r="CM777" s="142">
        <v>0</v>
      </c>
      <c r="CN777" s="155">
        <v>0</v>
      </c>
      <c r="CO777">
        <v>0.14599999999999999</v>
      </c>
      <c r="CP777">
        <v>7</v>
      </c>
      <c r="CQ777">
        <v>0</v>
      </c>
      <c r="CR777">
        <v>1</v>
      </c>
      <c r="CS777">
        <v>21</v>
      </c>
      <c r="CT777" s="157"/>
      <c r="CY777" s="157"/>
    </row>
    <row r="778" spans="1:103" s="126" customFormat="1" x14ac:dyDescent="0.25">
      <c r="A778" s="126">
        <v>777</v>
      </c>
      <c r="B778" s="126">
        <v>51</v>
      </c>
      <c r="C778" s="127" t="s">
        <v>480</v>
      </c>
      <c r="D778" s="128">
        <v>6.9290000000000003</v>
      </c>
      <c r="E778" s="129">
        <v>0.35099999999999998</v>
      </c>
      <c r="F778" s="130">
        <f t="shared" si="180"/>
        <v>19.740740740740744</v>
      </c>
      <c r="G778" s="130">
        <f t="shared" si="192"/>
        <v>6.5780000000000003</v>
      </c>
      <c r="H778" s="131">
        <f t="shared" si="193"/>
        <v>7.28</v>
      </c>
      <c r="I778" s="11">
        <f t="shared" si="196"/>
        <v>0.27982908448508376</v>
      </c>
      <c r="J778" s="33">
        <f t="shared" si="197"/>
        <v>1.4175206906373847E-2</v>
      </c>
      <c r="K778" s="33">
        <f t="shared" si="198"/>
        <v>70.545707488075706</v>
      </c>
      <c r="L778" s="133">
        <v>1</v>
      </c>
      <c r="M778" s="134">
        <v>0</v>
      </c>
      <c r="N778" s="133">
        <v>0</v>
      </c>
      <c r="O778" s="134">
        <v>0</v>
      </c>
      <c r="P778" s="134">
        <v>1</v>
      </c>
      <c r="Q778" s="134">
        <v>0</v>
      </c>
      <c r="R778" s="134">
        <v>0</v>
      </c>
      <c r="S778" s="133">
        <v>4596</v>
      </c>
      <c r="T778" s="134">
        <v>8</v>
      </c>
      <c r="U778" s="134">
        <f t="shared" si="194"/>
        <v>4587</v>
      </c>
      <c r="V778" s="134">
        <f t="shared" si="195"/>
        <v>1</v>
      </c>
      <c r="W778" s="130">
        <v>10.683</v>
      </c>
      <c r="X778" s="130">
        <v>7.8520000000000003</v>
      </c>
      <c r="Y778" s="134">
        <v>1</v>
      </c>
      <c r="Z778" s="134">
        <v>0</v>
      </c>
      <c r="AA778" s="134">
        <v>0</v>
      </c>
      <c r="AB778" s="134">
        <v>0</v>
      </c>
      <c r="AC778" s="134">
        <v>1</v>
      </c>
      <c r="AD778" s="134">
        <v>0</v>
      </c>
      <c r="AE778" s="133">
        <v>0</v>
      </c>
      <c r="AF778" s="134">
        <v>1</v>
      </c>
      <c r="AG778" s="135">
        <v>0</v>
      </c>
      <c r="AH778" s="134">
        <v>1</v>
      </c>
      <c r="AI778" s="135">
        <v>0</v>
      </c>
      <c r="AJ778" s="136">
        <v>2008</v>
      </c>
      <c r="AK778" s="132" t="s">
        <v>98</v>
      </c>
      <c r="AL778" s="132" t="s">
        <v>98</v>
      </c>
      <c r="AM778" s="132" t="s">
        <v>98</v>
      </c>
      <c r="AN778" s="137" t="s">
        <v>98</v>
      </c>
      <c r="AO778" s="138" t="s">
        <v>98</v>
      </c>
      <c r="AP778" s="139" t="s">
        <v>98</v>
      </c>
      <c r="AQ778" s="126">
        <v>0.66700000000000004</v>
      </c>
      <c r="AR778" s="140">
        <v>0.33300000000000002</v>
      </c>
      <c r="AS778" s="126" t="s">
        <v>98</v>
      </c>
      <c r="AT778" s="140" t="s">
        <v>98</v>
      </c>
      <c r="AU778">
        <v>0</v>
      </c>
      <c r="AV778" s="139">
        <v>1</v>
      </c>
      <c r="AW778" s="126">
        <v>0.32400000000000001</v>
      </c>
      <c r="AX778" s="139">
        <v>0.67600000000000005</v>
      </c>
      <c r="AY778" s="139" t="s">
        <v>13</v>
      </c>
      <c r="AZ778">
        <v>0</v>
      </c>
      <c r="BA778">
        <v>1</v>
      </c>
      <c r="BB778">
        <v>0</v>
      </c>
      <c r="BC778">
        <v>0</v>
      </c>
      <c r="BD778">
        <v>0</v>
      </c>
      <c r="BE778">
        <v>0</v>
      </c>
      <c r="BF778" s="139">
        <v>0</v>
      </c>
      <c r="BG778">
        <v>0</v>
      </c>
      <c r="BH778">
        <v>1</v>
      </c>
      <c r="BI778" s="139">
        <v>0</v>
      </c>
      <c r="BJ778">
        <v>1466</v>
      </c>
      <c r="BK778">
        <v>97</v>
      </c>
      <c r="BL778" s="127">
        <v>35.192</v>
      </c>
      <c r="BM778" s="126">
        <v>1</v>
      </c>
      <c r="BN778" s="126">
        <v>0</v>
      </c>
      <c r="BO778" s="126">
        <v>0</v>
      </c>
      <c r="BP778" s="126">
        <v>0</v>
      </c>
      <c r="BQ778" s="126">
        <v>0</v>
      </c>
      <c r="BR778" s="126">
        <v>0</v>
      </c>
      <c r="BS778" s="126">
        <v>0</v>
      </c>
      <c r="BT778" s="139">
        <v>0</v>
      </c>
      <c r="BU778" s="126">
        <v>0</v>
      </c>
      <c r="BV778" s="126">
        <v>0</v>
      </c>
      <c r="BW778" s="126">
        <v>0</v>
      </c>
      <c r="BX778" s="139">
        <v>1</v>
      </c>
      <c r="BY778" s="126">
        <v>0</v>
      </c>
      <c r="BZ778" s="126">
        <v>0</v>
      </c>
      <c r="CA778" s="126">
        <v>0</v>
      </c>
      <c r="CB778" s="126">
        <v>0</v>
      </c>
      <c r="CC778" s="139">
        <v>0</v>
      </c>
      <c r="CD778" s="126">
        <v>0</v>
      </c>
      <c r="CE778" s="126">
        <v>0</v>
      </c>
      <c r="CF778" s="126">
        <v>1</v>
      </c>
      <c r="CG778" s="126">
        <v>1</v>
      </c>
      <c r="CH778" s="126">
        <v>0</v>
      </c>
      <c r="CI778" s="126">
        <v>0</v>
      </c>
      <c r="CJ778" s="126">
        <v>0</v>
      </c>
      <c r="CK778" s="126">
        <v>0</v>
      </c>
      <c r="CL778" s="126">
        <v>0</v>
      </c>
      <c r="CM778" s="126">
        <v>0</v>
      </c>
      <c r="CN778" s="139">
        <v>0</v>
      </c>
      <c r="CO778">
        <v>0.20599999999999999</v>
      </c>
      <c r="CP778">
        <v>0</v>
      </c>
      <c r="CQ778">
        <v>1</v>
      </c>
      <c r="CR778">
        <v>0</v>
      </c>
      <c r="CS778">
        <v>17</v>
      </c>
      <c r="CT778" s="141"/>
      <c r="CY778" s="141"/>
    </row>
    <row r="779" spans="1:103" x14ac:dyDescent="0.25">
      <c r="A779">
        <v>778</v>
      </c>
      <c r="B779">
        <v>52</v>
      </c>
      <c r="C779" s="25" t="s">
        <v>481</v>
      </c>
      <c r="D779" s="12">
        <v>6.55</v>
      </c>
      <c r="E779" s="14">
        <v>0.03</v>
      </c>
      <c r="F779" s="7">
        <f t="shared" si="180"/>
        <v>218.33333333333334</v>
      </c>
      <c r="G779" s="7">
        <f t="shared" si="192"/>
        <v>6.52</v>
      </c>
      <c r="H779" s="16">
        <f t="shared" si="193"/>
        <v>6.58</v>
      </c>
      <c r="I779" s="11">
        <f t="shared" si="196"/>
        <v>0.38170020583238862</v>
      </c>
      <c r="J779" s="33">
        <f t="shared" si="197"/>
        <v>1.7482452175529249E-3</v>
      </c>
      <c r="K779" s="33">
        <f t="shared" si="198"/>
        <v>572.00213674814574</v>
      </c>
      <c r="L779" s="8">
        <v>1</v>
      </c>
      <c r="M779" s="9">
        <v>0</v>
      </c>
      <c r="N779" s="8">
        <v>0</v>
      </c>
      <c r="O779" s="9">
        <v>0</v>
      </c>
      <c r="P779" s="9">
        <v>0</v>
      </c>
      <c r="Q779" s="9">
        <v>1</v>
      </c>
      <c r="R779" s="9">
        <v>0</v>
      </c>
      <c r="S779" s="8">
        <v>279522</v>
      </c>
      <c r="T779" s="9">
        <v>4</v>
      </c>
      <c r="U779" s="9">
        <f t="shared" si="194"/>
        <v>279517</v>
      </c>
      <c r="V779" s="9">
        <f t="shared" si="195"/>
        <v>8</v>
      </c>
      <c r="W779" s="7">
        <v>13.04</v>
      </c>
      <c r="X779" s="7">
        <f t="shared" ref="X779:X786" si="199">BL779-W779-6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v>0</v>
      </c>
      <c r="BF779" s="18">
        <v>0</v>
      </c>
      <c r="BG779">
        <v>1</v>
      </c>
      <c r="BH779">
        <v>0</v>
      </c>
      <c r="BI779" s="18">
        <v>0</v>
      </c>
      <c r="BJ779">
        <v>19291</v>
      </c>
      <c r="BK779">
        <v>21201</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6"/>
        <v>4.1267745656530536E-3</v>
      </c>
      <c r="J780" s="33">
        <f t="shared" si="197"/>
        <v>1.891438342590983E-3</v>
      </c>
      <c r="K780" s="33">
        <f t="shared" si="198"/>
        <v>528.69817507778339</v>
      </c>
      <c r="L780" s="8">
        <v>1</v>
      </c>
      <c r="M780" s="9">
        <v>0</v>
      </c>
      <c r="N780" s="8">
        <v>0</v>
      </c>
      <c r="O780" s="9">
        <v>0</v>
      </c>
      <c r="P780" s="9">
        <v>0</v>
      </c>
      <c r="Q780" s="9">
        <v>1</v>
      </c>
      <c r="R780" s="9">
        <v>0</v>
      </c>
      <c r="S780" s="8">
        <v>279522</v>
      </c>
      <c r="T780" s="9">
        <v>4</v>
      </c>
      <c r="U780" s="9">
        <f t="shared" si="194"/>
        <v>279517</v>
      </c>
      <c r="V780" s="9">
        <f t="shared" si="195"/>
        <v>8</v>
      </c>
      <c r="W780" s="7">
        <v>13.04</v>
      </c>
      <c r="X780" s="7">
        <f t="shared" si="199"/>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v>0</v>
      </c>
      <c r="BF780" s="18">
        <v>0</v>
      </c>
      <c r="BG780">
        <v>1</v>
      </c>
      <c r="BH780">
        <v>0</v>
      </c>
      <c r="BI780" s="18">
        <v>0</v>
      </c>
      <c r="BJ780">
        <v>19291</v>
      </c>
      <c r="BK780">
        <v>21201</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6"/>
        <v>9.2677287664315669E-3</v>
      </c>
      <c r="J781" s="33">
        <f t="shared" si="197"/>
        <v>1.8913732176390956E-3</v>
      </c>
      <c r="K781" s="33">
        <f t="shared" si="198"/>
        <v>528.7163795457825</v>
      </c>
      <c r="L781" s="8">
        <v>1</v>
      </c>
      <c r="M781" s="9">
        <v>0</v>
      </c>
      <c r="N781" s="8">
        <v>0</v>
      </c>
      <c r="O781" s="9">
        <v>0</v>
      </c>
      <c r="P781" s="9">
        <v>0</v>
      </c>
      <c r="Q781" s="9">
        <v>1</v>
      </c>
      <c r="R781" s="9">
        <v>0</v>
      </c>
      <c r="S781" s="8">
        <v>279522</v>
      </c>
      <c r="T781" s="9">
        <v>4</v>
      </c>
      <c r="U781" s="9">
        <f t="shared" si="194"/>
        <v>279517</v>
      </c>
      <c r="V781" s="9">
        <f t="shared" si="195"/>
        <v>8</v>
      </c>
      <c r="W781" s="7">
        <v>13.04</v>
      </c>
      <c r="X781" s="7">
        <f t="shared" si="199"/>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v>0</v>
      </c>
      <c r="BF781" s="18">
        <v>0</v>
      </c>
      <c r="BG781">
        <v>1</v>
      </c>
      <c r="BH781">
        <v>0</v>
      </c>
      <c r="BI781" s="18">
        <v>0</v>
      </c>
      <c r="BJ781">
        <v>19291</v>
      </c>
      <c r="BK781">
        <v>21201</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6"/>
        <v>1.0297372675932382E-2</v>
      </c>
      <c r="J782" s="33">
        <f t="shared" si="197"/>
        <v>1.8913541649671723E-3</v>
      </c>
      <c r="K782" s="33">
        <f t="shared" si="198"/>
        <v>528.72170560258701</v>
      </c>
      <c r="L782" s="8">
        <v>1</v>
      </c>
      <c r="M782" s="9">
        <v>0</v>
      </c>
      <c r="N782" s="8">
        <v>0</v>
      </c>
      <c r="O782" s="9">
        <v>0</v>
      </c>
      <c r="P782" s="9">
        <v>0</v>
      </c>
      <c r="Q782" s="9">
        <v>1</v>
      </c>
      <c r="R782" s="9">
        <v>0</v>
      </c>
      <c r="S782" s="8">
        <v>279522</v>
      </c>
      <c r="T782" s="9">
        <v>4</v>
      </c>
      <c r="U782" s="9">
        <f t="shared" si="194"/>
        <v>279517</v>
      </c>
      <c r="V782" s="9">
        <f t="shared" si="195"/>
        <v>8</v>
      </c>
      <c r="W782" s="7">
        <v>13.04</v>
      </c>
      <c r="X782" s="7">
        <f t="shared" si="199"/>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v>0</v>
      </c>
      <c r="BF782" s="18">
        <v>0</v>
      </c>
      <c r="BG782">
        <v>1</v>
      </c>
      <c r="BH782">
        <v>0</v>
      </c>
      <c r="BI782" s="18">
        <v>0</v>
      </c>
      <c r="BJ782">
        <v>19291</v>
      </c>
      <c r="BK782">
        <v>21201</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80"/>
        <v>185.75</v>
      </c>
      <c r="G783" s="7">
        <f t="shared" si="192"/>
        <v>7.39</v>
      </c>
      <c r="H783" s="16">
        <f t="shared" si="193"/>
        <v>7.47</v>
      </c>
      <c r="I783" s="11">
        <f t="shared" si="196"/>
        <v>0.33147450030132436</v>
      </c>
      <c r="J783" s="33">
        <f t="shared" si="197"/>
        <v>1.7845195170999963E-3</v>
      </c>
      <c r="K783" s="33">
        <f t="shared" si="198"/>
        <v>560.37493029221071</v>
      </c>
      <c r="L783" s="8">
        <v>1</v>
      </c>
      <c r="M783" s="9">
        <v>0</v>
      </c>
      <c r="N783" s="8">
        <v>0</v>
      </c>
      <c r="O783" s="9">
        <v>0</v>
      </c>
      <c r="P783" s="9">
        <v>0</v>
      </c>
      <c r="Q783" s="9">
        <v>1</v>
      </c>
      <c r="R783" s="9">
        <v>0</v>
      </c>
      <c r="S783" s="8">
        <v>279522</v>
      </c>
      <c r="T783" s="9">
        <v>4</v>
      </c>
      <c r="U783" s="9">
        <f t="shared" si="194"/>
        <v>279517</v>
      </c>
      <c r="V783" s="9">
        <f t="shared" si="195"/>
        <v>8</v>
      </c>
      <c r="W783" s="7">
        <v>13.04</v>
      </c>
      <c r="X783" s="7">
        <f t="shared" si="199"/>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v>0</v>
      </c>
      <c r="BF783" s="18">
        <v>0</v>
      </c>
      <c r="BG783">
        <v>1</v>
      </c>
      <c r="BH783">
        <v>0</v>
      </c>
      <c r="BI783" s="18">
        <v>0</v>
      </c>
      <c r="BJ783">
        <v>19291</v>
      </c>
      <c r="BK783">
        <v>21201</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6"/>
        <v>3.9855330766543993E-3</v>
      </c>
      <c r="J784" s="33">
        <f t="shared" si="197"/>
        <v>1.8914394262088674E-3</v>
      </c>
      <c r="K784" s="33">
        <f t="shared" si="198"/>
        <v>528.69787218317833</v>
      </c>
      <c r="L784" s="8">
        <v>1</v>
      </c>
      <c r="M784" s="9">
        <v>0</v>
      </c>
      <c r="N784" s="8">
        <v>0</v>
      </c>
      <c r="O784" s="9">
        <v>0</v>
      </c>
      <c r="P784" s="9">
        <v>0</v>
      </c>
      <c r="Q784" s="9">
        <v>1</v>
      </c>
      <c r="R784" s="9">
        <v>0</v>
      </c>
      <c r="S784" s="8">
        <v>279522</v>
      </c>
      <c r="T784" s="9">
        <v>4</v>
      </c>
      <c r="U784" s="9">
        <f t="shared" si="194"/>
        <v>279517</v>
      </c>
      <c r="V784" s="9">
        <f t="shared" si="195"/>
        <v>8</v>
      </c>
      <c r="W784" s="7">
        <v>13.04</v>
      </c>
      <c r="X784" s="7">
        <f t="shared" si="199"/>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v>0</v>
      </c>
      <c r="BF784" s="18">
        <v>0</v>
      </c>
      <c r="BG784">
        <v>1</v>
      </c>
      <c r="BH784">
        <v>0</v>
      </c>
      <c r="BI784" s="18">
        <v>0</v>
      </c>
      <c r="BJ784">
        <v>19291</v>
      </c>
      <c r="BK784">
        <v>21201</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6"/>
        <v>9.2923967244782774E-3</v>
      </c>
      <c r="J785" s="33">
        <f t="shared" si="197"/>
        <v>1.8913727846283218E-3</v>
      </c>
      <c r="K785" s="33">
        <f t="shared" si="198"/>
        <v>528.71650059007925</v>
      </c>
      <c r="L785" s="8">
        <v>1</v>
      </c>
      <c r="M785" s="9">
        <v>0</v>
      </c>
      <c r="N785" s="8">
        <v>0</v>
      </c>
      <c r="O785" s="9">
        <v>0</v>
      </c>
      <c r="P785" s="9">
        <v>0</v>
      </c>
      <c r="Q785" s="9">
        <v>1</v>
      </c>
      <c r="R785" s="9">
        <v>0</v>
      </c>
      <c r="S785" s="8">
        <v>279522</v>
      </c>
      <c r="T785" s="9">
        <v>4</v>
      </c>
      <c r="U785" s="9">
        <f t="shared" si="194"/>
        <v>279517</v>
      </c>
      <c r="V785" s="9">
        <f t="shared" si="195"/>
        <v>8</v>
      </c>
      <c r="W785" s="7">
        <v>13.04</v>
      </c>
      <c r="X785" s="7">
        <f t="shared" si="199"/>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v>0</v>
      </c>
      <c r="BF785" s="18">
        <v>0</v>
      </c>
      <c r="BG785">
        <v>1</v>
      </c>
      <c r="BH785">
        <v>0</v>
      </c>
      <c r="BI785" s="18">
        <v>0</v>
      </c>
      <c r="BJ785">
        <v>19291</v>
      </c>
      <c r="BK785">
        <v>21201</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80"/>
        <v>5.333333333333333</v>
      </c>
      <c r="G786" s="7">
        <f t="shared" si="192"/>
        <v>9.1</v>
      </c>
      <c r="H786" s="16">
        <f t="shared" si="193"/>
        <v>13.299999999999999</v>
      </c>
      <c r="I786" s="11">
        <f t="shared" si="196"/>
        <v>1.0087243819210572E-2</v>
      </c>
      <c r="J786" s="33">
        <f t="shared" si="197"/>
        <v>1.8913582161019823E-3</v>
      </c>
      <c r="K786" s="33">
        <f t="shared" si="198"/>
        <v>528.72057312388029</v>
      </c>
      <c r="L786" s="8">
        <v>1</v>
      </c>
      <c r="M786" s="9">
        <v>0</v>
      </c>
      <c r="N786" s="8">
        <v>0</v>
      </c>
      <c r="O786" s="9">
        <v>0</v>
      </c>
      <c r="P786" s="9">
        <v>0</v>
      </c>
      <c r="Q786" s="9">
        <v>1</v>
      </c>
      <c r="R786" s="9">
        <v>0</v>
      </c>
      <c r="S786" s="8">
        <v>279522</v>
      </c>
      <c r="T786" s="9">
        <v>4</v>
      </c>
      <c r="U786" s="9">
        <f t="shared" si="194"/>
        <v>279517</v>
      </c>
      <c r="V786" s="9">
        <f t="shared" si="195"/>
        <v>8</v>
      </c>
      <c r="W786" s="7">
        <v>13.04</v>
      </c>
      <c r="X786" s="7">
        <f t="shared" si="199"/>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v>0</v>
      </c>
      <c r="BF786" s="18">
        <v>0</v>
      </c>
      <c r="BG786">
        <v>1</v>
      </c>
      <c r="BH786">
        <v>0</v>
      </c>
      <c r="BI786" s="18">
        <v>0</v>
      </c>
      <c r="BJ786">
        <v>19291</v>
      </c>
      <c r="BK786">
        <v>21201</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4020</v>
      </c>
      <c r="D787" s="12">
        <v>8.5299999999999994</v>
      </c>
      <c r="E787" s="14">
        <f t="shared" ref="E787:E797" si="200">D787/F787</f>
        <v>0.92818280739934711</v>
      </c>
      <c r="F787" s="7">
        <v>9.19</v>
      </c>
      <c r="G787" s="7">
        <f t="shared" si="192"/>
        <v>7.6018171926006524</v>
      </c>
      <c r="H787" s="16">
        <f t="shared" si="193"/>
        <v>9.4581828073993464</v>
      </c>
      <c r="I787" s="11">
        <f t="shared" si="196"/>
        <v>0.4255103448500257</v>
      </c>
      <c r="J787" s="33">
        <f t="shared" si="197"/>
        <v>4.630145210555231E-2</v>
      </c>
      <c r="K787" s="33">
        <f t="shared" si="198"/>
        <v>21.59759477349272</v>
      </c>
      <c r="L787" s="8">
        <v>1</v>
      </c>
      <c r="M787" s="9">
        <v>0</v>
      </c>
      <c r="N787" s="8">
        <v>0</v>
      </c>
      <c r="O787" s="9">
        <v>1</v>
      </c>
      <c r="P787" s="9">
        <v>0</v>
      </c>
      <c r="Q787" s="9">
        <v>0</v>
      </c>
      <c r="R787" s="9">
        <v>0</v>
      </c>
      <c r="S787" s="8">
        <v>389</v>
      </c>
      <c r="T787" s="9">
        <v>6</v>
      </c>
      <c r="U787" s="9">
        <f t="shared" si="194"/>
        <v>382</v>
      </c>
      <c r="V787" s="9">
        <f t="shared" si="195"/>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v>0</v>
      </c>
      <c r="BF787" s="18">
        <v>1</v>
      </c>
      <c r="BG787">
        <v>0</v>
      </c>
      <c r="BH787">
        <v>0</v>
      </c>
      <c r="BI787" s="18">
        <v>1</v>
      </c>
      <c r="BJ787" t="s">
        <v>98</v>
      </c>
      <c r="BK787">
        <v>17</v>
      </c>
      <c r="BL787" s="93">
        <f t="shared" ref="BL787:BL797" si="201">W787+X787+6</f>
        <v>33.92</v>
      </c>
      <c r="BM787">
        <v>1</v>
      </c>
      <c r="BN787">
        <v>0</v>
      </c>
      <c r="BO787">
        <v>0</v>
      </c>
      <c r="BP787">
        <v>0</v>
      </c>
      <c r="BQ787">
        <v>0</v>
      </c>
      <c r="BR787">
        <v>0</v>
      </c>
      <c r="BS787">
        <v>0</v>
      </c>
      <c r="BT787" s="18">
        <v>0</v>
      </c>
      <c r="BU787">
        <v>0</v>
      </c>
      <c r="BV787">
        <v>0</v>
      </c>
      <c r="BW787">
        <v>1</v>
      </c>
      <c r="BX787" s="18">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4020</v>
      </c>
      <c r="D788" s="12">
        <v>7.51</v>
      </c>
      <c r="E788" s="14">
        <f t="shared" si="200"/>
        <v>1.0080536912751676</v>
      </c>
      <c r="F788" s="7">
        <v>7.45</v>
      </c>
      <c r="G788" s="7">
        <f t="shared" si="192"/>
        <v>6.5019463087248326</v>
      </c>
      <c r="H788" s="16">
        <f t="shared" si="193"/>
        <v>8.518053691275167</v>
      </c>
      <c r="I788" s="11">
        <f t="shared" si="196"/>
        <v>0.4409113869173576</v>
      </c>
      <c r="J788" s="33">
        <f t="shared" si="197"/>
        <v>5.9182736498974167E-2</v>
      </c>
      <c r="K788" s="33">
        <f t="shared" si="198"/>
        <v>16.896819227298376</v>
      </c>
      <c r="L788" s="8">
        <v>1</v>
      </c>
      <c r="M788" s="9">
        <v>0</v>
      </c>
      <c r="N788" s="8">
        <v>0</v>
      </c>
      <c r="O788" s="9">
        <v>1</v>
      </c>
      <c r="P788" s="9">
        <v>0</v>
      </c>
      <c r="Q788" s="9">
        <v>0</v>
      </c>
      <c r="R788" s="9">
        <v>0</v>
      </c>
      <c r="S788" s="8">
        <v>237</v>
      </c>
      <c r="T788" s="9">
        <v>6</v>
      </c>
      <c r="U788" s="9">
        <f t="shared" si="194"/>
        <v>230</v>
      </c>
      <c r="V788" s="9">
        <f t="shared" si="195"/>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v>0</v>
      </c>
      <c r="BF788" s="18">
        <v>1</v>
      </c>
      <c r="BG788">
        <v>0</v>
      </c>
      <c r="BH788">
        <v>0</v>
      </c>
      <c r="BI788" s="18">
        <v>1</v>
      </c>
      <c r="BJ788" t="s">
        <v>98</v>
      </c>
      <c r="BK788">
        <v>17</v>
      </c>
      <c r="BL788" s="93">
        <f t="shared" si="201"/>
        <v>33.92</v>
      </c>
      <c r="BM788">
        <v>1</v>
      </c>
      <c r="BN788">
        <v>0</v>
      </c>
      <c r="BO788">
        <v>0</v>
      </c>
      <c r="BP788">
        <v>0</v>
      </c>
      <c r="BQ788">
        <v>0</v>
      </c>
      <c r="BR788">
        <v>0</v>
      </c>
      <c r="BS788">
        <v>0</v>
      </c>
      <c r="BT788" s="18">
        <v>0</v>
      </c>
      <c r="BU788">
        <v>0</v>
      </c>
      <c r="BV788">
        <v>0</v>
      </c>
      <c r="BW788">
        <v>1</v>
      </c>
      <c r="BX788" s="1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4020</v>
      </c>
      <c r="D789" s="12">
        <v>6.04</v>
      </c>
      <c r="E789" s="14">
        <f t="shared" si="200"/>
        <v>1.6547945205479453</v>
      </c>
      <c r="F789" s="7">
        <v>3.65</v>
      </c>
      <c r="G789" s="7">
        <f t="shared" si="192"/>
        <v>4.385205479452055</v>
      </c>
      <c r="H789" s="16">
        <f t="shared" si="193"/>
        <v>7.6947945205479451</v>
      </c>
      <c r="I789" s="11">
        <f t="shared" si="196"/>
        <v>0.23447470277510901</v>
      </c>
      <c r="J789" s="33">
        <f t="shared" si="197"/>
        <v>6.4239644595920284E-2</v>
      </c>
      <c r="K789" s="33">
        <f t="shared" si="198"/>
        <v>15.566711277594891</v>
      </c>
      <c r="L789" s="8">
        <v>1</v>
      </c>
      <c r="M789" s="9">
        <v>0</v>
      </c>
      <c r="N789" s="8">
        <v>0</v>
      </c>
      <c r="O789" s="9">
        <v>1</v>
      </c>
      <c r="P789" s="9">
        <v>0</v>
      </c>
      <c r="Q789" s="9">
        <v>0</v>
      </c>
      <c r="R789" s="9">
        <v>0</v>
      </c>
      <c r="S789" s="8">
        <v>237</v>
      </c>
      <c r="T789" s="9">
        <v>7</v>
      </c>
      <c r="U789" s="9">
        <f t="shared" si="194"/>
        <v>229</v>
      </c>
      <c r="V789" s="9">
        <f t="shared" si="195"/>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v>0</v>
      </c>
      <c r="BF789" s="18">
        <v>1</v>
      </c>
      <c r="BG789">
        <v>0</v>
      </c>
      <c r="BH789">
        <v>0</v>
      </c>
      <c r="BI789" s="18">
        <v>1</v>
      </c>
      <c r="BJ789" t="s">
        <v>98</v>
      </c>
      <c r="BK789">
        <v>17</v>
      </c>
      <c r="BL789" s="93">
        <f t="shared" si="201"/>
        <v>33.92</v>
      </c>
      <c r="BM789">
        <v>0</v>
      </c>
      <c r="BN789">
        <v>0</v>
      </c>
      <c r="BO789">
        <v>0</v>
      </c>
      <c r="BP789">
        <v>0</v>
      </c>
      <c r="BQ789">
        <v>1</v>
      </c>
      <c r="BR789">
        <v>0</v>
      </c>
      <c r="BS789">
        <v>0</v>
      </c>
      <c r="BT789" s="18">
        <v>0</v>
      </c>
      <c r="BU789">
        <v>0</v>
      </c>
      <c r="BV789">
        <v>0</v>
      </c>
      <c r="BW789">
        <v>1</v>
      </c>
      <c r="BX789" s="18">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4020</v>
      </c>
      <c r="D790" s="12">
        <v>3.87</v>
      </c>
      <c r="E790" s="14">
        <f t="shared" si="200"/>
        <v>1.3253424657534247</v>
      </c>
      <c r="F790" s="7">
        <v>2.92</v>
      </c>
      <c r="G790" s="7">
        <f t="shared" si="192"/>
        <v>2.5446575342465754</v>
      </c>
      <c r="H790" s="16">
        <f t="shared" si="193"/>
        <v>5.1953424657534253</v>
      </c>
      <c r="I790" s="11">
        <f t="shared" si="196"/>
        <v>0.18946408995865949</v>
      </c>
      <c r="J790" s="33">
        <f t="shared" si="197"/>
        <v>6.4884962314609412E-2</v>
      </c>
      <c r="K790" s="33">
        <f t="shared" si="198"/>
        <v>15.411891512724841</v>
      </c>
      <c r="L790" s="8">
        <v>1</v>
      </c>
      <c r="M790" s="9">
        <v>0</v>
      </c>
      <c r="N790" s="8">
        <v>0</v>
      </c>
      <c r="O790" s="9">
        <v>1</v>
      </c>
      <c r="P790" s="9">
        <v>0</v>
      </c>
      <c r="Q790" s="9">
        <v>0</v>
      </c>
      <c r="R790" s="9">
        <v>0</v>
      </c>
      <c r="S790" s="8">
        <v>237</v>
      </c>
      <c r="T790" s="9">
        <v>7</v>
      </c>
      <c r="U790" s="9">
        <f t="shared" si="194"/>
        <v>229</v>
      </c>
      <c r="V790" s="9">
        <f t="shared" si="195"/>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v>0</v>
      </c>
      <c r="BF790" s="18">
        <v>1</v>
      </c>
      <c r="BG790">
        <v>0</v>
      </c>
      <c r="BH790">
        <v>0</v>
      </c>
      <c r="BI790" s="18">
        <v>1</v>
      </c>
      <c r="BJ790" t="s">
        <v>98</v>
      </c>
      <c r="BK790">
        <v>17</v>
      </c>
      <c r="BL790" s="93">
        <f t="shared" si="201"/>
        <v>33.92</v>
      </c>
      <c r="BM790">
        <v>0</v>
      </c>
      <c r="BN790">
        <v>0</v>
      </c>
      <c r="BO790">
        <v>0</v>
      </c>
      <c r="BP790">
        <v>0</v>
      </c>
      <c r="BQ790">
        <v>1</v>
      </c>
      <c r="BR790">
        <v>0</v>
      </c>
      <c r="BS790">
        <v>0</v>
      </c>
      <c r="BT790" s="18">
        <v>0</v>
      </c>
      <c r="BU790">
        <v>0</v>
      </c>
      <c r="BV790">
        <v>0</v>
      </c>
      <c r="BW790">
        <v>1</v>
      </c>
      <c r="BX790" s="18">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4020</v>
      </c>
      <c r="D791" s="12">
        <v>7.28</v>
      </c>
      <c r="E791" s="14">
        <f t="shared" si="200"/>
        <v>2.1927710843373496</v>
      </c>
      <c r="F791" s="7">
        <v>3.32</v>
      </c>
      <c r="G791" s="7">
        <f t="shared" si="192"/>
        <v>5.0872289156626511</v>
      </c>
      <c r="H791" s="16">
        <f t="shared" si="193"/>
        <v>9.4727710843373494</v>
      </c>
      <c r="I791" s="11">
        <f t="shared" si="196"/>
        <v>0.26579365338014427</v>
      </c>
      <c r="J791" s="33">
        <f t="shared" si="197"/>
        <v>8.0058329331368777E-2</v>
      </c>
      <c r="K791" s="33">
        <f t="shared" si="198"/>
        <v>12.49089268227055</v>
      </c>
      <c r="L791" s="8">
        <v>1</v>
      </c>
      <c r="M791" s="9">
        <v>0</v>
      </c>
      <c r="N791" s="8">
        <v>0</v>
      </c>
      <c r="O791" s="9">
        <v>1</v>
      </c>
      <c r="P791" s="9">
        <v>0</v>
      </c>
      <c r="Q791" s="9">
        <v>0</v>
      </c>
      <c r="R791" s="9">
        <v>0</v>
      </c>
      <c r="S791" s="8">
        <v>152</v>
      </c>
      <c r="T791" s="9">
        <v>6</v>
      </c>
      <c r="U791" s="9">
        <f t="shared" si="194"/>
        <v>145</v>
      </c>
      <c r="V791" s="9">
        <f t="shared" si="195"/>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v>0</v>
      </c>
      <c r="BF791" s="18">
        <v>1</v>
      </c>
      <c r="BG791">
        <v>0</v>
      </c>
      <c r="BH791">
        <v>0</v>
      </c>
      <c r="BI791" s="18">
        <v>1</v>
      </c>
      <c r="BJ791" t="s">
        <v>98</v>
      </c>
      <c r="BK791">
        <v>17</v>
      </c>
      <c r="BL791" s="93">
        <f t="shared" si="201"/>
        <v>33.92</v>
      </c>
      <c r="BM791">
        <v>1</v>
      </c>
      <c r="BN791">
        <v>0</v>
      </c>
      <c r="BO791">
        <v>0</v>
      </c>
      <c r="BP791">
        <v>0</v>
      </c>
      <c r="BQ791">
        <v>0</v>
      </c>
      <c r="BR791">
        <v>0</v>
      </c>
      <c r="BS791">
        <v>0</v>
      </c>
      <c r="BT791" s="18">
        <v>0</v>
      </c>
      <c r="BU791">
        <v>0</v>
      </c>
      <c r="BV791">
        <v>0</v>
      </c>
      <c r="BW791">
        <v>1</v>
      </c>
      <c r="BX791" s="18">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4020</v>
      </c>
      <c r="D792" s="12">
        <v>0.32</v>
      </c>
      <c r="E792" s="14">
        <f t="shared" si="200"/>
        <v>4</v>
      </c>
      <c r="F792" s="7">
        <v>0.08</v>
      </c>
      <c r="G792" s="7">
        <f t="shared" si="192"/>
        <v>-3.68</v>
      </c>
      <c r="H792" s="16">
        <f t="shared" si="193"/>
        <v>4.32</v>
      </c>
      <c r="I792" s="11">
        <f t="shared" si="196"/>
        <v>6.6665185234566068E-3</v>
      </c>
      <c r="J792" s="33">
        <f t="shared" si="197"/>
        <v>8.3331481543207589E-2</v>
      </c>
      <c r="K792" s="33">
        <f t="shared" si="198"/>
        <v>12.000266663703769</v>
      </c>
      <c r="L792" s="8">
        <v>1</v>
      </c>
      <c r="M792" s="9">
        <v>0</v>
      </c>
      <c r="N792" s="8">
        <v>0</v>
      </c>
      <c r="O792" s="9">
        <v>1</v>
      </c>
      <c r="P792" s="9">
        <v>0</v>
      </c>
      <c r="Q792" s="9">
        <v>0</v>
      </c>
      <c r="R792" s="9">
        <v>0</v>
      </c>
      <c r="S792" s="8">
        <v>152</v>
      </c>
      <c r="T792" s="9">
        <v>7</v>
      </c>
      <c r="U792" s="9">
        <f t="shared" si="194"/>
        <v>144</v>
      </c>
      <c r="V792" s="9">
        <f t="shared" si="195"/>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v>0</v>
      </c>
      <c r="BF792" s="18">
        <v>1</v>
      </c>
      <c r="BG792">
        <v>0</v>
      </c>
      <c r="BH792">
        <v>0</v>
      </c>
      <c r="BI792" s="18">
        <v>1</v>
      </c>
      <c r="BJ792" t="s">
        <v>98</v>
      </c>
      <c r="BK792">
        <v>17</v>
      </c>
      <c r="BL792" s="93">
        <f t="shared" si="201"/>
        <v>33.92</v>
      </c>
      <c r="BM792">
        <v>0</v>
      </c>
      <c r="BN792">
        <v>0</v>
      </c>
      <c r="BO792">
        <v>0</v>
      </c>
      <c r="BP792">
        <v>0</v>
      </c>
      <c r="BQ792">
        <v>1</v>
      </c>
      <c r="BR792">
        <v>0</v>
      </c>
      <c r="BS792">
        <v>0</v>
      </c>
      <c r="BT792" s="18">
        <v>0</v>
      </c>
      <c r="BU792">
        <v>0</v>
      </c>
      <c r="BV792">
        <v>0</v>
      </c>
      <c r="BW792">
        <v>1</v>
      </c>
      <c r="BX792" s="18">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4020</v>
      </c>
      <c r="D793" s="12">
        <v>-0.45</v>
      </c>
      <c r="E793" s="14">
        <f t="shared" si="200"/>
        <v>10</v>
      </c>
      <c r="F793" s="7">
        <v>-4.4999999999999998E-2</v>
      </c>
      <c r="G793" s="7">
        <f t="shared" si="192"/>
        <v>-10.45</v>
      </c>
      <c r="H793" s="16">
        <f t="shared" si="193"/>
        <v>9.5500000000000007</v>
      </c>
      <c r="I793" s="11">
        <f t="shared" si="196"/>
        <v>-3.749973633090588E-3</v>
      </c>
      <c r="J793" s="33">
        <f t="shared" si="197"/>
        <v>8.3332747402013074E-2</v>
      </c>
      <c r="K793" s="33">
        <f t="shared" si="198"/>
        <v>12.00008437470337</v>
      </c>
      <c r="L793" s="8">
        <v>1</v>
      </c>
      <c r="M793" s="9">
        <v>0</v>
      </c>
      <c r="N793" s="8">
        <v>0</v>
      </c>
      <c r="O793" s="9">
        <v>1</v>
      </c>
      <c r="P793" s="9">
        <v>0</v>
      </c>
      <c r="Q793" s="9">
        <v>0</v>
      </c>
      <c r="R793" s="9">
        <v>0</v>
      </c>
      <c r="S793" s="8">
        <v>152</v>
      </c>
      <c r="T793" s="9">
        <v>7</v>
      </c>
      <c r="U793" s="9">
        <f t="shared" si="194"/>
        <v>144</v>
      </c>
      <c r="V793" s="9">
        <f t="shared" si="195"/>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v>0</v>
      </c>
      <c r="BF793" s="18">
        <v>1</v>
      </c>
      <c r="BG793">
        <v>0</v>
      </c>
      <c r="BH793">
        <v>0</v>
      </c>
      <c r="BI793" s="18">
        <v>1</v>
      </c>
      <c r="BJ793" t="s">
        <v>98</v>
      </c>
      <c r="BK793">
        <v>17</v>
      </c>
      <c r="BL793" s="93">
        <f t="shared" si="201"/>
        <v>33.92</v>
      </c>
      <c r="BM793">
        <v>0</v>
      </c>
      <c r="BN793">
        <v>0</v>
      </c>
      <c r="BO793">
        <v>0</v>
      </c>
      <c r="BP793">
        <v>0</v>
      </c>
      <c r="BQ793">
        <v>1</v>
      </c>
      <c r="BR793">
        <v>0</v>
      </c>
      <c r="BS793">
        <v>0</v>
      </c>
      <c r="BT793" s="18">
        <v>0</v>
      </c>
      <c r="BU793">
        <v>0</v>
      </c>
      <c r="BV793">
        <v>0</v>
      </c>
      <c r="BW793">
        <v>1</v>
      </c>
      <c r="BX793" s="18">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4020</v>
      </c>
      <c r="D794" s="12">
        <v>2.2200000000000002</v>
      </c>
      <c r="E794" s="14">
        <f t="shared" si="200"/>
        <v>2.3368421052631581</v>
      </c>
      <c r="F794" s="7">
        <v>0.95</v>
      </c>
      <c r="G794" s="7">
        <f t="shared" si="192"/>
        <v>-0.11684210526315786</v>
      </c>
      <c r="H794" s="16">
        <f t="shared" si="193"/>
        <v>4.5568421052631578</v>
      </c>
      <c r="I794" s="11">
        <f t="shared" si="196"/>
        <v>6.3918016547565334E-2</v>
      </c>
      <c r="J794" s="33">
        <f t="shared" si="197"/>
        <v>6.7282122681647724E-2</v>
      </c>
      <c r="K794" s="33">
        <f t="shared" si="198"/>
        <v>14.86278910568269</v>
      </c>
      <c r="L794" s="8">
        <v>1</v>
      </c>
      <c r="M794" s="9">
        <v>0</v>
      </c>
      <c r="N794" s="8">
        <v>0</v>
      </c>
      <c r="O794" s="9">
        <v>1</v>
      </c>
      <c r="P794" s="9">
        <v>0</v>
      </c>
      <c r="Q794" s="9">
        <v>0</v>
      </c>
      <c r="R794" s="9">
        <v>0</v>
      </c>
      <c r="S794" s="8">
        <v>237</v>
      </c>
      <c r="T794" s="9">
        <v>16</v>
      </c>
      <c r="U794" s="9">
        <f t="shared" si="194"/>
        <v>220</v>
      </c>
      <c r="V794" s="9">
        <f t="shared" si="195"/>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v>0</v>
      </c>
      <c r="BF794" s="18">
        <v>1</v>
      </c>
      <c r="BG794">
        <v>0</v>
      </c>
      <c r="BH794">
        <v>0</v>
      </c>
      <c r="BI794" s="18">
        <v>1</v>
      </c>
      <c r="BJ794" t="s">
        <v>98</v>
      </c>
      <c r="BK794">
        <v>17</v>
      </c>
      <c r="BL794" s="93">
        <f t="shared" si="201"/>
        <v>33.92</v>
      </c>
      <c r="BM794">
        <v>1</v>
      </c>
      <c r="BN794">
        <v>0</v>
      </c>
      <c r="BO794">
        <v>0</v>
      </c>
      <c r="BP794">
        <v>0</v>
      </c>
      <c r="BQ794">
        <v>0</v>
      </c>
      <c r="BR794">
        <v>0</v>
      </c>
      <c r="BS794">
        <v>0</v>
      </c>
      <c r="BT794" s="18">
        <v>0</v>
      </c>
      <c r="BU794">
        <v>1</v>
      </c>
      <c r="BV794">
        <v>0</v>
      </c>
      <c r="BW794">
        <v>0</v>
      </c>
      <c r="BX794" s="18">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4020</v>
      </c>
      <c r="D795" s="12">
        <v>4.82</v>
      </c>
      <c r="E795" s="14">
        <f t="shared" si="200"/>
        <v>2.9036144578313254</v>
      </c>
      <c r="F795" s="7">
        <v>1.66</v>
      </c>
      <c r="G795" s="7">
        <f t="shared" si="192"/>
        <v>1.9163855421686748</v>
      </c>
      <c r="H795" s="16">
        <f t="shared" si="193"/>
        <v>7.7236144578313262</v>
      </c>
      <c r="I795" s="11">
        <f t="shared" si="196"/>
        <v>0.1112227868108151</v>
      </c>
      <c r="J795" s="33">
        <f t="shared" si="197"/>
        <v>6.7001678801695844E-2</v>
      </c>
      <c r="K795" s="33">
        <f t="shared" si="198"/>
        <v>14.924999162479038</v>
      </c>
      <c r="L795" s="8">
        <v>1</v>
      </c>
      <c r="M795" s="9">
        <v>0</v>
      </c>
      <c r="N795" s="8">
        <v>0</v>
      </c>
      <c r="O795" s="9">
        <v>1</v>
      </c>
      <c r="P795" s="9">
        <v>0</v>
      </c>
      <c r="Q795" s="9">
        <v>0</v>
      </c>
      <c r="R795" s="9">
        <v>0</v>
      </c>
      <c r="S795" s="8">
        <v>237</v>
      </c>
      <c r="T795" s="9">
        <v>16</v>
      </c>
      <c r="U795" s="9">
        <f t="shared" si="194"/>
        <v>220</v>
      </c>
      <c r="V795" s="9">
        <f t="shared" si="195"/>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v>0</v>
      </c>
      <c r="BF795" s="18">
        <v>1</v>
      </c>
      <c r="BG795">
        <v>0</v>
      </c>
      <c r="BH795">
        <v>0</v>
      </c>
      <c r="BI795" s="18">
        <v>1</v>
      </c>
      <c r="BJ795" t="s">
        <v>98</v>
      </c>
      <c r="BK795">
        <v>17</v>
      </c>
      <c r="BL795" s="93">
        <f t="shared" si="201"/>
        <v>33.92</v>
      </c>
      <c r="BM795">
        <v>1</v>
      </c>
      <c r="BN795">
        <v>0</v>
      </c>
      <c r="BO795">
        <v>0</v>
      </c>
      <c r="BP795">
        <v>0</v>
      </c>
      <c r="BQ795">
        <v>0</v>
      </c>
      <c r="BR795">
        <v>0</v>
      </c>
      <c r="BS795">
        <v>0</v>
      </c>
      <c r="BT795" s="18">
        <v>0</v>
      </c>
      <c r="BU795">
        <v>1</v>
      </c>
      <c r="BV795">
        <v>0</v>
      </c>
      <c r="BW795">
        <v>0</v>
      </c>
      <c r="BX795" s="18">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4020</v>
      </c>
      <c r="D796" s="12">
        <v>9.76</v>
      </c>
      <c r="E796" s="14">
        <f t="shared" si="200"/>
        <v>2.8208092485549132</v>
      </c>
      <c r="F796" s="7">
        <v>3.46</v>
      </c>
      <c r="G796" s="7">
        <f t="shared" si="192"/>
        <v>6.9391907514450866</v>
      </c>
      <c r="H796" s="16">
        <f t="shared" si="193"/>
        <v>12.580809248554914</v>
      </c>
      <c r="I796" s="11">
        <f t="shared" si="196"/>
        <v>0.17611584209363634</v>
      </c>
      <c r="J796" s="33">
        <f t="shared" si="197"/>
        <v>5.0900532397004726E-2</v>
      </c>
      <c r="K796" s="33">
        <f t="shared" si="198"/>
        <v>19.646159930123748</v>
      </c>
      <c r="L796" s="8">
        <v>1</v>
      </c>
      <c r="M796" s="9">
        <v>0</v>
      </c>
      <c r="N796" s="8">
        <v>0</v>
      </c>
      <c r="O796" s="9">
        <v>1</v>
      </c>
      <c r="P796" s="9">
        <v>0</v>
      </c>
      <c r="Q796" s="9">
        <v>0</v>
      </c>
      <c r="R796" s="9">
        <v>0</v>
      </c>
      <c r="S796" s="8">
        <v>389</v>
      </c>
      <c r="T796" s="9">
        <v>14</v>
      </c>
      <c r="U796" s="9">
        <f t="shared" si="194"/>
        <v>374</v>
      </c>
      <c r="V796" s="9">
        <f t="shared" si="195"/>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v>0</v>
      </c>
      <c r="BF796" s="18">
        <v>1</v>
      </c>
      <c r="BG796">
        <v>0</v>
      </c>
      <c r="BH796">
        <v>0</v>
      </c>
      <c r="BI796" s="18">
        <v>1</v>
      </c>
      <c r="BJ796" t="s">
        <v>98</v>
      </c>
      <c r="BK796">
        <v>17</v>
      </c>
      <c r="BL796" s="93">
        <f t="shared" si="201"/>
        <v>33.92</v>
      </c>
      <c r="BM796">
        <v>0</v>
      </c>
      <c r="BN796">
        <v>0</v>
      </c>
      <c r="BO796">
        <v>0</v>
      </c>
      <c r="BP796">
        <v>0</v>
      </c>
      <c r="BQ796">
        <v>1</v>
      </c>
      <c r="BR796">
        <v>0</v>
      </c>
      <c r="BS796">
        <v>0</v>
      </c>
      <c r="BT796" s="18">
        <v>0</v>
      </c>
      <c r="BU796">
        <v>1</v>
      </c>
      <c r="BV796">
        <v>0</v>
      </c>
      <c r="BW796">
        <v>0</v>
      </c>
      <c r="BX796" s="18">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4020</v>
      </c>
      <c r="D797" s="12">
        <v>12.12</v>
      </c>
      <c r="E797" s="14">
        <f t="shared" si="200"/>
        <v>3.8113207547169807</v>
      </c>
      <c r="F797" s="7">
        <v>3.18</v>
      </c>
      <c r="G797" s="7">
        <f t="shared" si="192"/>
        <v>8.3086792452830185</v>
      </c>
      <c r="H797" s="16">
        <f t="shared" si="193"/>
        <v>15.93132075471698</v>
      </c>
      <c r="I797" s="11">
        <f t="shared" si="196"/>
        <v>6.4694677588783278E-2</v>
      </c>
      <c r="J797" s="33">
        <f t="shared" si="197"/>
        <v>2.0344238235466439E-2</v>
      </c>
      <c r="K797" s="33">
        <f t="shared" si="198"/>
        <v>49.153966269264579</v>
      </c>
      <c r="L797" s="8">
        <v>1</v>
      </c>
      <c r="M797" s="9">
        <v>0</v>
      </c>
      <c r="N797" s="8">
        <v>0</v>
      </c>
      <c r="O797" s="9">
        <v>1</v>
      </c>
      <c r="P797" s="9">
        <v>0</v>
      </c>
      <c r="Q797" s="9">
        <v>0</v>
      </c>
      <c r="R797" s="9">
        <v>0</v>
      </c>
      <c r="S797" s="8">
        <v>2421</v>
      </c>
      <c r="T797" s="9">
        <v>14</v>
      </c>
      <c r="U797" s="9">
        <f t="shared" si="194"/>
        <v>2406</v>
      </c>
      <c r="V797" s="9">
        <f t="shared" si="195"/>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v>0</v>
      </c>
      <c r="BF797" s="18">
        <v>1</v>
      </c>
      <c r="BG797">
        <v>0</v>
      </c>
      <c r="BH797">
        <v>0</v>
      </c>
      <c r="BI797" s="18">
        <v>1</v>
      </c>
      <c r="BJ797" t="s">
        <v>98</v>
      </c>
      <c r="BK797">
        <v>17</v>
      </c>
      <c r="BL797" s="93">
        <f t="shared" si="201"/>
        <v>33.92</v>
      </c>
      <c r="BM797">
        <v>0</v>
      </c>
      <c r="BN797">
        <v>0</v>
      </c>
      <c r="BO797">
        <v>0</v>
      </c>
      <c r="BP797">
        <v>0</v>
      </c>
      <c r="BQ797">
        <v>1</v>
      </c>
      <c r="BR797">
        <v>0</v>
      </c>
      <c r="BS797">
        <v>0</v>
      </c>
      <c r="BT797" s="18">
        <v>0</v>
      </c>
      <c r="BU797">
        <v>1</v>
      </c>
      <c r="BV797">
        <v>0</v>
      </c>
      <c r="BW797">
        <v>0</v>
      </c>
      <c r="BX797" s="18">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1.580170904221512</v>
      </c>
      <c r="E798" s="14">
        <v>0.1374061655844793</v>
      </c>
      <c r="F798" s="7">
        <v>11.5</v>
      </c>
      <c r="G798" s="7">
        <f t="shared" si="192"/>
        <v>1.4427647386370326</v>
      </c>
      <c r="H798" s="16">
        <f t="shared" si="193"/>
        <v>1.7175770698059913</v>
      </c>
      <c r="I798" s="11">
        <f t="shared" si="196"/>
        <v>0.18736377137981769</v>
      </c>
      <c r="J798" s="33">
        <f t="shared" si="197"/>
        <v>1.6292501859114582E-2</v>
      </c>
      <c r="K798" s="33">
        <f t="shared" si="198"/>
        <v>61.377927628749404</v>
      </c>
      <c r="L798" s="8">
        <v>1</v>
      </c>
      <c r="M798" s="9">
        <v>0</v>
      </c>
      <c r="N798" s="8">
        <v>0</v>
      </c>
      <c r="O798" s="9">
        <v>0</v>
      </c>
      <c r="P798" s="9">
        <v>1</v>
      </c>
      <c r="Q798" s="9">
        <v>0</v>
      </c>
      <c r="R798" s="9">
        <v>0</v>
      </c>
      <c r="S798" s="8">
        <v>3639</v>
      </c>
      <c r="T798" s="9">
        <v>3</v>
      </c>
      <c r="U798" s="9">
        <f t="shared" si="194"/>
        <v>3635</v>
      </c>
      <c r="V798" s="9">
        <f t="shared" si="195"/>
        <v>15</v>
      </c>
      <c r="W798" s="7">
        <f t="shared" ref="W798:W812" si="202">AM798*13+AN798*16</f>
        <v>13.849</v>
      </c>
      <c r="X798" s="7">
        <f t="shared" ref="X798:X824" si="203">BL798-W798-6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v>0</v>
      </c>
      <c r="BF798" s="18">
        <v>0</v>
      </c>
      <c r="BG798">
        <v>1</v>
      </c>
      <c r="BH798">
        <v>0</v>
      </c>
      <c r="BI798" s="18">
        <v>0</v>
      </c>
      <c r="BJ798" t="s">
        <v>98</v>
      </c>
      <c r="BK798">
        <v>27</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v>
      </c>
      <c r="F799" s="7">
        <v>5.875</v>
      </c>
      <c r="G799" s="7">
        <f t="shared" si="192"/>
        <v>0.53420270257077573</v>
      </c>
      <c r="H799" s="16">
        <f t="shared" si="193"/>
        <v>0.75336278567673498</v>
      </c>
      <c r="I799" s="11">
        <f t="shared" si="196"/>
        <v>9.6984761089135257E-2</v>
      </c>
      <c r="J799" s="33">
        <f t="shared" si="197"/>
        <v>1.6508044440703872E-2</v>
      </c>
      <c r="K799" s="33">
        <f t="shared" si="198"/>
        <v>60.576527013357243</v>
      </c>
      <c r="L799" s="8">
        <v>1</v>
      </c>
      <c r="M799" s="9">
        <v>0</v>
      </c>
      <c r="N799" s="8">
        <v>0</v>
      </c>
      <c r="O799" s="9">
        <v>0</v>
      </c>
      <c r="P799" s="9">
        <v>1</v>
      </c>
      <c r="Q799" s="9">
        <v>0</v>
      </c>
      <c r="R799" s="9">
        <v>0</v>
      </c>
      <c r="S799" s="8">
        <v>3639</v>
      </c>
      <c r="T799" s="9">
        <v>3</v>
      </c>
      <c r="U799" s="9">
        <f t="shared" si="194"/>
        <v>3635</v>
      </c>
      <c r="V799" s="9">
        <f t="shared" si="195"/>
        <v>15</v>
      </c>
      <c r="W799" s="7">
        <f t="shared" si="202"/>
        <v>13.849</v>
      </c>
      <c r="X799" s="7">
        <f t="shared" si="203"/>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v>0</v>
      </c>
      <c r="BF799" s="18">
        <v>0</v>
      </c>
      <c r="BG799">
        <v>1</v>
      </c>
      <c r="BH799">
        <v>0</v>
      </c>
      <c r="BI799" s="18">
        <v>0</v>
      </c>
      <c r="BJ799" t="s">
        <v>98</v>
      </c>
      <c r="BK799">
        <v>27</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6"/>
        <v>0.29515600137965536</v>
      </c>
      <c r="J800" s="33">
        <f t="shared" si="197"/>
        <v>1.5847302087498277E-2</v>
      </c>
      <c r="K800" s="33">
        <f t="shared" si="198"/>
        <v>63.102223613752308</v>
      </c>
      <c r="L800" s="8">
        <v>1</v>
      </c>
      <c r="M800" s="9">
        <v>0</v>
      </c>
      <c r="N800" s="8">
        <v>0</v>
      </c>
      <c r="O800" s="9">
        <v>0</v>
      </c>
      <c r="P800" s="9">
        <v>1</v>
      </c>
      <c r="Q800" s="9">
        <v>0</v>
      </c>
      <c r="R800" s="9">
        <v>0</v>
      </c>
      <c r="S800" s="8">
        <v>3639</v>
      </c>
      <c r="T800" s="9">
        <v>3</v>
      </c>
      <c r="U800" s="9">
        <f t="shared" si="194"/>
        <v>3635</v>
      </c>
      <c r="V800" s="9">
        <f t="shared" si="195"/>
        <v>15</v>
      </c>
      <c r="W800" s="7">
        <f t="shared" si="202"/>
        <v>13.849</v>
      </c>
      <c r="X800" s="7">
        <f t="shared" si="203"/>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v>0</v>
      </c>
      <c r="BF800" s="18">
        <v>0</v>
      </c>
      <c r="BG800">
        <v>1</v>
      </c>
      <c r="BH800">
        <v>0</v>
      </c>
      <c r="BI800" s="18">
        <v>0</v>
      </c>
      <c r="BJ800" t="s">
        <v>98</v>
      </c>
      <c r="BK800">
        <v>27</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1.288050552599951</v>
      </c>
      <c r="E801" s="14">
        <v>0.1396681322096332</v>
      </c>
      <c r="F801" s="7">
        <v>9.2222222222222232</v>
      </c>
      <c r="G801" s="7">
        <f t="shared" si="192"/>
        <v>1.1483824203903179</v>
      </c>
      <c r="H801" s="16">
        <f t="shared" si="193"/>
        <v>1.4277186848095842</v>
      </c>
      <c r="I801" s="11">
        <f t="shared" si="196"/>
        <v>0.15120328631414434</v>
      </c>
      <c r="J801" s="33">
        <f t="shared" si="197"/>
        <v>1.6395537070208421E-2</v>
      </c>
      <c r="K801" s="33">
        <f t="shared" si="198"/>
        <v>60.992207557326935</v>
      </c>
      <c r="L801" s="8">
        <v>1</v>
      </c>
      <c r="M801" s="9">
        <v>0</v>
      </c>
      <c r="N801" s="8">
        <v>0</v>
      </c>
      <c r="O801" s="9">
        <v>0</v>
      </c>
      <c r="P801" s="9">
        <v>1</v>
      </c>
      <c r="Q801" s="9">
        <v>0</v>
      </c>
      <c r="R801" s="9">
        <v>0</v>
      </c>
      <c r="S801" s="8">
        <v>3639</v>
      </c>
      <c r="T801" s="9">
        <v>3</v>
      </c>
      <c r="U801" s="9">
        <f t="shared" si="194"/>
        <v>3635</v>
      </c>
      <c r="V801" s="9">
        <f t="shared" si="195"/>
        <v>15</v>
      </c>
      <c r="W801" s="7">
        <f t="shared" si="202"/>
        <v>13.849</v>
      </c>
      <c r="X801" s="7">
        <f t="shared" si="203"/>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v>0</v>
      </c>
      <c r="BF801" s="18">
        <v>0</v>
      </c>
      <c r="BG801">
        <v>1</v>
      </c>
      <c r="BH801">
        <v>0</v>
      </c>
      <c r="BI801" s="18">
        <v>0</v>
      </c>
      <c r="BJ801" t="s">
        <v>98</v>
      </c>
      <c r="BK801">
        <v>27</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6"/>
        <v>7.9568172773817836E-2</v>
      </c>
      <c r="J802" s="33">
        <f t="shared" si="197"/>
        <v>1.6533646290663447E-2</v>
      </c>
      <c r="K802" s="33">
        <f t="shared" si="198"/>
        <v>60.482726098035627</v>
      </c>
      <c r="L802" s="8">
        <v>1</v>
      </c>
      <c r="M802" s="9">
        <v>0</v>
      </c>
      <c r="N802" s="8">
        <v>0</v>
      </c>
      <c r="O802" s="9">
        <v>0</v>
      </c>
      <c r="P802" s="9">
        <v>1</v>
      </c>
      <c r="Q802" s="9">
        <v>0</v>
      </c>
      <c r="R802" s="9">
        <v>0</v>
      </c>
      <c r="S802" s="8">
        <v>3639</v>
      </c>
      <c r="T802" s="9">
        <v>3</v>
      </c>
      <c r="U802" s="9">
        <f t="shared" si="194"/>
        <v>3635</v>
      </c>
      <c r="V802" s="9">
        <f t="shared" si="195"/>
        <v>15</v>
      </c>
      <c r="W802" s="7">
        <f t="shared" si="202"/>
        <v>13.849</v>
      </c>
      <c r="X802" s="7">
        <f t="shared" si="203"/>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v>0</v>
      </c>
      <c r="BF802" s="18">
        <v>0</v>
      </c>
      <c r="BG802">
        <v>1</v>
      </c>
      <c r="BH802">
        <v>0</v>
      </c>
      <c r="BI802" s="18">
        <v>0</v>
      </c>
      <c r="BJ802" t="s">
        <v>98</v>
      </c>
      <c r="BK802">
        <v>27</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6"/>
        <v>0.24993135499564653</v>
      </c>
      <c r="J803" s="33">
        <f t="shared" si="197"/>
        <v>1.605984610413793E-2</v>
      </c>
      <c r="K803" s="33">
        <f t="shared" si="198"/>
        <v>62.267097300661128</v>
      </c>
      <c r="L803" s="8">
        <v>1</v>
      </c>
      <c r="M803" s="9">
        <v>0</v>
      </c>
      <c r="N803" s="8">
        <v>0</v>
      </c>
      <c r="O803" s="9">
        <v>0</v>
      </c>
      <c r="P803" s="9">
        <v>1</v>
      </c>
      <c r="Q803" s="9">
        <v>0</v>
      </c>
      <c r="R803" s="9">
        <v>0</v>
      </c>
      <c r="S803" s="8">
        <v>3639</v>
      </c>
      <c r="T803" s="9">
        <v>3</v>
      </c>
      <c r="U803" s="9">
        <f t="shared" si="194"/>
        <v>3635</v>
      </c>
      <c r="V803" s="9">
        <f t="shared" si="195"/>
        <v>15</v>
      </c>
      <c r="W803" s="7">
        <f t="shared" si="202"/>
        <v>13.849</v>
      </c>
      <c r="X803" s="7">
        <f t="shared" si="203"/>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v>0</v>
      </c>
      <c r="BF803" s="18">
        <v>0</v>
      </c>
      <c r="BG803">
        <v>1</v>
      </c>
      <c r="BH803">
        <v>0</v>
      </c>
      <c r="BI803" s="18">
        <v>0</v>
      </c>
      <c r="BJ803" t="s">
        <v>98</v>
      </c>
      <c r="BK803">
        <v>27</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6"/>
        <v>9.8103044388919494E-2</v>
      </c>
      <c r="J804" s="33">
        <f t="shared" si="197"/>
        <v>1.6506226516230897E-2</v>
      </c>
      <c r="K804" s="33">
        <f t="shared" si="198"/>
        <v>60.583198650320249</v>
      </c>
      <c r="L804" s="8">
        <v>1</v>
      </c>
      <c r="M804" s="9">
        <v>0</v>
      </c>
      <c r="N804" s="8">
        <v>0</v>
      </c>
      <c r="O804" s="9">
        <v>0</v>
      </c>
      <c r="P804" s="9">
        <v>1</v>
      </c>
      <c r="Q804" s="9">
        <v>0</v>
      </c>
      <c r="R804" s="9">
        <v>0</v>
      </c>
      <c r="S804" s="8">
        <v>3639</v>
      </c>
      <c r="T804" s="9">
        <v>3</v>
      </c>
      <c r="U804" s="9">
        <f t="shared" si="194"/>
        <v>3635</v>
      </c>
      <c r="V804" s="9">
        <f t="shared" si="195"/>
        <v>15</v>
      </c>
      <c r="W804" s="7">
        <f t="shared" si="202"/>
        <v>13.849</v>
      </c>
      <c r="X804" s="7">
        <f t="shared" si="203"/>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v>0</v>
      </c>
      <c r="BF804" s="18">
        <v>0</v>
      </c>
      <c r="BG804">
        <v>1</v>
      </c>
      <c r="BH804">
        <v>0</v>
      </c>
      <c r="BI804" s="18">
        <v>0</v>
      </c>
      <c r="BJ804" t="s">
        <v>98</v>
      </c>
      <c r="BK804">
        <v>27</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1.1277672320530781</v>
      </c>
      <c r="E805" s="14">
        <v>0.2321873713050456</v>
      </c>
      <c r="F805" s="7">
        <v>4.8571428571428568</v>
      </c>
      <c r="G805" s="7">
        <f t="shared" si="192"/>
        <v>0.89557986074803242</v>
      </c>
      <c r="H805" s="16">
        <f t="shared" si="193"/>
        <v>1.3599546033581236</v>
      </c>
      <c r="I805" s="11">
        <f t="shared" si="196"/>
        <v>8.0301544138865227E-2</v>
      </c>
      <c r="J805" s="33">
        <f t="shared" si="197"/>
        <v>1.6532670852119312E-2</v>
      </c>
      <c r="K805" s="33">
        <f t="shared" si="198"/>
        <v>60.486294618985333</v>
      </c>
      <c r="L805" s="8">
        <v>1</v>
      </c>
      <c r="M805" s="9">
        <v>0</v>
      </c>
      <c r="N805" s="8">
        <v>0</v>
      </c>
      <c r="O805" s="9">
        <v>0</v>
      </c>
      <c r="P805" s="9">
        <v>1</v>
      </c>
      <c r="Q805" s="9">
        <v>0</v>
      </c>
      <c r="R805" s="9">
        <v>0</v>
      </c>
      <c r="S805" s="8">
        <v>3639</v>
      </c>
      <c r="T805" s="9">
        <v>3</v>
      </c>
      <c r="U805" s="9">
        <f t="shared" si="194"/>
        <v>3635</v>
      </c>
      <c r="V805" s="9">
        <f t="shared" si="195"/>
        <v>15</v>
      </c>
      <c r="W805" s="7">
        <f t="shared" si="202"/>
        <v>13.849</v>
      </c>
      <c r="X805" s="7">
        <f t="shared" si="203"/>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v>0</v>
      </c>
      <c r="BF805" s="18">
        <v>0</v>
      </c>
      <c r="BG805">
        <v>1</v>
      </c>
      <c r="BH805">
        <v>0</v>
      </c>
      <c r="BI805" s="18">
        <v>0</v>
      </c>
      <c r="BJ805" t="s">
        <v>98</v>
      </c>
      <c r="BK805">
        <v>27</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v>
      </c>
      <c r="E806" s="14">
        <v>0.15446227579880109</v>
      </c>
      <c r="F806" s="7">
        <v>13.55172413793103</v>
      </c>
      <c r="G806" s="7">
        <f t="shared" si="192"/>
        <v>1.938767875543572</v>
      </c>
      <c r="H806" s="16">
        <f t="shared" si="193"/>
        <v>2.2476924271411742</v>
      </c>
      <c r="I806" s="11">
        <f t="shared" si="196"/>
        <v>0.21930052382972096</v>
      </c>
      <c r="J806" s="33">
        <f t="shared" si="197"/>
        <v>1.6182481402193156E-2</v>
      </c>
      <c r="K806" s="33">
        <f t="shared" si="198"/>
        <v>61.795220099216273</v>
      </c>
      <c r="L806" s="8">
        <v>1</v>
      </c>
      <c r="M806" s="9">
        <v>0</v>
      </c>
      <c r="N806" s="8">
        <v>0</v>
      </c>
      <c r="O806" s="9">
        <v>0</v>
      </c>
      <c r="P806" s="9">
        <v>1</v>
      </c>
      <c r="Q806" s="9">
        <v>0</v>
      </c>
      <c r="R806" s="9">
        <v>0</v>
      </c>
      <c r="S806" s="8">
        <v>3639</v>
      </c>
      <c r="T806" s="9">
        <v>3</v>
      </c>
      <c r="U806" s="9">
        <f t="shared" si="194"/>
        <v>3635</v>
      </c>
      <c r="V806" s="9">
        <f t="shared" si="195"/>
        <v>15</v>
      </c>
      <c r="W806" s="7">
        <f t="shared" si="202"/>
        <v>13.849</v>
      </c>
      <c r="X806" s="7">
        <f t="shared" si="203"/>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v>0</v>
      </c>
      <c r="BF806" s="18">
        <v>0</v>
      </c>
      <c r="BG806">
        <v>1</v>
      </c>
      <c r="BH806">
        <v>0</v>
      </c>
      <c r="BI806" s="18">
        <v>0</v>
      </c>
      <c r="BJ806" t="s">
        <v>98</v>
      </c>
      <c r="BK806">
        <v>27</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2.1380925633558872</v>
      </c>
      <c r="E807" s="14">
        <v>7.3982441638612007E-2</v>
      </c>
      <c r="F807" s="7">
        <v>28.9</v>
      </c>
      <c r="G807" s="7">
        <f t="shared" si="192"/>
        <v>2.0641101217172753</v>
      </c>
      <c r="H807" s="16">
        <f t="shared" si="193"/>
        <v>2.2120750049944991</v>
      </c>
      <c r="I807" s="11">
        <f t="shared" si="196"/>
        <v>0.4322488832196768</v>
      </c>
      <c r="J807" s="33">
        <f t="shared" si="197"/>
        <v>1.4956708761926535E-2</v>
      </c>
      <c r="K807" s="33">
        <f t="shared" si="198"/>
        <v>66.859629074651622</v>
      </c>
      <c r="L807" s="8">
        <v>1</v>
      </c>
      <c r="M807" s="9">
        <v>0</v>
      </c>
      <c r="N807" s="8">
        <v>0</v>
      </c>
      <c r="O807" s="9">
        <v>0</v>
      </c>
      <c r="P807" s="9">
        <v>1</v>
      </c>
      <c r="Q807" s="9">
        <v>0</v>
      </c>
      <c r="R807" s="9">
        <v>0</v>
      </c>
      <c r="S807" s="8">
        <v>3639</v>
      </c>
      <c r="T807" s="9">
        <v>3</v>
      </c>
      <c r="U807" s="9">
        <f t="shared" si="194"/>
        <v>3635</v>
      </c>
      <c r="V807" s="9">
        <f t="shared" si="195"/>
        <v>15</v>
      </c>
      <c r="W807" s="7">
        <f t="shared" si="202"/>
        <v>13.849</v>
      </c>
      <c r="X807" s="7">
        <f t="shared" si="203"/>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v>0</v>
      </c>
      <c r="BF807" s="18">
        <v>0</v>
      </c>
      <c r="BG807">
        <v>1</v>
      </c>
      <c r="BH807">
        <v>0</v>
      </c>
      <c r="BI807" s="18">
        <v>0</v>
      </c>
      <c r="BJ807" t="s">
        <v>98</v>
      </c>
      <c r="BK807">
        <v>27</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1.103032521143499</v>
      </c>
      <c r="E808" s="14">
        <v>0.45184464721540918</v>
      </c>
      <c r="F808" s="7">
        <v>2.4411764705882351</v>
      </c>
      <c r="G808" s="7">
        <f t="shared" si="192"/>
        <v>0.65118787392808986</v>
      </c>
      <c r="H808" s="16">
        <f t="shared" si="193"/>
        <v>1.5548771683589082</v>
      </c>
      <c r="I808" s="11">
        <f t="shared" si="196"/>
        <v>4.0456775047596705E-2</v>
      </c>
      <c r="J808" s="33">
        <f t="shared" si="197"/>
        <v>1.6572654838774556E-2</v>
      </c>
      <c r="K808" s="33">
        <f t="shared" si="198"/>
        <v>60.340362466267578</v>
      </c>
      <c r="L808" s="8">
        <v>1</v>
      </c>
      <c r="M808" s="9">
        <v>0</v>
      </c>
      <c r="N808" s="8">
        <v>0</v>
      </c>
      <c r="O808" s="9">
        <v>0</v>
      </c>
      <c r="P808" s="9">
        <v>1</v>
      </c>
      <c r="Q808" s="9">
        <v>0</v>
      </c>
      <c r="R808" s="9">
        <v>0</v>
      </c>
      <c r="S808" s="8">
        <v>3639</v>
      </c>
      <c r="T808" s="9">
        <v>3</v>
      </c>
      <c r="U808" s="9">
        <f t="shared" si="194"/>
        <v>3635</v>
      </c>
      <c r="V808" s="9">
        <f t="shared" si="195"/>
        <v>15</v>
      </c>
      <c r="W808" s="7">
        <f t="shared" si="202"/>
        <v>13.849</v>
      </c>
      <c r="X808" s="7">
        <f t="shared" si="203"/>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v>0</v>
      </c>
      <c r="BF808" s="18">
        <v>0</v>
      </c>
      <c r="BG808">
        <v>1</v>
      </c>
      <c r="BH808">
        <v>0</v>
      </c>
      <c r="BI808" s="18">
        <v>0</v>
      </c>
      <c r="BJ808" t="s">
        <v>98</v>
      </c>
      <c r="BK808">
        <v>27</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0.33796967820616503</v>
      </c>
      <c r="F809" s="7">
        <v>5.9206349206349209</v>
      </c>
      <c r="G809" s="7">
        <f t="shared" si="192"/>
        <v>1.6630254006970022</v>
      </c>
      <c r="H809" s="16">
        <f t="shared" si="193"/>
        <v>2.3389647571093324</v>
      </c>
      <c r="I809" s="11">
        <f t="shared" si="196"/>
        <v>9.7730936419665043E-2</v>
      </c>
      <c r="J809" s="33">
        <f t="shared" si="197"/>
        <v>1.6506833765251739E-2</v>
      </c>
      <c r="K809" s="33">
        <f t="shared" si="198"/>
        <v>60.580969931682681</v>
      </c>
      <c r="L809" s="8">
        <v>1</v>
      </c>
      <c r="M809" s="9">
        <v>0</v>
      </c>
      <c r="N809" s="8">
        <v>0</v>
      </c>
      <c r="O809" s="9">
        <v>0</v>
      </c>
      <c r="P809" s="9">
        <v>1</v>
      </c>
      <c r="Q809" s="9">
        <v>0</v>
      </c>
      <c r="R809" s="9">
        <v>0</v>
      </c>
      <c r="S809" s="8">
        <v>3639</v>
      </c>
      <c r="T809" s="9">
        <v>3</v>
      </c>
      <c r="U809" s="9">
        <f t="shared" si="194"/>
        <v>3635</v>
      </c>
      <c r="V809" s="9">
        <f t="shared" si="195"/>
        <v>15</v>
      </c>
      <c r="W809" s="7">
        <f t="shared" si="202"/>
        <v>13.849</v>
      </c>
      <c r="X809" s="7">
        <f t="shared" si="203"/>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v>0</v>
      </c>
      <c r="BF809" s="18">
        <v>0</v>
      </c>
      <c r="BG809">
        <v>1</v>
      </c>
      <c r="BH809">
        <v>0</v>
      </c>
      <c r="BI809" s="18">
        <v>0</v>
      </c>
      <c r="BJ809" t="s">
        <v>98</v>
      </c>
      <c r="BK809">
        <v>27</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6"/>
        <v>0.34416286928355505</v>
      </c>
      <c r="J810" s="33">
        <f t="shared" si="197"/>
        <v>1.5572980510568098E-2</v>
      </c>
      <c r="K810" s="33">
        <f t="shared" si="198"/>
        <v>64.21378356708162</v>
      </c>
      <c r="L810" s="8">
        <v>1</v>
      </c>
      <c r="M810" s="9">
        <v>0</v>
      </c>
      <c r="N810" s="8">
        <v>0</v>
      </c>
      <c r="O810" s="9">
        <v>0</v>
      </c>
      <c r="P810" s="9">
        <v>1</v>
      </c>
      <c r="Q810" s="9">
        <v>0</v>
      </c>
      <c r="R810" s="9">
        <v>0</v>
      </c>
      <c r="S810" s="8">
        <v>3639</v>
      </c>
      <c r="T810" s="9">
        <v>3</v>
      </c>
      <c r="U810" s="9">
        <f t="shared" si="194"/>
        <v>3635</v>
      </c>
      <c r="V810" s="9">
        <f t="shared" si="195"/>
        <v>15</v>
      </c>
      <c r="W810" s="7">
        <f t="shared" si="202"/>
        <v>13.849</v>
      </c>
      <c r="X810" s="7">
        <f t="shared" si="203"/>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v>0</v>
      </c>
      <c r="BF810" s="18">
        <v>0</v>
      </c>
      <c r="BG810">
        <v>1</v>
      </c>
      <c r="BH810">
        <v>0</v>
      </c>
      <c r="BI810" s="18">
        <v>0</v>
      </c>
      <c r="BJ810" t="s">
        <v>98</v>
      </c>
      <c r="BK810">
        <v>27</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v>
      </c>
      <c r="E811" s="14">
        <v>0.91445605262188434</v>
      </c>
      <c r="F811" s="7">
        <v>1.131386861313868</v>
      </c>
      <c r="G811" s="7">
        <f t="shared" si="192"/>
        <v>0.12014751056345863</v>
      </c>
      <c r="H811" s="16">
        <f t="shared" si="193"/>
        <v>1.9490596158072273</v>
      </c>
      <c r="I811" s="11">
        <f t="shared" si="196"/>
        <v>1.8762144231012204E-2</v>
      </c>
      <c r="J811" s="33">
        <f t="shared" si="197"/>
        <v>1.6583314578378538E-2</v>
      </c>
      <c r="K811" s="33">
        <f t="shared" si="198"/>
        <v>60.30157573587902</v>
      </c>
      <c r="L811" s="8">
        <v>1</v>
      </c>
      <c r="M811" s="9">
        <v>0</v>
      </c>
      <c r="N811" s="8">
        <v>0</v>
      </c>
      <c r="O811" s="9">
        <v>0</v>
      </c>
      <c r="P811" s="9">
        <v>1</v>
      </c>
      <c r="Q811" s="9">
        <v>0</v>
      </c>
      <c r="R811" s="9">
        <v>0</v>
      </c>
      <c r="S811" s="8">
        <v>3639</v>
      </c>
      <c r="T811" s="9">
        <v>3</v>
      </c>
      <c r="U811" s="9">
        <f t="shared" si="194"/>
        <v>3635</v>
      </c>
      <c r="V811" s="9">
        <f t="shared" si="195"/>
        <v>15</v>
      </c>
      <c r="W811" s="7">
        <f t="shared" si="202"/>
        <v>13.849</v>
      </c>
      <c r="X811" s="7">
        <f t="shared" si="203"/>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v>0</v>
      </c>
      <c r="BF811" s="18">
        <v>0</v>
      </c>
      <c r="BG811">
        <v>1</v>
      </c>
      <c r="BH811">
        <v>0</v>
      </c>
      <c r="BI811" s="18">
        <v>0</v>
      </c>
      <c r="BJ811" t="s">
        <v>98</v>
      </c>
      <c r="BK811">
        <v>27</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2" customFormat="1" x14ac:dyDescent="0.25">
      <c r="A812" s="142">
        <v>811</v>
      </c>
      <c r="B812" s="142">
        <v>54</v>
      </c>
      <c r="C812" s="143" t="s">
        <v>483</v>
      </c>
      <c r="D812" s="144">
        <v>1.8031294396511079</v>
      </c>
      <c r="E812" s="145">
        <v>0.83347070775413734</v>
      </c>
      <c r="F812" s="146">
        <v>2.1633986928104578</v>
      </c>
      <c r="G812" s="146">
        <f t="shared" si="192"/>
        <v>0.9696587318969706</v>
      </c>
      <c r="H812" s="147">
        <f t="shared" si="193"/>
        <v>2.6366001474052454</v>
      </c>
      <c r="I812" s="11">
        <f t="shared" si="196"/>
        <v>3.5859558999142858E-2</v>
      </c>
      <c r="J812" s="33">
        <f t="shared" si="197"/>
        <v>1.6575566546431591E-2</v>
      </c>
      <c r="K812" s="33">
        <f t="shared" si="198"/>
        <v>60.329762919342343</v>
      </c>
      <c r="L812" s="149">
        <v>1</v>
      </c>
      <c r="M812" s="150">
        <v>0</v>
      </c>
      <c r="N812" s="149">
        <v>0</v>
      </c>
      <c r="O812" s="150">
        <v>0</v>
      </c>
      <c r="P812" s="150">
        <v>1</v>
      </c>
      <c r="Q812" s="150">
        <v>0</v>
      </c>
      <c r="R812" s="150">
        <v>0</v>
      </c>
      <c r="S812" s="149">
        <v>3639</v>
      </c>
      <c r="T812" s="150">
        <v>3</v>
      </c>
      <c r="U812" s="150">
        <f t="shared" si="194"/>
        <v>3635</v>
      </c>
      <c r="V812" s="150">
        <f t="shared" si="195"/>
        <v>15</v>
      </c>
      <c r="W812" s="146">
        <f t="shared" si="202"/>
        <v>13.849</v>
      </c>
      <c r="X812" s="146">
        <f t="shared" si="203"/>
        <v>13.151</v>
      </c>
      <c r="Y812" s="150">
        <v>0</v>
      </c>
      <c r="Z812" s="150">
        <v>1</v>
      </c>
      <c r="AA812" s="150">
        <v>1</v>
      </c>
      <c r="AB812" s="150">
        <v>0</v>
      </c>
      <c r="AC812" s="150">
        <v>0</v>
      </c>
      <c r="AD812" s="150">
        <v>0</v>
      </c>
      <c r="AE812" s="149">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2">
        <v>1</v>
      </c>
      <c r="AR812" s="156">
        <v>0</v>
      </c>
      <c r="AS812" s="142" t="s">
        <v>98</v>
      </c>
      <c r="AT812" s="156" t="s">
        <v>98</v>
      </c>
      <c r="AU812">
        <v>1</v>
      </c>
      <c r="AV812" s="155">
        <v>0</v>
      </c>
      <c r="AW812" s="142" t="s">
        <v>98</v>
      </c>
      <c r="AX812" s="155" t="s">
        <v>98</v>
      </c>
      <c r="AY812" s="155" t="s">
        <v>329</v>
      </c>
      <c r="AZ812">
        <v>1</v>
      </c>
      <c r="BA812">
        <v>0</v>
      </c>
      <c r="BB812">
        <v>1</v>
      </c>
      <c r="BC812">
        <v>0</v>
      </c>
      <c r="BD812">
        <v>0</v>
      </c>
      <c r="BE812">
        <v>0</v>
      </c>
      <c r="BF812" s="155">
        <v>0</v>
      </c>
      <c r="BG812">
        <v>1</v>
      </c>
      <c r="BH812">
        <v>0</v>
      </c>
      <c r="BI812" s="155">
        <v>0</v>
      </c>
      <c r="BJ812" t="s">
        <v>98</v>
      </c>
      <c r="BK812">
        <v>27</v>
      </c>
      <c r="BL812" s="143">
        <v>33</v>
      </c>
      <c r="BM812" s="142">
        <v>0</v>
      </c>
      <c r="BN812" s="142">
        <v>0</v>
      </c>
      <c r="BO812" s="142">
        <v>0</v>
      </c>
      <c r="BP812" s="142">
        <v>0</v>
      </c>
      <c r="BQ812" s="142">
        <v>0</v>
      </c>
      <c r="BR812" s="142">
        <v>0</v>
      </c>
      <c r="BS812" s="142">
        <v>0</v>
      </c>
      <c r="BT812" s="155">
        <v>1</v>
      </c>
      <c r="BU812" s="142">
        <v>0</v>
      </c>
      <c r="BV812" s="142">
        <v>1</v>
      </c>
      <c r="BW812" s="142">
        <v>0</v>
      </c>
      <c r="BX812" s="18">
        <v>0</v>
      </c>
      <c r="BY812">
        <v>0</v>
      </c>
      <c r="BZ812">
        <v>0</v>
      </c>
      <c r="CA812">
        <v>0</v>
      </c>
      <c r="CB812">
        <v>0</v>
      </c>
      <c r="CC812" s="18">
        <v>0</v>
      </c>
      <c r="CD812" s="142">
        <v>0</v>
      </c>
      <c r="CE812" s="142">
        <v>0</v>
      </c>
      <c r="CF812" s="142">
        <v>0</v>
      </c>
      <c r="CG812" s="142">
        <v>0</v>
      </c>
      <c r="CH812" s="142">
        <v>1</v>
      </c>
      <c r="CI812" s="142">
        <v>0</v>
      </c>
      <c r="CJ812" s="142">
        <v>0</v>
      </c>
      <c r="CK812" s="142">
        <v>0</v>
      </c>
      <c r="CL812" s="142">
        <v>0</v>
      </c>
      <c r="CM812" s="142">
        <v>1</v>
      </c>
      <c r="CN812" s="155">
        <v>0</v>
      </c>
      <c r="CO812">
        <v>0</v>
      </c>
      <c r="CP812">
        <v>125</v>
      </c>
      <c r="CQ812">
        <v>0</v>
      </c>
      <c r="CR812">
        <v>1</v>
      </c>
      <c r="CS812">
        <v>5</v>
      </c>
      <c r="CT812" s="157"/>
      <c r="CY812" s="157"/>
    </row>
    <row r="813" spans="1:103"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6"/>
        <v>5.1741366373935151E-2</v>
      </c>
      <c r="J813" s="33">
        <f t="shared" si="197"/>
        <v>9.1712909377728493E-3</v>
      </c>
      <c r="K813" s="33">
        <f t="shared" si="198"/>
        <v>109.03590419113226</v>
      </c>
      <c r="L813" s="8">
        <v>1</v>
      </c>
      <c r="M813" s="9">
        <v>0</v>
      </c>
      <c r="N813" s="8">
        <v>0</v>
      </c>
      <c r="O813" s="9">
        <v>1</v>
      </c>
      <c r="P813" s="9">
        <v>0</v>
      </c>
      <c r="Q813" s="9">
        <v>0</v>
      </c>
      <c r="R813" s="9">
        <v>0</v>
      </c>
      <c r="S813" s="8">
        <v>11878</v>
      </c>
      <c r="T813" s="9">
        <v>20</v>
      </c>
      <c r="U813" s="9">
        <f t="shared" si="194"/>
        <v>11857</v>
      </c>
      <c r="V813" s="9">
        <f t="shared" si="195"/>
        <v>12</v>
      </c>
      <c r="W813" s="7">
        <v>12</v>
      </c>
      <c r="X813" s="7">
        <f t="shared" si="203"/>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4">1-AP813</f>
        <v>0.48699999999999999</v>
      </c>
      <c r="AP813" s="18">
        <v>0.51300000000000001</v>
      </c>
      <c r="AQ813">
        <v>1</v>
      </c>
      <c r="AR813" s="40">
        <f t="shared" ref="AR813:AR836" si="205">1-AQ813</f>
        <v>0</v>
      </c>
      <c r="AS813" t="s">
        <v>98</v>
      </c>
      <c r="AT813" s="40" t="s">
        <v>98</v>
      </c>
      <c r="AU813">
        <v>0</v>
      </c>
      <c r="AV813" s="18">
        <v>1</v>
      </c>
      <c r="AW813">
        <f t="shared" ref="AW813:AW824" si="206">1-AX813</f>
        <v>0.23850000000000005</v>
      </c>
      <c r="AX813" s="18">
        <v>0.76149999999999995</v>
      </c>
      <c r="AY813" s="18" t="s">
        <v>508</v>
      </c>
      <c r="AZ813">
        <v>0</v>
      </c>
      <c r="BA813">
        <v>0</v>
      </c>
      <c r="BB813">
        <v>0</v>
      </c>
      <c r="BC813">
        <v>0</v>
      </c>
      <c r="BD813">
        <v>1</v>
      </c>
      <c r="BE813">
        <v>0</v>
      </c>
      <c r="BF813" s="18">
        <v>0</v>
      </c>
      <c r="BG813">
        <v>0</v>
      </c>
      <c r="BH813">
        <v>1</v>
      </c>
      <c r="BI813" s="18">
        <v>0</v>
      </c>
      <c r="BJ813">
        <v>3012</v>
      </c>
      <c r="BK813">
        <v>376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1.453022975882035</v>
      </c>
      <c r="E814" s="14">
        <v>0.41584832643088532</v>
      </c>
      <c r="F814" s="7">
        <v>3.494117647058824</v>
      </c>
      <c r="G814" s="7">
        <f t="shared" si="192"/>
        <v>1.0371746494511496</v>
      </c>
      <c r="H814" s="16">
        <f t="shared" si="193"/>
        <v>1.8688713023129204</v>
      </c>
      <c r="I814" s="11">
        <f t="shared" si="196"/>
        <v>3.207204389156721E-2</v>
      </c>
      <c r="J814" s="33">
        <f t="shared" si="197"/>
        <v>9.178867780414858E-3</v>
      </c>
      <c r="K814" s="33">
        <f t="shared" si="198"/>
        <v>108.94589876691774</v>
      </c>
      <c r="L814" s="8">
        <v>1</v>
      </c>
      <c r="M814" s="9">
        <v>0</v>
      </c>
      <c r="N814" s="8">
        <v>0</v>
      </c>
      <c r="O814" s="9">
        <v>1</v>
      </c>
      <c r="P814" s="9">
        <v>0</v>
      </c>
      <c r="Q814" s="9">
        <v>0</v>
      </c>
      <c r="R814" s="9">
        <v>0</v>
      </c>
      <c r="S814" s="8">
        <v>11878</v>
      </c>
      <c r="T814" s="9">
        <v>20</v>
      </c>
      <c r="U814" s="9">
        <f t="shared" si="194"/>
        <v>11857</v>
      </c>
      <c r="V814" s="9">
        <f t="shared" si="195"/>
        <v>12</v>
      </c>
      <c r="W814" s="7">
        <v>14</v>
      </c>
      <c r="X814" s="7">
        <f t="shared" si="203"/>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4"/>
        <v>0.48699999999999999</v>
      </c>
      <c r="AP814" s="18">
        <v>0.51300000000000001</v>
      </c>
      <c r="AQ814">
        <v>1</v>
      </c>
      <c r="AR814" s="40">
        <f t="shared" si="205"/>
        <v>0</v>
      </c>
      <c r="AS814" t="s">
        <v>98</v>
      </c>
      <c r="AT814" s="40" t="s">
        <v>98</v>
      </c>
      <c r="AU814">
        <v>0</v>
      </c>
      <c r="AV814" s="18">
        <v>1</v>
      </c>
      <c r="AW814">
        <f t="shared" si="206"/>
        <v>0.23850000000000005</v>
      </c>
      <c r="AX814" s="18">
        <v>0.76149999999999995</v>
      </c>
      <c r="AY814" s="18" t="s">
        <v>508</v>
      </c>
      <c r="AZ814">
        <v>0</v>
      </c>
      <c r="BA814">
        <v>0</v>
      </c>
      <c r="BB814">
        <v>0</v>
      </c>
      <c r="BC814">
        <v>0</v>
      </c>
      <c r="BD814">
        <v>1</v>
      </c>
      <c r="BE814">
        <v>0</v>
      </c>
      <c r="BF814" s="18">
        <v>0</v>
      </c>
      <c r="BG814">
        <v>0</v>
      </c>
      <c r="BH814">
        <v>1</v>
      </c>
      <c r="BI814" s="18">
        <v>0</v>
      </c>
      <c r="BJ814">
        <v>3012</v>
      </c>
      <c r="BK814">
        <v>376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v>
      </c>
      <c r="F815" s="7">
        <v>14.706666666666671</v>
      </c>
      <c r="G815" s="7">
        <f t="shared" si="192"/>
        <v>3.1484787262285523</v>
      </c>
      <c r="H815" s="16">
        <f t="shared" si="193"/>
        <v>3.6078871006782438</v>
      </c>
      <c r="I815" s="11">
        <f t="shared" si="196"/>
        <v>0.13384480026334236</v>
      </c>
      <c r="J815" s="33">
        <f t="shared" si="197"/>
        <v>9.100961033318835E-3</v>
      </c>
      <c r="K815" s="33">
        <f t="shared" si="198"/>
        <v>109.878505834601</v>
      </c>
      <c r="L815" s="8">
        <v>1</v>
      </c>
      <c r="M815" s="9">
        <v>0</v>
      </c>
      <c r="N815" s="8">
        <v>0</v>
      </c>
      <c r="O815" s="9">
        <v>1</v>
      </c>
      <c r="P815" s="9">
        <v>0</v>
      </c>
      <c r="Q815" s="9">
        <v>0</v>
      </c>
      <c r="R815" s="9">
        <v>0</v>
      </c>
      <c r="S815" s="8">
        <v>11878</v>
      </c>
      <c r="T815" s="9">
        <v>20</v>
      </c>
      <c r="U815" s="9">
        <f t="shared" si="194"/>
        <v>11857</v>
      </c>
      <c r="V815" s="9">
        <f t="shared" si="195"/>
        <v>12</v>
      </c>
      <c r="W815" s="7">
        <v>16</v>
      </c>
      <c r="X815" s="7">
        <f t="shared" si="203"/>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4"/>
        <v>0.48699999999999999</v>
      </c>
      <c r="AP815" s="18">
        <v>0.51300000000000001</v>
      </c>
      <c r="AQ815">
        <v>1</v>
      </c>
      <c r="AR815" s="40">
        <f t="shared" si="205"/>
        <v>0</v>
      </c>
      <c r="AS815" t="s">
        <v>98</v>
      </c>
      <c r="AT815" s="40" t="s">
        <v>98</v>
      </c>
      <c r="AU815">
        <v>0</v>
      </c>
      <c r="AV815" s="18">
        <v>1</v>
      </c>
      <c r="AW815">
        <f t="shared" si="206"/>
        <v>0.23850000000000005</v>
      </c>
      <c r="AX815" s="18">
        <v>0.76149999999999995</v>
      </c>
      <c r="AY815" s="18" t="s">
        <v>508</v>
      </c>
      <c r="AZ815">
        <v>0</v>
      </c>
      <c r="BA815">
        <v>0</v>
      </c>
      <c r="BB815">
        <v>0</v>
      </c>
      <c r="BC815">
        <v>0</v>
      </c>
      <c r="BD815">
        <v>1</v>
      </c>
      <c r="BE815">
        <v>0</v>
      </c>
      <c r="BF815" s="18">
        <v>0</v>
      </c>
      <c r="BG815">
        <v>0</v>
      </c>
      <c r="BH815">
        <v>1</v>
      </c>
      <c r="BI815" s="18">
        <v>0</v>
      </c>
      <c r="BJ815">
        <v>3012</v>
      </c>
      <c r="BK815">
        <v>376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6"/>
        <v>3.7084534349250138E-2</v>
      </c>
      <c r="J816" s="33">
        <f t="shared" si="197"/>
        <v>9.1772750920529021E-3</v>
      </c>
      <c r="K816" s="33">
        <f t="shared" si="198"/>
        <v>108.96480599845525</v>
      </c>
      <c r="L816" s="8">
        <v>1</v>
      </c>
      <c r="M816" s="9">
        <v>0</v>
      </c>
      <c r="N816" s="8">
        <v>0</v>
      </c>
      <c r="O816" s="9">
        <v>1</v>
      </c>
      <c r="P816" s="9">
        <v>0</v>
      </c>
      <c r="Q816" s="9">
        <v>0</v>
      </c>
      <c r="R816" s="9">
        <v>0</v>
      </c>
      <c r="S816" s="8">
        <v>11878</v>
      </c>
      <c r="T816" s="9">
        <v>20</v>
      </c>
      <c r="U816" s="9">
        <f t="shared" si="194"/>
        <v>11857</v>
      </c>
      <c r="V816" s="9">
        <f t="shared" si="195"/>
        <v>12</v>
      </c>
      <c r="W816" s="7">
        <v>18</v>
      </c>
      <c r="X816" s="7">
        <f t="shared" si="203"/>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4"/>
        <v>0.48699999999999999</v>
      </c>
      <c r="AP816" s="18">
        <v>0.51300000000000001</v>
      </c>
      <c r="AQ816">
        <v>1</v>
      </c>
      <c r="AR816" s="40">
        <f t="shared" si="205"/>
        <v>0</v>
      </c>
      <c r="AS816" t="s">
        <v>98</v>
      </c>
      <c r="AT816" s="40" t="s">
        <v>98</v>
      </c>
      <c r="AU816">
        <v>0</v>
      </c>
      <c r="AV816" s="18">
        <v>1</v>
      </c>
      <c r="AW816">
        <f t="shared" si="206"/>
        <v>0.23850000000000005</v>
      </c>
      <c r="AX816" s="18">
        <v>0.76149999999999995</v>
      </c>
      <c r="AY816" s="18" t="s">
        <v>508</v>
      </c>
      <c r="AZ816">
        <v>0</v>
      </c>
      <c r="BA816">
        <v>0</v>
      </c>
      <c r="BB816">
        <v>0</v>
      </c>
      <c r="BC816">
        <v>0</v>
      </c>
      <c r="BD816">
        <v>1</v>
      </c>
      <c r="BE816">
        <v>0</v>
      </c>
      <c r="BF816" s="18">
        <v>0</v>
      </c>
      <c r="BG816">
        <v>0</v>
      </c>
      <c r="BH816">
        <v>1</v>
      </c>
      <c r="BI816" s="18">
        <v>0</v>
      </c>
      <c r="BJ816">
        <v>3012</v>
      </c>
      <c r="BK816">
        <v>376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0.39245485630504118</v>
      </c>
      <c r="F817" s="7">
        <v>13.728947368421061</v>
      </c>
      <c r="G817" s="7">
        <f t="shared" si="192"/>
        <v>4.9955372103881182</v>
      </c>
      <c r="H817" s="16">
        <f t="shared" si="193"/>
        <v>5.7804469229982001</v>
      </c>
      <c r="I817" s="11">
        <f t="shared" si="196"/>
        <v>0.12509072587246783</v>
      </c>
      <c r="J817" s="33">
        <f t="shared" si="197"/>
        <v>9.1114578937200961E-3</v>
      </c>
      <c r="K817" s="33">
        <f t="shared" si="198"/>
        <v>109.75192023761988</v>
      </c>
      <c r="L817" s="8">
        <v>1</v>
      </c>
      <c r="M817" s="9">
        <v>0</v>
      </c>
      <c r="N817" s="8">
        <v>0</v>
      </c>
      <c r="O817" s="9">
        <v>1</v>
      </c>
      <c r="P817" s="9">
        <v>0</v>
      </c>
      <c r="Q817" s="9">
        <v>0</v>
      </c>
      <c r="R817" s="9">
        <v>0</v>
      </c>
      <c r="S817" s="8">
        <v>11878</v>
      </c>
      <c r="T817" s="9">
        <v>20</v>
      </c>
      <c r="U817" s="9">
        <f t="shared" si="194"/>
        <v>11857</v>
      </c>
      <c r="V817" s="9">
        <f t="shared" si="195"/>
        <v>12</v>
      </c>
      <c r="W817" s="7">
        <v>18</v>
      </c>
      <c r="X817" s="7">
        <f t="shared" si="203"/>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4"/>
        <v>0.48699999999999999</v>
      </c>
      <c r="AP817" s="18">
        <v>0.51300000000000001</v>
      </c>
      <c r="AQ817">
        <v>1</v>
      </c>
      <c r="AR817" s="40">
        <f t="shared" si="205"/>
        <v>0</v>
      </c>
      <c r="AS817" t="s">
        <v>98</v>
      </c>
      <c r="AT817" s="40" t="s">
        <v>98</v>
      </c>
      <c r="AU817">
        <v>0</v>
      </c>
      <c r="AV817" s="18">
        <v>1</v>
      </c>
      <c r="AW817">
        <f t="shared" si="206"/>
        <v>0.23850000000000005</v>
      </c>
      <c r="AX817" s="18">
        <v>0.76149999999999995</v>
      </c>
      <c r="AY817" s="18" t="s">
        <v>508</v>
      </c>
      <c r="AZ817">
        <v>0</v>
      </c>
      <c r="BA817">
        <v>0</v>
      </c>
      <c r="BB817">
        <v>0</v>
      </c>
      <c r="BC817">
        <v>0</v>
      </c>
      <c r="BD817">
        <v>1</v>
      </c>
      <c r="BE817">
        <v>0</v>
      </c>
      <c r="BF817" s="18">
        <v>0</v>
      </c>
      <c r="BG817">
        <v>0</v>
      </c>
      <c r="BH817">
        <v>1</v>
      </c>
      <c r="BI817" s="18">
        <v>0</v>
      </c>
      <c r="BJ817">
        <v>3012</v>
      </c>
      <c r="BK817">
        <v>376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0.45802982497753331</v>
      </c>
      <c r="F818" s="7">
        <v>13.45128205128205</v>
      </c>
      <c r="G818" s="7">
        <f t="shared" si="192"/>
        <v>5.7030585386946182</v>
      </c>
      <c r="H818" s="16">
        <f t="shared" si="193"/>
        <v>6.6191181886496846</v>
      </c>
      <c r="I818" s="11">
        <f t="shared" si="196"/>
        <v>0.12259920284686227</v>
      </c>
      <c r="J818" s="33">
        <f t="shared" si="197"/>
        <v>9.1143135932665442E-3</v>
      </c>
      <c r="K818" s="33">
        <f t="shared" si="198"/>
        <v>109.71753273211689</v>
      </c>
      <c r="L818" s="8">
        <v>1</v>
      </c>
      <c r="M818" s="9">
        <v>0</v>
      </c>
      <c r="N818" s="8">
        <v>0</v>
      </c>
      <c r="O818" s="9">
        <v>1</v>
      </c>
      <c r="P818" s="9">
        <v>0</v>
      </c>
      <c r="Q818" s="9">
        <v>0</v>
      </c>
      <c r="R818" s="9">
        <v>0</v>
      </c>
      <c r="S818" s="8">
        <v>11878</v>
      </c>
      <c r="T818" s="9">
        <v>20</v>
      </c>
      <c r="U818" s="9">
        <f t="shared" si="194"/>
        <v>11857</v>
      </c>
      <c r="V818" s="9">
        <f t="shared" si="195"/>
        <v>12</v>
      </c>
      <c r="W818" s="7">
        <v>22</v>
      </c>
      <c r="X818" s="7">
        <f t="shared" si="203"/>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4"/>
        <v>0.48699999999999999</v>
      </c>
      <c r="AP818" s="18">
        <v>0.51300000000000001</v>
      </c>
      <c r="AQ818">
        <v>1</v>
      </c>
      <c r="AR818" s="40">
        <f t="shared" si="205"/>
        <v>0</v>
      </c>
      <c r="AS818" t="s">
        <v>98</v>
      </c>
      <c r="AT818" s="40" t="s">
        <v>98</v>
      </c>
      <c r="AU818">
        <v>0</v>
      </c>
      <c r="AV818" s="18">
        <v>1</v>
      </c>
      <c r="AW818">
        <f t="shared" si="206"/>
        <v>0.23850000000000005</v>
      </c>
      <c r="AX818" s="18">
        <v>0.76149999999999995</v>
      </c>
      <c r="AY818" s="18" t="s">
        <v>508</v>
      </c>
      <c r="AZ818">
        <v>0</v>
      </c>
      <c r="BA818">
        <v>0</v>
      </c>
      <c r="BB818">
        <v>0</v>
      </c>
      <c r="BC818">
        <v>0</v>
      </c>
      <c r="BD818">
        <v>1</v>
      </c>
      <c r="BE818">
        <v>0</v>
      </c>
      <c r="BF818" s="18">
        <v>0</v>
      </c>
      <c r="BG818">
        <v>0</v>
      </c>
      <c r="BH818">
        <v>1</v>
      </c>
      <c r="BI818" s="18">
        <v>0</v>
      </c>
      <c r="BJ818">
        <v>3012</v>
      </c>
      <c r="BK818">
        <v>376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1.6562836228041671</v>
      </c>
      <c r="E819" s="14">
        <v>2.876181141396458</v>
      </c>
      <c r="F819" s="7">
        <v>0.57586206896551717</v>
      </c>
      <c r="G819" s="7">
        <f t="shared" si="192"/>
        <v>-1.2198975185922909</v>
      </c>
      <c r="H819" s="16">
        <f t="shared" si="193"/>
        <v>4.5324647642006255</v>
      </c>
      <c r="I819" s="11">
        <f t="shared" si="196"/>
        <v>5.2884084466817312E-3</v>
      </c>
      <c r="J819" s="33">
        <f t="shared" si="197"/>
        <v>9.1834637696868397E-3</v>
      </c>
      <c r="K819" s="33">
        <f t="shared" si="198"/>
        <v>108.89137531100647</v>
      </c>
      <c r="L819" s="8">
        <v>1</v>
      </c>
      <c r="M819" s="9">
        <v>0</v>
      </c>
      <c r="N819" s="8">
        <v>0</v>
      </c>
      <c r="O819" s="9">
        <v>1</v>
      </c>
      <c r="P819" s="9">
        <v>0</v>
      </c>
      <c r="Q819" s="9">
        <v>0</v>
      </c>
      <c r="R819" s="9">
        <v>0</v>
      </c>
      <c r="S819" s="8">
        <v>11878</v>
      </c>
      <c r="T819" s="9">
        <v>20</v>
      </c>
      <c r="U819" s="9">
        <f t="shared" si="194"/>
        <v>11857</v>
      </c>
      <c r="V819" s="9">
        <f t="shared" si="195"/>
        <v>12</v>
      </c>
      <c r="W819" s="7">
        <v>12</v>
      </c>
      <c r="X819" s="7">
        <f t="shared" si="203"/>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4"/>
        <v>0.48699999999999999</v>
      </c>
      <c r="AP819" s="18">
        <v>0.51300000000000001</v>
      </c>
      <c r="AQ819">
        <v>0</v>
      </c>
      <c r="AR819" s="40">
        <f t="shared" si="205"/>
        <v>1</v>
      </c>
      <c r="AS819" t="s">
        <v>98</v>
      </c>
      <c r="AT819" s="40" t="s">
        <v>98</v>
      </c>
      <c r="AU819">
        <v>0</v>
      </c>
      <c r="AV819" s="18">
        <v>1</v>
      </c>
      <c r="AW819">
        <f t="shared" si="206"/>
        <v>0.23850000000000005</v>
      </c>
      <c r="AX819" s="18">
        <v>0.76149999999999995</v>
      </c>
      <c r="AY819" s="18" t="s">
        <v>508</v>
      </c>
      <c r="AZ819">
        <v>0</v>
      </c>
      <c r="BA819">
        <v>0</v>
      </c>
      <c r="BB819">
        <v>0</v>
      </c>
      <c r="BC819">
        <v>0</v>
      </c>
      <c r="BD819">
        <v>1</v>
      </c>
      <c r="BE819">
        <v>0</v>
      </c>
      <c r="BF819" s="18">
        <v>0</v>
      </c>
      <c r="BG819">
        <v>0</v>
      </c>
      <c r="BH819">
        <v>1</v>
      </c>
      <c r="BI819" s="18">
        <v>0</v>
      </c>
      <c r="BJ819">
        <v>3012</v>
      </c>
      <c r="BK819">
        <v>376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v>
      </c>
      <c r="F820" s="7">
        <v>6.3180327868852464</v>
      </c>
      <c r="G820" s="7">
        <f t="shared" si="192"/>
        <v>7.1470865898148199</v>
      </c>
      <c r="H820" s="16">
        <f t="shared" si="193"/>
        <v>9.8349551593506028</v>
      </c>
      <c r="I820" s="11">
        <f t="shared" si="196"/>
        <v>5.7924814228773547E-2</v>
      </c>
      <c r="J820" s="33">
        <f t="shared" si="197"/>
        <v>9.1681724648551774E-3</v>
      </c>
      <c r="K820" s="33">
        <f t="shared" si="198"/>
        <v>109.07299179125948</v>
      </c>
      <c r="L820" s="8">
        <v>1</v>
      </c>
      <c r="M820" s="9">
        <v>0</v>
      </c>
      <c r="N820" s="8">
        <v>0</v>
      </c>
      <c r="O820" s="9">
        <v>1</v>
      </c>
      <c r="P820" s="9">
        <v>0</v>
      </c>
      <c r="Q820" s="9">
        <v>0</v>
      </c>
      <c r="R820" s="9">
        <v>0</v>
      </c>
      <c r="S820" s="8">
        <v>11878</v>
      </c>
      <c r="T820" s="9">
        <v>20</v>
      </c>
      <c r="U820" s="9">
        <f t="shared" si="194"/>
        <v>11857</v>
      </c>
      <c r="V820" s="9">
        <f t="shared" si="195"/>
        <v>12</v>
      </c>
      <c r="W820" s="7">
        <v>14</v>
      </c>
      <c r="X820" s="7">
        <f t="shared" si="203"/>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4"/>
        <v>0.48699999999999999</v>
      </c>
      <c r="AP820" s="18">
        <v>0.51300000000000001</v>
      </c>
      <c r="AQ820">
        <v>0</v>
      </c>
      <c r="AR820" s="40">
        <f t="shared" si="205"/>
        <v>1</v>
      </c>
      <c r="AS820" t="s">
        <v>98</v>
      </c>
      <c r="AT820" s="40" t="s">
        <v>98</v>
      </c>
      <c r="AU820">
        <v>0</v>
      </c>
      <c r="AV820" s="18">
        <v>1</v>
      </c>
      <c r="AW820">
        <f t="shared" si="206"/>
        <v>0.23850000000000005</v>
      </c>
      <c r="AX820" s="18">
        <v>0.76149999999999995</v>
      </c>
      <c r="AY820" s="18" t="s">
        <v>508</v>
      </c>
      <c r="AZ820">
        <v>0</v>
      </c>
      <c r="BA820">
        <v>0</v>
      </c>
      <c r="BB820">
        <v>0</v>
      </c>
      <c r="BC820">
        <v>0</v>
      </c>
      <c r="BD820">
        <v>1</v>
      </c>
      <c r="BE820">
        <v>0</v>
      </c>
      <c r="BF820" s="18">
        <v>0</v>
      </c>
      <c r="BG820">
        <v>0</v>
      </c>
      <c r="BH820">
        <v>1</v>
      </c>
      <c r="BI820" s="18">
        <v>0</v>
      </c>
      <c r="BJ820">
        <v>3012</v>
      </c>
      <c r="BK820">
        <v>376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6"/>
        <v>8.1462321271508209E-2</v>
      </c>
      <c r="J821" s="33">
        <f t="shared" si="197"/>
        <v>9.15306980578744E-3</v>
      </c>
      <c r="K821" s="33">
        <f t="shared" si="198"/>
        <v>109.25296334653812</v>
      </c>
      <c r="L821" s="8">
        <v>1</v>
      </c>
      <c r="M821" s="9">
        <v>0</v>
      </c>
      <c r="N821" s="8">
        <v>0</v>
      </c>
      <c r="O821" s="9">
        <v>1</v>
      </c>
      <c r="P821" s="9">
        <v>0</v>
      </c>
      <c r="Q821" s="9">
        <v>0</v>
      </c>
      <c r="R821" s="9">
        <v>0</v>
      </c>
      <c r="S821" s="8">
        <v>11878</v>
      </c>
      <c r="T821" s="9">
        <v>20</v>
      </c>
      <c r="U821" s="9">
        <f t="shared" si="194"/>
        <v>11857</v>
      </c>
      <c r="V821" s="9">
        <f t="shared" si="195"/>
        <v>12</v>
      </c>
      <c r="W821" s="7">
        <v>16</v>
      </c>
      <c r="X821" s="7">
        <f t="shared" si="203"/>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4"/>
        <v>0.48699999999999999</v>
      </c>
      <c r="AP821" s="18">
        <v>0.51300000000000001</v>
      </c>
      <c r="AQ821">
        <v>0</v>
      </c>
      <c r="AR821" s="40">
        <f t="shared" si="205"/>
        <v>1</v>
      </c>
      <c r="AS821" t="s">
        <v>98</v>
      </c>
      <c r="AT821" s="40" t="s">
        <v>98</v>
      </c>
      <c r="AU821">
        <v>0</v>
      </c>
      <c r="AV821" s="18">
        <v>1</v>
      </c>
      <c r="AW821">
        <f t="shared" si="206"/>
        <v>0.23850000000000005</v>
      </c>
      <c r="AX821" s="18">
        <v>0.76149999999999995</v>
      </c>
      <c r="AY821" s="18" t="s">
        <v>508</v>
      </c>
      <c r="AZ821">
        <v>0</v>
      </c>
      <c r="BA821">
        <v>0</v>
      </c>
      <c r="BB821">
        <v>0</v>
      </c>
      <c r="BC821">
        <v>0</v>
      </c>
      <c r="BD821">
        <v>1</v>
      </c>
      <c r="BE821">
        <v>0</v>
      </c>
      <c r="BF821" s="18">
        <v>0</v>
      </c>
      <c r="BG821">
        <v>0</v>
      </c>
      <c r="BH821">
        <v>1</v>
      </c>
      <c r="BI821" s="18">
        <v>0</v>
      </c>
      <c r="BJ821">
        <v>3012</v>
      </c>
      <c r="BK821">
        <v>376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v>
      </c>
      <c r="F822" s="7">
        <v>6.8458715596330277</v>
      </c>
      <c r="G822" s="7">
        <f t="shared" si="192"/>
        <v>6.162386763906242</v>
      </c>
      <c r="H822" s="16">
        <f t="shared" si="193"/>
        <v>8.2706735098754205</v>
      </c>
      <c r="I822" s="11">
        <f t="shared" si="196"/>
        <v>6.2745810395942639E-2</v>
      </c>
      <c r="J822" s="33">
        <f t="shared" si="197"/>
        <v>9.1654962920902534E-3</v>
      </c>
      <c r="K822" s="33">
        <f t="shared" si="198"/>
        <v>109.10483929418984</v>
      </c>
      <c r="L822" s="8">
        <v>1</v>
      </c>
      <c r="M822" s="9">
        <v>0</v>
      </c>
      <c r="N822" s="8">
        <v>0</v>
      </c>
      <c r="O822" s="9">
        <v>1</v>
      </c>
      <c r="P822" s="9">
        <v>0</v>
      </c>
      <c r="Q822" s="9">
        <v>0</v>
      </c>
      <c r="R822" s="9">
        <v>0</v>
      </c>
      <c r="S822" s="8">
        <v>11878</v>
      </c>
      <c r="T822" s="9">
        <v>20</v>
      </c>
      <c r="U822" s="9">
        <f t="shared" si="194"/>
        <v>11857</v>
      </c>
      <c r="V822" s="9">
        <f t="shared" si="195"/>
        <v>12</v>
      </c>
      <c r="W822" s="7">
        <v>18</v>
      </c>
      <c r="X822" s="7">
        <f t="shared" si="203"/>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4"/>
        <v>0.48699999999999999</v>
      </c>
      <c r="AP822" s="18">
        <v>0.51300000000000001</v>
      </c>
      <c r="AQ822">
        <v>0</v>
      </c>
      <c r="AR822" s="40">
        <f t="shared" si="205"/>
        <v>1</v>
      </c>
      <c r="AS822" t="s">
        <v>98</v>
      </c>
      <c r="AT822" s="40" t="s">
        <v>98</v>
      </c>
      <c r="AU822">
        <v>0</v>
      </c>
      <c r="AV822" s="18">
        <v>1</v>
      </c>
      <c r="AW822">
        <f t="shared" si="206"/>
        <v>0.23850000000000005</v>
      </c>
      <c r="AX822" s="18">
        <v>0.76149999999999995</v>
      </c>
      <c r="AY822" s="18" t="s">
        <v>508</v>
      </c>
      <c r="AZ822">
        <v>0</v>
      </c>
      <c r="BA822">
        <v>0</v>
      </c>
      <c r="BB822">
        <v>0</v>
      </c>
      <c r="BC822">
        <v>0</v>
      </c>
      <c r="BD822">
        <v>1</v>
      </c>
      <c r="BE822">
        <v>0</v>
      </c>
      <c r="BF822" s="18">
        <v>0</v>
      </c>
      <c r="BG822">
        <v>0</v>
      </c>
      <c r="BH822">
        <v>1</v>
      </c>
      <c r="BI822" s="18">
        <v>0</v>
      </c>
      <c r="BJ822">
        <v>3012</v>
      </c>
      <c r="BK822">
        <v>376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10.1894230053268</v>
      </c>
      <c r="F823" s="7">
        <v>0.79010867563087117</v>
      </c>
      <c r="G823" s="7">
        <f t="shared" si="192"/>
        <v>-2.1386714891453131</v>
      </c>
      <c r="H823" s="16">
        <f t="shared" si="193"/>
        <v>18.240174521508287</v>
      </c>
      <c r="I823" s="11">
        <f t="shared" si="196"/>
        <v>7.25584485540922E-3</v>
      </c>
      <c r="J823" s="33">
        <f t="shared" si="197"/>
        <v>9.1833504417803153E-3</v>
      </c>
      <c r="K823" s="33">
        <f t="shared" si="198"/>
        <v>108.89271909415848</v>
      </c>
      <c r="L823" s="8">
        <v>1</v>
      </c>
      <c r="M823" s="9">
        <v>0</v>
      </c>
      <c r="N823" s="8">
        <v>0</v>
      </c>
      <c r="O823" s="9">
        <v>1</v>
      </c>
      <c r="P823" s="9">
        <v>0</v>
      </c>
      <c r="Q823" s="9">
        <v>0</v>
      </c>
      <c r="R823" s="9">
        <v>0</v>
      </c>
      <c r="S823" s="8">
        <v>11878</v>
      </c>
      <c r="T823" s="9">
        <v>20</v>
      </c>
      <c r="U823" s="9">
        <f t="shared" si="194"/>
        <v>11857</v>
      </c>
      <c r="V823" s="9">
        <f t="shared" si="195"/>
        <v>12</v>
      </c>
      <c r="W823" s="7">
        <v>18</v>
      </c>
      <c r="X823" s="7">
        <f t="shared" si="203"/>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4"/>
        <v>0.48699999999999999</v>
      </c>
      <c r="AP823" s="18">
        <v>0.51300000000000001</v>
      </c>
      <c r="AQ823">
        <v>0</v>
      </c>
      <c r="AR823" s="40">
        <f t="shared" si="205"/>
        <v>1</v>
      </c>
      <c r="AS823" t="s">
        <v>98</v>
      </c>
      <c r="AT823" s="40" t="s">
        <v>98</v>
      </c>
      <c r="AU823">
        <v>0</v>
      </c>
      <c r="AV823" s="18">
        <v>1</v>
      </c>
      <c r="AW823">
        <f t="shared" si="206"/>
        <v>0.23850000000000005</v>
      </c>
      <c r="AX823" s="18">
        <v>0.76149999999999995</v>
      </c>
      <c r="AY823" s="18" t="s">
        <v>508</v>
      </c>
      <c r="AZ823">
        <v>0</v>
      </c>
      <c r="BA823">
        <v>0</v>
      </c>
      <c r="BB823">
        <v>0</v>
      </c>
      <c r="BC823">
        <v>0</v>
      </c>
      <c r="BD823">
        <v>1</v>
      </c>
      <c r="BE823">
        <v>0</v>
      </c>
      <c r="BF823" s="18">
        <v>0</v>
      </c>
      <c r="BG823">
        <v>0</v>
      </c>
      <c r="BH823">
        <v>1</v>
      </c>
      <c r="BI823" s="18">
        <v>0</v>
      </c>
      <c r="BJ823">
        <v>3012</v>
      </c>
      <c r="BK823">
        <v>376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2" customFormat="1" x14ac:dyDescent="0.25">
      <c r="A824" s="142">
        <v>823</v>
      </c>
      <c r="B824" s="142">
        <v>55</v>
      </c>
      <c r="C824" s="143" t="s">
        <v>491</v>
      </c>
      <c r="D824" s="144">
        <v>6.3178181029901692</v>
      </c>
      <c r="E824" s="145">
        <v>0.78550878974366622</v>
      </c>
      <c r="F824" s="146">
        <v>8.0429629629629638</v>
      </c>
      <c r="G824" s="146">
        <f t="shared" si="192"/>
        <v>5.5323093132465031</v>
      </c>
      <c r="H824" s="147">
        <f t="shared" si="193"/>
        <v>7.1033268927338353</v>
      </c>
      <c r="I824" s="11">
        <f t="shared" si="196"/>
        <v>7.3662621441902193E-2</v>
      </c>
      <c r="J824" s="33">
        <f t="shared" si="197"/>
        <v>9.1586423785750548E-3</v>
      </c>
      <c r="K824" s="33">
        <f t="shared" si="198"/>
        <v>109.18648841877641</v>
      </c>
      <c r="L824" s="149">
        <v>1</v>
      </c>
      <c r="M824" s="150">
        <v>0</v>
      </c>
      <c r="N824" s="149">
        <v>0</v>
      </c>
      <c r="O824" s="150">
        <v>1</v>
      </c>
      <c r="P824" s="150">
        <v>0</v>
      </c>
      <c r="Q824" s="150">
        <v>0</v>
      </c>
      <c r="R824" s="150">
        <v>0</v>
      </c>
      <c r="S824" s="149">
        <v>11878</v>
      </c>
      <c r="T824" s="150">
        <v>20</v>
      </c>
      <c r="U824" s="150">
        <f t="shared" si="194"/>
        <v>11857</v>
      </c>
      <c r="V824" s="150">
        <f t="shared" si="195"/>
        <v>12</v>
      </c>
      <c r="W824" s="146">
        <v>22</v>
      </c>
      <c r="X824" s="146">
        <f t="shared" si="203"/>
        <v>7.5</v>
      </c>
      <c r="Y824" s="150">
        <v>0</v>
      </c>
      <c r="Z824" s="150">
        <v>1</v>
      </c>
      <c r="AA824" s="150">
        <v>0</v>
      </c>
      <c r="AB824" s="150">
        <v>1</v>
      </c>
      <c r="AC824" s="150">
        <v>0</v>
      </c>
      <c r="AD824" s="150">
        <v>0</v>
      </c>
      <c r="AE824" s="149">
        <v>0</v>
      </c>
      <c r="AF824" s="150">
        <v>1</v>
      </c>
      <c r="AG824" s="151">
        <v>0</v>
      </c>
      <c r="AH824" s="150">
        <v>1</v>
      </c>
      <c r="AI824" s="151">
        <v>0</v>
      </c>
      <c r="AJ824" s="152">
        <v>2017</v>
      </c>
      <c r="AK824" s="148">
        <v>0</v>
      </c>
      <c r="AL824" s="148">
        <v>0</v>
      </c>
      <c r="AM824" s="148">
        <v>0</v>
      </c>
      <c r="AN824" s="153">
        <v>1</v>
      </c>
      <c r="AO824" s="154">
        <f t="shared" si="204"/>
        <v>0.48699999999999999</v>
      </c>
      <c r="AP824" s="155">
        <v>0.51300000000000001</v>
      </c>
      <c r="AQ824" s="142">
        <v>0</v>
      </c>
      <c r="AR824" s="156">
        <f t="shared" si="205"/>
        <v>1</v>
      </c>
      <c r="AS824" s="142" t="s">
        <v>98</v>
      </c>
      <c r="AT824" s="156" t="s">
        <v>98</v>
      </c>
      <c r="AU824">
        <v>0</v>
      </c>
      <c r="AV824" s="155">
        <v>1</v>
      </c>
      <c r="AW824" s="142">
        <f t="shared" si="206"/>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3">
        <v>35.5</v>
      </c>
      <c r="BM824" s="142">
        <v>1</v>
      </c>
      <c r="BN824" s="142">
        <v>0</v>
      </c>
      <c r="BO824" s="142">
        <v>0</v>
      </c>
      <c r="BP824" s="142">
        <v>0</v>
      </c>
      <c r="BQ824" s="142">
        <v>0</v>
      </c>
      <c r="BR824" s="142">
        <v>0</v>
      </c>
      <c r="BS824" s="142">
        <v>0</v>
      </c>
      <c r="BT824" s="155">
        <v>0</v>
      </c>
      <c r="BU824" s="142">
        <v>0</v>
      </c>
      <c r="BV824" s="142">
        <v>0</v>
      </c>
      <c r="BW824" s="142">
        <v>0</v>
      </c>
      <c r="BX824" s="18">
        <v>0</v>
      </c>
      <c r="BY824">
        <v>0</v>
      </c>
      <c r="BZ824">
        <v>0</v>
      </c>
      <c r="CA824">
        <v>0</v>
      </c>
      <c r="CB824">
        <v>0</v>
      </c>
      <c r="CC824" s="18">
        <v>0</v>
      </c>
      <c r="CD824" s="142">
        <v>1</v>
      </c>
      <c r="CE824" s="142">
        <v>1</v>
      </c>
      <c r="CF824" s="142">
        <v>0</v>
      </c>
      <c r="CG824" s="142">
        <v>0</v>
      </c>
      <c r="CH824" s="142">
        <v>0</v>
      </c>
      <c r="CI824" s="142">
        <v>0</v>
      </c>
      <c r="CJ824" s="142">
        <v>0</v>
      </c>
      <c r="CK824" s="142">
        <v>1</v>
      </c>
      <c r="CL824" s="142">
        <v>1</v>
      </c>
      <c r="CM824" s="142">
        <v>1</v>
      </c>
      <c r="CN824" s="155">
        <v>1</v>
      </c>
      <c r="CO824">
        <v>4.0000000000000001E-3</v>
      </c>
      <c r="CP824">
        <v>2</v>
      </c>
      <c r="CQ824">
        <v>1</v>
      </c>
      <c r="CR824">
        <v>0</v>
      </c>
      <c r="CS824">
        <v>24</v>
      </c>
      <c r="CT824" s="157"/>
      <c r="CY824" s="157"/>
    </row>
    <row r="825" spans="1:103" x14ac:dyDescent="0.25">
      <c r="A825">
        <v>824</v>
      </c>
      <c r="B825">
        <v>56</v>
      </c>
      <c r="C825" s="25" t="s">
        <v>3893</v>
      </c>
      <c r="D825" s="12">
        <v>1.4156120261221929</v>
      </c>
      <c r="E825" s="14">
        <v>3.2173000593686198E-2</v>
      </c>
      <c r="F825" s="7">
        <v>44</v>
      </c>
      <c r="G825" s="7">
        <f t="shared" si="192"/>
        <v>1.3834390255285067</v>
      </c>
      <c r="H825" s="16">
        <f t="shared" si="193"/>
        <v>1.4477850267158792</v>
      </c>
      <c r="I825" s="11">
        <f t="shared" si="196"/>
        <v>0.17759268931992303</v>
      </c>
      <c r="J825" s="33">
        <f t="shared" si="197"/>
        <v>4.0361974845437056E-3</v>
      </c>
      <c r="K825" s="33">
        <f t="shared" si="198"/>
        <v>247.7579463912308</v>
      </c>
      <c r="L825" s="8">
        <v>0</v>
      </c>
      <c r="M825" s="9">
        <v>1</v>
      </c>
      <c r="N825" s="8">
        <v>0</v>
      </c>
      <c r="O825" s="9">
        <v>0</v>
      </c>
      <c r="P825" s="9">
        <v>0</v>
      </c>
      <c r="Q825" s="9">
        <v>1</v>
      </c>
      <c r="R825" s="9">
        <v>0</v>
      </c>
      <c r="S825" s="8">
        <v>59461</v>
      </c>
      <c r="T825" s="9">
        <v>12</v>
      </c>
      <c r="U825" s="9">
        <f t="shared" si="194"/>
        <v>59448</v>
      </c>
      <c r="V825" s="9">
        <f t="shared" si="195"/>
        <v>12</v>
      </c>
      <c r="W825" s="7">
        <f t="shared" ref="W825:W836" si="207">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5"/>
        <v>0.33999999999999997</v>
      </c>
      <c r="AS825" t="s">
        <v>98</v>
      </c>
      <c r="AT825" s="40" t="s">
        <v>98</v>
      </c>
      <c r="AU825">
        <v>1</v>
      </c>
      <c r="AV825" s="18">
        <v>0</v>
      </c>
      <c r="AW825" t="s">
        <v>98</v>
      </c>
      <c r="AX825" s="18" t="s">
        <v>98</v>
      </c>
      <c r="AY825" s="18" t="s">
        <v>588</v>
      </c>
      <c r="AZ825">
        <v>1</v>
      </c>
      <c r="BA825">
        <v>0</v>
      </c>
      <c r="BB825">
        <v>0</v>
      </c>
      <c r="BC825">
        <v>0</v>
      </c>
      <c r="BD825">
        <v>0</v>
      </c>
      <c r="BE825">
        <v>0</v>
      </c>
      <c r="BF825" s="18">
        <v>0</v>
      </c>
      <c r="BG825">
        <v>1</v>
      </c>
      <c r="BH825">
        <v>0</v>
      </c>
      <c r="BI825" s="18">
        <v>0</v>
      </c>
      <c r="BJ825">
        <v>20406</v>
      </c>
      <c r="BK825">
        <v>24425</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3893</v>
      </c>
      <c r="D826" s="12">
        <v>1.9975480504584859</v>
      </c>
      <c r="E826" s="14">
        <v>0.19024267147223681</v>
      </c>
      <c r="F826" s="7">
        <v>10.5</v>
      </c>
      <c r="G826" s="7">
        <f t="shared" si="192"/>
        <v>1.8073053789862492</v>
      </c>
      <c r="H826" s="16">
        <f t="shared" si="193"/>
        <v>2.1877907219307229</v>
      </c>
      <c r="I826" s="11">
        <f t="shared" si="196"/>
        <v>4.3025831595010194E-2</v>
      </c>
      <c r="J826" s="33">
        <f t="shared" si="197"/>
        <v>4.0976982471438283E-3</v>
      </c>
      <c r="K826" s="33">
        <f t="shared" si="198"/>
        <v>244.03944353321248</v>
      </c>
      <c r="L826" s="8">
        <v>0</v>
      </c>
      <c r="M826" s="9">
        <v>1</v>
      </c>
      <c r="N826" s="8">
        <v>0</v>
      </c>
      <c r="O826" s="9">
        <v>0</v>
      </c>
      <c r="P826" s="9">
        <v>0</v>
      </c>
      <c r="Q826" s="9">
        <v>1</v>
      </c>
      <c r="R826" s="9">
        <v>0</v>
      </c>
      <c r="S826" s="8">
        <v>59461</v>
      </c>
      <c r="T826" s="9">
        <v>15</v>
      </c>
      <c r="U826" s="9">
        <f t="shared" si="194"/>
        <v>59445</v>
      </c>
      <c r="V826" s="9">
        <f t="shared" si="195"/>
        <v>12</v>
      </c>
      <c r="W826" s="7">
        <f t="shared" si="207"/>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5"/>
        <v>0.33999999999999997</v>
      </c>
      <c r="AS826" t="s">
        <v>98</v>
      </c>
      <c r="AT826" s="40" t="s">
        <v>98</v>
      </c>
      <c r="AU826">
        <v>1</v>
      </c>
      <c r="AV826" s="18">
        <v>0</v>
      </c>
      <c r="AW826" t="s">
        <v>98</v>
      </c>
      <c r="AX826" s="18" t="s">
        <v>98</v>
      </c>
      <c r="AY826" s="18" t="s">
        <v>588</v>
      </c>
      <c r="AZ826">
        <v>1</v>
      </c>
      <c r="BA826">
        <v>0</v>
      </c>
      <c r="BB826">
        <v>0</v>
      </c>
      <c r="BC826">
        <v>0</v>
      </c>
      <c r="BD826">
        <v>0</v>
      </c>
      <c r="BE826">
        <v>0</v>
      </c>
      <c r="BF826" s="18">
        <v>0</v>
      </c>
      <c r="BG826">
        <v>1</v>
      </c>
      <c r="BH826">
        <v>0</v>
      </c>
      <c r="BI826" s="18">
        <v>0</v>
      </c>
      <c r="BJ826">
        <v>20406</v>
      </c>
      <c r="BK826">
        <v>24425</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3893</v>
      </c>
      <c r="D827" s="12">
        <v>1.14977284621034</v>
      </c>
      <c r="E827" s="14">
        <v>3.2387967498882807E-2</v>
      </c>
      <c r="F827" s="7">
        <v>35.499999999999993</v>
      </c>
      <c r="G827" s="7">
        <f t="shared" si="192"/>
        <v>1.1173848787114573</v>
      </c>
      <c r="H827" s="16">
        <f t="shared" si="193"/>
        <v>1.1821608137092228</v>
      </c>
      <c r="I827" s="11">
        <f t="shared" si="196"/>
        <v>0.1440802641742904</v>
      </c>
      <c r="J827" s="33">
        <f t="shared" si="197"/>
        <v>4.0585989908250826E-3</v>
      </c>
      <c r="K827" s="33">
        <f t="shared" si="198"/>
        <v>246.39044218475684</v>
      </c>
      <c r="L827" s="8">
        <v>0</v>
      </c>
      <c r="M827" s="9">
        <v>1</v>
      </c>
      <c r="N827" s="8">
        <v>0</v>
      </c>
      <c r="O827" s="9">
        <v>0</v>
      </c>
      <c r="P827" s="9">
        <v>0</v>
      </c>
      <c r="Q827" s="9">
        <v>1</v>
      </c>
      <c r="R827" s="9">
        <v>0</v>
      </c>
      <c r="S827" s="8">
        <v>59461</v>
      </c>
      <c r="T827" s="9">
        <v>12</v>
      </c>
      <c r="U827" s="9">
        <f t="shared" si="194"/>
        <v>59448</v>
      </c>
      <c r="V827" s="9">
        <f t="shared" si="195"/>
        <v>12</v>
      </c>
      <c r="W827" s="7">
        <f t="shared" si="207"/>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5"/>
        <v>0.33999999999999997</v>
      </c>
      <c r="AS827" t="s">
        <v>98</v>
      </c>
      <c r="AT827" s="40" t="s">
        <v>98</v>
      </c>
      <c r="AU827">
        <v>1</v>
      </c>
      <c r="AV827" s="18">
        <v>0</v>
      </c>
      <c r="AW827" t="s">
        <v>98</v>
      </c>
      <c r="AX827" s="18" t="s">
        <v>98</v>
      </c>
      <c r="AY827" s="18" t="s">
        <v>588</v>
      </c>
      <c r="AZ827">
        <v>1</v>
      </c>
      <c r="BA827">
        <v>0</v>
      </c>
      <c r="BB827">
        <v>0</v>
      </c>
      <c r="BC827">
        <v>0</v>
      </c>
      <c r="BD827">
        <v>0</v>
      </c>
      <c r="BE827">
        <v>0</v>
      </c>
      <c r="BF827" s="18">
        <v>0</v>
      </c>
      <c r="BG827">
        <v>1</v>
      </c>
      <c r="BH827">
        <v>0</v>
      </c>
      <c r="BI827" s="18">
        <v>0</v>
      </c>
      <c r="BJ827">
        <v>20406</v>
      </c>
      <c r="BK827">
        <v>24425</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3893</v>
      </c>
      <c r="D828" s="12">
        <v>0.1494405741624405</v>
      </c>
      <c r="E828" s="14">
        <v>0.26567213184433869</v>
      </c>
      <c r="F828" s="7">
        <v>0.5625</v>
      </c>
      <c r="G828" s="7">
        <f t="shared" si="192"/>
        <v>-0.11623155768189819</v>
      </c>
      <c r="H828" s="16">
        <f t="shared" si="193"/>
        <v>0.41511270600677919</v>
      </c>
      <c r="I828" s="11">
        <f t="shared" si="196"/>
        <v>2.3070855830089852E-3</v>
      </c>
      <c r="J828" s="33">
        <f t="shared" si="197"/>
        <v>4.1014854809048621E-3</v>
      </c>
      <c r="K828" s="33">
        <f t="shared" si="198"/>
        <v>243.81410214803</v>
      </c>
      <c r="L828" s="8">
        <v>0</v>
      </c>
      <c r="M828" s="9">
        <v>1</v>
      </c>
      <c r="N828" s="8">
        <v>0</v>
      </c>
      <c r="O828" s="9">
        <v>0</v>
      </c>
      <c r="P828" s="9">
        <v>0</v>
      </c>
      <c r="Q828" s="9">
        <v>1</v>
      </c>
      <c r="R828" s="9">
        <v>0</v>
      </c>
      <c r="S828" s="8">
        <v>59461</v>
      </c>
      <c r="T828" s="9">
        <v>15</v>
      </c>
      <c r="U828" s="9">
        <f t="shared" si="194"/>
        <v>59445</v>
      </c>
      <c r="V828" s="9">
        <f t="shared" si="195"/>
        <v>12</v>
      </c>
      <c r="W828" s="7">
        <f t="shared" si="207"/>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5"/>
        <v>0.33999999999999997</v>
      </c>
      <c r="AS828" t="s">
        <v>98</v>
      </c>
      <c r="AT828" s="40" t="s">
        <v>98</v>
      </c>
      <c r="AU828">
        <v>1</v>
      </c>
      <c r="AV828" s="18">
        <v>0</v>
      </c>
      <c r="AW828" t="s">
        <v>98</v>
      </c>
      <c r="AX828" s="18" t="s">
        <v>98</v>
      </c>
      <c r="AY828" s="18" t="s">
        <v>588</v>
      </c>
      <c r="AZ828">
        <v>1</v>
      </c>
      <c r="BA828">
        <v>0</v>
      </c>
      <c r="BB828">
        <v>0</v>
      </c>
      <c r="BC828">
        <v>0</v>
      </c>
      <c r="BD828">
        <v>0</v>
      </c>
      <c r="BE828">
        <v>0</v>
      </c>
      <c r="BF828" s="18">
        <v>0</v>
      </c>
      <c r="BG828">
        <v>1</v>
      </c>
      <c r="BH828">
        <v>0</v>
      </c>
      <c r="BI828" s="18">
        <v>0</v>
      </c>
      <c r="BJ828">
        <v>20406</v>
      </c>
      <c r="BK828">
        <v>24425</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3893</v>
      </c>
      <c r="D829" s="12">
        <v>1.4931411025128849</v>
      </c>
      <c r="E829" s="14">
        <v>4.8165842016544683E-2</v>
      </c>
      <c r="F829" s="7">
        <v>31</v>
      </c>
      <c r="G829" s="7">
        <f t="shared" si="192"/>
        <v>1.4449752604963402</v>
      </c>
      <c r="H829" s="16">
        <f t="shared" si="193"/>
        <v>1.5413069445294296</v>
      </c>
      <c r="I829" s="11">
        <f t="shared" si="196"/>
        <v>0.15398131860068121</v>
      </c>
      <c r="J829" s="33">
        <f t="shared" si="197"/>
        <v>4.9671393096993935E-3</v>
      </c>
      <c r="K829" s="33">
        <f t="shared" si="198"/>
        <v>201.32312336142613</v>
      </c>
      <c r="L829" s="8">
        <v>0</v>
      </c>
      <c r="M829" s="9">
        <v>1</v>
      </c>
      <c r="N829" s="8">
        <v>0</v>
      </c>
      <c r="O829" s="9">
        <v>0</v>
      </c>
      <c r="P829" s="9">
        <v>0</v>
      </c>
      <c r="Q829" s="9">
        <v>1</v>
      </c>
      <c r="R829" s="9">
        <v>0</v>
      </c>
      <c r="S829" s="8">
        <v>39583</v>
      </c>
      <c r="T829" s="9">
        <v>12</v>
      </c>
      <c r="U829" s="9">
        <f t="shared" si="194"/>
        <v>39570</v>
      </c>
      <c r="V829" s="9">
        <f t="shared" si="195"/>
        <v>12</v>
      </c>
      <c r="W829" s="7">
        <f t="shared" si="207"/>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5"/>
        <v>0</v>
      </c>
      <c r="AS829" t="s">
        <v>98</v>
      </c>
      <c r="AT829" s="40" t="s">
        <v>98</v>
      </c>
      <c r="AU829">
        <v>1</v>
      </c>
      <c r="AV829" s="18">
        <v>0</v>
      </c>
      <c r="AW829" t="s">
        <v>98</v>
      </c>
      <c r="AX829" s="18" t="s">
        <v>98</v>
      </c>
      <c r="AY829" s="18" t="s">
        <v>588</v>
      </c>
      <c r="AZ829">
        <v>1</v>
      </c>
      <c r="BA829">
        <v>0</v>
      </c>
      <c r="BB829">
        <v>0</v>
      </c>
      <c r="BC829">
        <v>0</v>
      </c>
      <c r="BD829">
        <v>0</v>
      </c>
      <c r="BE829">
        <v>0</v>
      </c>
      <c r="BF829" s="18">
        <v>0</v>
      </c>
      <c r="BG829">
        <v>1</v>
      </c>
      <c r="BH829">
        <v>0</v>
      </c>
      <c r="BI829" s="18">
        <v>0</v>
      </c>
      <c r="BJ829">
        <v>20406</v>
      </c>
      <c r="BK829">
        <v>24425</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3893</v>
      </c>
      <c r="D830" s="12">
        <v>-0.18417930403104019</v>
      </c>
      <c r="E830" s="14">
        <v>0.25115359640596402</v>
      </c>
      <c r="F830" s="7">
        <v>-0.73333333333333328</v>
      </c>
      <c r="G830" s="7">
        <f t="shared" si="192"/>
        <v>-0.43533290043700423</v>
      </c>
      <c r="H830" s="16">
        <f t="shared" si="193"/>
        <v>6.6974292374923833E-2</v>
      </c>
      <c r="I830" s="11">
        <f t="shared" si="196"/>
        <v>-3.6866500371270359E-3</v>
      </c>
      <c r="J830" s="33">
        <f t="shared" si="197"/>
        <v>5.0272500506277767E-3</v>
      </c>
      <c r="K830" s="33">
        <f t="shared" si="198"/>
        <v>198.91590629654979</v>
      </c>
      <c r="L830" s="8">
        <v>0</v>
      </c>
      <c r="M830" s="9">
        <v>1</v>
      </c>
      <c r="N830" s="8">
        <v>0</v>
      </c>
      <c r="O830" s="9">
        <v>0</v>
      </c>
      <c r="P830" s="9">
        <v>0</v>
      </c>
      <c r="Q830" s="9">
        <v>1</v>
      </c>
      <c r="R830" s="9">
        <v>0</v>
      </c>
      <c r="S830" s="8">
        <v>39583</v>
      </c>
      <c r="T830" s="9">
        <v>15</v>
      </c>
      <c r="U830" s="9">
        <f t="shared" si="194"/>
        <v>39567</v>
      </c>
      <c r="V830" s="9">
        <f t="shared" si="195"/>
        <v>12</v>
      </c>
      <c r="W830" s="7">
        <f t="shared" si="207"/>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5"/>
        <v>0</v>
      </c>
      <c r="AS830" t="s">
        <v>98</v>
      </c>
      <c r="AT830" s="40" t="s">
        <v>98</v>
      </c>
      <c r="AU830">
        <v>1</v>
      </c>
      <c r="AV830" s="18">
        <v>0</v>
      </c>
      <c r="AW830" t="s">
        <v>98</v>
      </c>
      <c r="AX830" s="18" t="s">
        <v>98</v>
      </c>
      <c r="AY830" s="18" t="s">
        <v>588</v>
      </c>
      <c r="AZ830">
        <v>1</v>
      </c>
      <c r="BA830">
        <v>0</v>
      </c>
      <c r="BB830">
        <v>0</v>
      </c>
      <c r="BC830">
        <v>0</v>
      </c>
      <c r="BD830">
        <v>0</v>
      </c>
      <c r="BE830">
        <v>0</v>
      </c>
      <c r="BF830" s="18">
        <v>0</v>
      </c>
      <c r="BG830">
        <v>1</v>
      </c>
      <c r="BH830">
        <v>0</v>
      </c>
      <c r="BI830" s="18">
        <v>0</v>
      </c>
      <c r="BJ830">
        <v>20406</v>
      </c>
      <c r="BK830">
        <v>24425</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3893</v>
      </c>
      <c r="D831" s="12">
        <v>1.368951950366637</v>
      </c>
      <c r="E831" s="14">
        <v>4.8315951189410712E-2</v>
      </c>
      <c r="F831" s="7">
        <v>28.333333333333339</v>
      </c>
      <c r="G831" s="7">
        <f t="shared" si="192"/>
        <v>1.3206359991772263</v>
      </c>
      <c r="H831" s="16">
        <f t="shared" si="193"/>
        <v>1.4172679015560476</v>
      </c>
      <c r="I831" s="11">
        <f t="shared" si="196"/>
        <v>0.14101111782312364</v>
      </c>
      <c r="J831" s="33">
        <f t="shared" si="197"/>
        <v>4.9768629819925978E-3</v>
      </c>
      <c r="K831" s="33">
        <f t="shared" si="198"/>
        <v>200.92978320243563</v>
      </c>
      <c r="L831" s="8">
        <v>0</v>
      </c>
      <c r="M831" s="9">
        <v>1</v>
      </c>
      <c r="N831" s="8">
        <v>0</v>
      </c>
      <c r="O831" s="9">
        <v>0</v>
      </c>
      <c r="P831" s="9">
        <v>0</v>
      </c>
      <c r="Q831" s="9">
        <v>1</v>
      </c>
      <c r="R831" s="9">
        <v>0</v>
      </c>
      <c r="S831" s="8">
        <v>39583</v>
      </c>
      <c r="T831" s="9">
        <v>12</v>
      </c>
      <c r="U831" s="9">
        <f t="shared" si="194"/>
        <v>39570</v>
      </c>
      <c r="V831" s="9">
        <f t="shared" si="195"/>
        <v>12</v>
      </c>
      <c r="W831" s="7">
        <f t="shared" si="207"/>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5"/>
        <v>0</v>
      </c>
      <c r="AS831" t="s">
        <v>98</v>
      </c>
      <c r="AT831" s="40" t="s">
        <v>98</v>
      </c>
      <c r="AU831">
        <v>1</v>
      </c>
      <c r="AV831" s="18">
        <v>0</v>
      </c>
      <c r="AW831" t="s">
        <v>98</v>
      </c>
      <c r="AX831" s="18" t="s">
        <v>98</v>
      </c>
      <c r="AY831" s="18" t="s">
        <v>588</v>
      </c>
      <c r="AZ831">
        <v>1</v>
      </c>
      <c r="BA831">
        <v>0</v>
      </c>
      <c r="BB831">
        <v>0</v>
      </c>
      <c r="BC831">
        <v>0</v>
      </c>
      <c r="BD831">
        <v>0</v>
      </c>
      <c r="BE831">
        <v>0</v>
      </c>
      <c r="BF831" s="18">
        <v>0</v>
      </c>
      <c r="BG831">
        <v>1</v>
      </c>
      <c r="BH831">
        <v>0</v>
      </c>
      <c r="BI831" s="18">
        <v>0</v>
      </c>
      <c r="BJ831">
        <v>20406</v>
      </c>
      <c r="BK831">
        <v>24425</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3893</v>
      </c>
      <c r="D832" s="12">
        <v>-1.5775932981637151</v>
      </c>
      <c r="E832" s="14">
        <v>0.38139618197364539</v>
      </c>
      <c r="F832" s="7">
        <v>-4.1363636363636367</v>
      </c>
      <c r="G832" s="7">
        <f t="shared" si="192"/>
        <v>-1.9589894801373604</v>
      </c>
      <c r="H832" s="16">
        <f t="shared" si="193"/>
        <v>-1.1961971161900697</v>
      </c>
      <c r="I832" s="11">
        <f t="shared" si="196"/>
        <v>-2.0790181071080629E-2</v>
      </c>
      <c r="J832" s="33">
        <f t="shared" si="197"/>
        <v>5.0261976215799321E-3</v>
      </c>
      <c r="K832" s="33">
        <f t="shared" si="198"/>
        <v>198.95755704202904</v>
      </c>
      <c r="L832" s="8">
        <v>0</v>
      </c>
      <c r="M832" s="9">
        <v>1</v>
      </c>
      <c r="N832" s="8">
        <v>0</v>
      </c>
      <c r="O832" s="9">
        <v>0</v>
      </c>
      <c r="P832" s="9">
        <v>0</v>
      </c>
      <c r="Q832" s="9">
        <v>1</v>
      </c>
      <c r="R832" s="9">
        <v>0</v>
      </c>
      <c r="S832" s="8">
        <v>39583</v>
      </c>
      <c r="T832" s="9">
        <v>15</v>
      </c>
      <c r="U832" s="9">
        <f t="shared" si="194"/>
        <v>39567</v>
      </c>
      <c r="V832" s="9">
        <f t="shared" si="195"/>
        <v>12</v>
      </c>
      <c r="W832" s="7">
        <f t="shared" si="207"/>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5"/>
        <v>0</v>
      </c>
      <c r="AS832" t="s">
        <v>98</v>
      </c>
      <c r="AT832" s="40" t="s">
        <v>98</v>
      </c>
      <c r="AU832">
        <v>1</v>
      </c>
      <c r="AV832" s="18">
        <v>0</v>
      </c>
      <c r="AW832" t="s">
        <v>98</v>
      </c>
      <c r="AX832" s="18" t="s">
        <v>98</v>
      </c>
      <c r="AY832" s="18" t="s">
        <v>588</v>
      </c>
      <c r="AZ832">
        <v>1</v>
      </c>
      <c r="BA832">
        <v>0</v>
      </c>
      <c r="BB832">
        <v>0</v>
      </c>
      <c r="BC832">
        <v>0</v>
      </c>
      <c r="BD832">
        <v>0</v>
      </c>
      <c r="BE832">
        <v>0</v>
      </c>
      <c r="BF832" s="18">
        <v>0</v>
      </c>
      <c r="BG832">
        <v>1</v>
      </c>
      <c r="BH832">
        <v>0</v>
      </c>
      <c r="BI832" s="18">
        <v>0</v>
      </c>
      <c r="BJ832">
        <v>20406</v>
      </c>
      <c r="BK832">
        <v>24425</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3893</v>
      </c>
      <c r="D833" s="12">
        <v>0.84846446694681887</v>
      </c>
      <c r="E833" s="14">
        <v>4.8949873093085711E-2</v>
      </c>
      <c r="F833" s="7">
        <v>17.333333333333329</v>
      </c>
      <c r="G833" s="7">
        <f t="shared" si="192"/>
        <v>0.79951459385373314</v>
      </c>
      <c r="H833" s="16">
        <f t="shared" si="193"/>
        <v>0.89741434003990461</v>
      </c>
      <c r="I833" s="11">
        <f t="shared" si="196"/>
        <v>0.12206135585639513</v>
      </c>
      <c r="J833" s="33">
        <f t="shared" si="197"/>
        <v>7.0420012994074129E-3</v>
      </c>
      <c r="K833" s="33">
        <f t="shared" si="198"/>
        <v>142.00508598090579</v>
      </c>
      <c r="L833" s="8">
        <v>0</v>
      </c>
      <c r="M833" s="9">
        <v>1</v>
      </c>
      <c r="N833" s="8">
        <v>0</v>
      </c>
      <c r="O833" s="9">
        <v>0</v>
      </c>
      <c r="P833" s="9">
        <v>0</v>
      </c>
      <c r="Q833" s="9">
        <v>1</v>
      </c>
      <c r="R833" s="9">
        <v>0</v>
      </c>
      <c r="S833" s="8">
        <v>19878</v>
      </c>
      <c r="T833" s="9">
        <v>12</v>
      </c>
      <c r="U833" s="9">
        <f t="shared" si="194"/>
        <v>19865</v>
      </c>
      <c r="V833" s="9">
        <f t="shared" si="195"/>
        <v>12</v>
      </c>
      <c r="W833" s="7">
        <f t="shared" si="207"/>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5"/>
        <v>1</v>
      </c>
      <c r="AS833" t="s">
        <v>98</v>
      </c>
      <c r="AT833" s="40" t="s">
        <v>98</v>
      </c>
      <c r="AU833">
        <v>1</v>
      </c>
      <c r="AV833" s="18">
        <v>0</v>
      </c>
      <c r="AW833" t="s">
        <v>98</v>
      </c>
      <c r="AX833" s="18" t="s">
        <v>98</v>
      </c>
      <c r="AY833" s="18" t="s">
        <v>588</v>
      </c>
      <c r="AZ833">
        <v>1</v>
      </c>
      <c r="BA833">
        <v>0</v>
      </c>
      <c r="BB833">
        <v>0</v>
      </c>
      <c r="BC833">
        <v>0</v>
      </c>
      <c r="BD833">
        <v>0</v>
      </c>
      <c r="BE833">
        <v>0</v>
      </c>
      <c r="BF833" s="18">
        <v>0</v>
      </c>
      <c r="BG833">
        <v>1</v>
      </c>
      <c r="BH833">
        <v>0</v>
      </c>
      <c r="BI833" s="18">
        <v>0</v>
      </c>
      <c r="BJ833">
        <v>20406</v>
      </c>
      <c r="BK833">
        <v>24425</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3893</v>
      </c>
      <c r="D834" s="12">
        <v>3.397935540207309</v>
      </c>
      <c r="E834" s="14">
        <v>0.38265039867199419</v>
      </c>
      <c r="F834" s="7">
        <v>8.879999999999999</v>
      </c>
      <c r="G834" s="7">
        <f t="shared" ref="G834:G897" si="208">D834-E834</f>
        <v>3.015285141535315</v>
      </c>
      <c r="H834" s="16">
        <f t="shared" ref="H834:H897" si="209">D834+E834</f>
        <v>3.7805859388793031</v>
      </c>
      <c r="I834" s="11">
        <f t="shared" si="196"/>
        <v>6.2884134011304604E-2</v>
      </c>
      <c r="J834" s="33">
        <f t="shared" si="197"/>
        <v>7.0815466228946631E-3</v>
      </c>
      <c r="K834" s="33">
        <f t="shared" si="198"/>
        <v>141.21209013395418</v>
      </c>
      <c r="L834" s="8">
        <v>0</v>
      </c>
      <c r="M834" s="9">
        <v>1</v>
      </c>
      <c r="N834" s="8">
        <v>0</v>
      </c>
      <c r="O834" s="9">
        <v>0</v>
      </c>
      <c r="P834" s="9">
        <v>0</v>
      </c>
      <c r="Q834" s="9">
        <v>1</v>
      </c>
      <c r="R834" s="9">
        <v>0</v>
      </c>
      <c r="S834" s="8">
        <v>19878</v>
      </c>
      <c r="T834" s="9">
        <v>15</v>
      </c>
      <c r="U834" s="9">
        <f t="shared" ref="U834:U897" si="210">S834-T834-1</f>
        <v>19862</v>
      </c>
      <c r="V834" s="9">
        <f t="shared" ref="V834:V897" si="211">COUNTIF(B:B,B834)</f>
        <v>12</v>
      </c>
      <c r="W834" s="7">
        <f t="shared" si="207"/>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5"/>
        <v>1</v>
      </c>
      <c r="AS834" t="s">
        <v>98</v>
      </c>
      <c r="AT834" s="40" t="s">
        <v>98</v>
      </c>
      <c r="AU834">
        <v>1</v>
      </c>
      <c r="AV834" s="18">
        <v>0</v>
      </c>
      <c r="AW834" t="s">
        <v>98</v>
      </c>
      <c r="AX834" s="18" t="s">
        <v>98</v>
      </c>
      <c r="AY834" s="18" t="s">
        <v>588</v>
      </c>
      <c r="AZ834">
        <v>1</v>
      </c>
      <c r="BA834">
        <v>0</v>
      </c>
      <c r="BB834">
        <v>0</v>
      </c>
      <c r="BC834">
        <v>0</v>
      </c>
      <c r="BD834">
        <v>0</v>
      </c>
      <c r="BE834">
        <v>0</v>
      </c>
      <c r="BF834" s="18">
        <v>0</v>
      </c>
      <c r="BG834">
        <v>1</v>
      </c>
      <c r="BH834">
        <v>0</v>
      </c>
      <c r="BI834" s="18">
        <v>0</v>
      </c>
      <c r="BJ834">
        <v>20406</v>
      </c>
      <c r="BK834">
        <v>24425</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3893</v>
      </c>
      <c r="D835" s="12">
        <v>0.60736920618000845</v>
      </c>
      <c r="E835" s="14">
        <v>4.9246151852433119E-2</v>
      </c>
      <c r="F835" s="7">
        <v>12.33333333333333</v>
      </c>
      <c r="G835" s="7">
        <f t="shared" si="208"/>
        <v>0.55812305432757536</v>
      </c>
      <c r="H835" s="16">
        <f t="shared" si="209"/>
        <v>0.65661535803244153</v>
      </c>
      <c r="I835" s="11">
        <f t="shared" si="196"/>
        <v>8.7172553837586486E-2</v>
      </c>
      <c r="J835" s="33">
        <f t="shared" si="197"/>
        <v>7.0680449057502559E-3</v>
      </c>
      <c r="K835" s="33">
        <f t="shared" si="198"/>
        <v>141.48184021672574</v>
      </c>
      <c r="L835" s="8">
        <v>0</v>
      </c>
      <c r="M835" s="9">
        <v>1</v>
      </c>
      <c r="N835" s="8">
        <v>0</v>
      </c>
      <c r="O835" s="9">
        <v>0</v>
      </c>
      <c r="P835" s="9">
        <v>0</v>
      </c>
      <c r="Q835" s="9">
        <v>1</v>
      </c>
      <c r="R835" s="9">
        <v>0</v>
      </c>
      <c r="S835" s="8">
        <v>19878</v>
      </c>
      <c r="T835" s="9">
        <v>12</v>
      </c>
      <c r="U835" s="9">
        <f t="shared" si="210"/>
        <v>19865</v>
      </c>
      <c r="V835" s="9">
        <f t="shared" si="211"/>
        <v>12</v>
      </c>
      <c r="W835" s="7">
        <f t="shared" si="207"/>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5"/>
        <v>1</v>
      </c>
      <c r="AS835" t="s">
        <v>98</v>
      </c>
      <c r="AT835" s="40" t="s">
        <v>98</v>
      </c>
      <c r="AU835">
        <v>1</v>
      </c>
      <c r="AV835" s="18">
        <v>0</v>
      </c>
      <c r="AW835" t="s">
        <v>98</v>
      </c>
      <c r="AX835" s="18" t="s">
        <v>98</v>
      </c>
      <c r="AY835" s="18" t="s">
        <v>588</v>
      </c>
      <c r="AZ835">
        <v>1</v>
      </c>
      <c r="BA835">
        <v>0</v>
      </c>
      <c r="BB835">
        <v>0</v>
      </c>
      <c r="BC835">
        <v>0</v>
      </c>
      <c r="BD835">
        <v>0</v>
      </c>
      <c r="BE835">
        <v>0</v>
      </c>
      <c r="BF835" s="18">
        <v>0</v>
      </c>
      <c r="BG835">
        <v>1</v>
      </c>
      <c r="BH835">
        <v>0</v>
      </c>
      <c r="BI835" s="18">
        <v>0</v>
      </c>
      <c r="BJ835">
        <v>20406</v>
      </c>
      <c r="BK835">
        <v>24425</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3893</v>
      </c>
      <c r="D836" s="12">
        <v>3.5104472838743521</v>
      </c>
      <c r="E836" s="14">
        <v>0.5341984997200101</v>
      </c>
      <c r="F836" s="7">
        <v>6.5714285714285712</v>
      </c>
      <c r="G836" s="146">
        <f t="shared" si="208"/>
        <v>2.9762487841543419</v>
      </c>
      <c r="H836" s="147">
        <f t="shared" si="209"/>
        <v>4.0446457835943619</v>
      </c>
      <c r="I836" s="11">
        <f t="shared" si="196"/>
        <v>4.6577556035354413E-2</v>
      </c>
      <c r="J836" s="33">
        <f t="shared" si="197"/>
        <v>7.0878889619017584E-3</v>
      </c>
      <c r="K836" s="33">
        <f t="shared" si="198"/>
        <v>141.08573164381076</v>
      </c>
      <c r="L836" s="8">
        <v>0</v>
      </c>
      <c r="M836" s="9">
        <v>1</v>
      </c>
      <c r="N836" s="8">
        <v>0</v>
      </c>
      <c r="O836" s="9">
        <v>0</v>
      </c>
      <c r="P836" s="9">
        <v>0</v>
      </c>
      <c r="Q836" s="9">
        <v>1</v>
      </c>
      <c r="R836" s="9">
        <v>0</v>
      </c>
      <c r="S836" s="8">
        <v>19878</v>
      </c>
      <c r="T836" s="9">
        <v>15</v>
      </c>
      <c r="U836" s="9">
        <f t="shared" si="210"/>
        <v>19862</v>
      </c>
      <c r="V836" s="9">
        <f t="shared" si="211"/>
        <v>12</v>
      </c>
      <c r="W836" s="7">
        <f t="shared" si="207"/>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5"/>
        <v>1</v>
      </c>
      <c r="AS836" t="s">
        <v>98</v>
      </c>
      <c r="AT836" s="40" t="s">
        <v>98</v>
      </c>
      <c r="AU836">
        <v>1</v>
      </c>
      <c r="AV836" s="18">
        <v>0</v>
      </c>
      <c r="AW836" t="s">
        <v>98</v>
      </c>
      <c r="AX836" s="18" t="s">
        <v>98</v>
      </c>
      <c r="AY836" s="18" t="s">
        <v>588</v>
      </c>
      <c r="AZ836">
        <v>1</v>
      </c>
      <c r="BA836">
        <v>0</v>
      </c>
      <c r="BB836">
        <v>0</v>
      </c>
      <c r="BC836">
        <v>0</v>
      </c>
      <c r="BD836">
        <v>0</v>
      </c>
      <c r="BE836">
        <v>0</v>
      </c>
      <c r="BF836" s="18">
        <v>0</v>
      </c>
      <c r="BG836">
        <v>1</v>
      </c>
      <c r="BH836">
        <v>0</v>
      </c>
      <c r="BI836" s="18">
        <v>0</v>
      </c>
      <c r="BJ836">
        <v>20406</v>
      </c>
      <c r="BK836">
        <v>24425</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3912</v>
      </c>
      <c r="D837" s="12">
        <v>1.4</v>
      </c>
      <c r="E837" s="14">
        <f t="shared" ref="E837:E844" si="212">D837/F837</f>
        <v>0.72164948453608246</v>
      </c>
      <c r="F837" s="7">
        <v>1.94</v>
      </c>
      <c r="G837" s="7">
        <f t="shared" si="208"/>
        <v>0.67835051546391745</v>
      </c>
      <c r="H837" s="16">
        <f t="shared" si="209"/>
        <v>2.1216494845360825</v>
      </c>
      <c r="I837" s="11">
        <f t="shared" si="196"/>
        <v>5.6481241425366466E-2</v>
      </c>
      <c r="J837" s="33">
        <f t="shared" si="197"/>
        <v>2.9114041971838388E-2</v>
      </c>
      <c r="K837" s="33">
        <f t="shared" si="198"/>
        <v>34.347686967247157</v>
      </c>
      <c r="L837" s="8">
        <v>1</v>
      </c>
      <c r="M837" s="9">
        <v>0</v>
      </c>
      <c r="N837" s="8">
        <v>0</v>
      </c>
      <c r="O837" s="9">
        <v>1</v>
      </c>
      <c r="P837" s="9">
        <v>0</v>
      </c>
      <c r="Q837" s="9">
        <v>0</v>
      </c>
      <c r="R837" s="9">
        <v>0</v>
      </c>
      <c r="S837" s="8">
        <v>1182</v>
      </c>
      <c r="T837" s="9">
        <v>5</v>
      </c>
      <c r="U837" s="9">
        <f t="shared" si="210"/>
        <v>1176</v>
      </c>
      <c r="V837" s="9">
        <f t="shared" si="211"/>
        <v>8</v>
      </c>
      <c r="W837" s="7">
        <v>8.2799999999999994</v>
      </c>
      <c r="X837" s="7">
        <f t="shared" ref="X837:X844" si="213">BL837-W837-6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v>0</v>
      </c>
      <c r="BF837" s="18">
        <v>0</v>
      </c>
      <c r="BG837">
        <v>0</v>
      </c>
      <c r="BH837">
        <v>1</v>
      </c>
      <c r="BI837" s="18">
        <v>0</v>
      </c>
      <c r="BJ837">
        <v>615</v>
      </c>
      <c r="BK837">
        <v>47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3912</v>
      </c>
      <c r="D838" s="12">
        <v>1.2</v>
      </c>
      <c r="E838" s="14">
        <f t="shared" si="212"/>
        <v>0.72727272727272729</v>
      </c>
      <c r="F838" s="7">
        <v>1.65</v>
      </c>
      <c r="G838" s="7">
        <f t="shared" si="208"/>
        <v>0.47272727272727266</v>
      </c>
      <c r="H838" s="16">
        <f t="shared" si="209"/>
        <v>1.9272727272727272</v>
      </c>
      <c r="I838" s="11">
        <f t="shared" si="196"/>
        <v>4.8059379292181577E-2</v>
      </c>
      <c r="J838" s="33">
        <f t="shared" si="197"/>
        <v>2.912689654071611E-2</v>
      </c>
      <c r="K838" s="33">
        <f t="shared" si="198"/>
        <v>34.332528307714249</v>
      </c>
      <c r="L838" s="8">
        <v>1</v>
      </c>
      <c r="M838" s="9">
        <v>0</v>
      </c>
      <c r="N838" s="8">
        <v>0</v>
      </c>
      <c r="O838" s="9">
        <v>1</v>
      </c>
      <c r="P838" s="9">
        <v>0</v>
      </c>
      <c r="Q838" s="9">
        <v>0</v>
      </c>
      <c r="R838" s="9">
        <v>0</v>
      </c>
      <c r="S838" s="8">
        <v>1182</v>
      </c>
      <c r="T838" s="9">
        <v>5</v>
      </c>
      <c r="U838" s="9">
        <f t="shared" si="210"/>
        <v>1176</v>
      </c>
      <c r="V838" s="9">
        <f t="shared" si="211"/>
        <v>8</v>
      </c>
      <c r="W838" s="7">
        <v>8.2799999999999994</v>
      </c>
      <c r="X838" s="7">
        <f t="shared" si="213"/>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v>0</v>
      </c>
      <c r="BF838" s="18">
        <v>0</v>
      </c>
      <c r="BG838">
        <v>0</v>
      </c>
      <c r="BH838">
        <v>1</v>
      </c>
      <c r="BI838" s="18">
        <v>0</v>
      </c>
      <c r="BJ838">
        <v>615</v>
      </c>
      <c r="BK838">
        <v>47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3912</v>
      </c>
      <c r="D839" s="12">
        <v>0.83</v>
      </c>
      <c r="E839" s="14">
        <f t="shared" si="212"/>
        <v>0.77570093457943912</v>
      </c>
      <c r="F839" s="7">
        <v>1.07</v>
      </c>
      <c r="G839" s="7">
        <f t="shared" si="208"/>
        <v>5.4299065420560844E-2</v>
      </c>
      <c r="H839" s="16">
        <f t="shared" si="209"/>
        <v>1.6057009345794391</v>
      </c>
      <c r="I839" s="11">
        <f t="shared" si="196"/>
        <v>3.1186656367779658E-2</v>
      </c>
      <c r="J839" s="33">
        <f t="shared" si="197"/>
        <v>2.9146407820354818E-2</v>
      </c>
      <c r="K839" s="33">
        <f t="shared" si="198"/>
        <v>34.309545319050791</v>
      </c>
      <c r="L839" s="8">
        <v>1</v>
      </c>
      <c r="M839" s="9">
        <v>0</v>
      </c>
      <c r="N839" s="8">
        <v>0</v>
      </c>
      <c r="O839" s="9">
        <v>1</v>
      </c>
      <c r="P839" s="9">
        <v>0</v>
      </c>
      <c r="Q839" s="9">
        <v>0</v>
      </c>
      <c r="R839" s="9">
        <v>0</v>
      </c>
      <c r="S839" s="8">
        <v>1182</v>
      </c>
      <c r="T839" s="9">
        <v>5</v>
      </c>
      <c r="U839" s="9">
        <f t="shared" si="210"/>
        <v>1176</v>
      </c>
      <c r="V839" s="9">
        <f t="shared" si="211"/>
        <v>8</v>
      </c>
      <c r="W839" s="7">
        <v>8.2799999999999994</v>
      </c>
      <c r="X839" s="7">
        <f t="shared" si="213"/>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v>0</v>
      </c>
      <c r="BF839" s="18">
        <v>0</v>
      </c>
      <c r="BG839">
        <v>0</v>
      </c>
      <c r="BH839">
        <v>1</v>
      </c>
      <c r="BI839" s="18">
        <v>0</v>
      </c>
      <c r="BJ839">
        <v>615</v>
      </c>
      <c r="BK839">
        <v>47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3912</v>
      </c>
      <c r="D840" s="12">
        <v>0.68</v>
      </c>
      <c r="E840" s="14">
        <f t="shared" si="212"/>
        <v>0.66666666666666674</v>
      </c>
      <c r="F840" s="7">
        <v>1.02</v>
      </c>
      <c r="G840" s="7">
        <f t="shared" si="208"/>
        <v>1.3333333333333308E-2</v>
      </c>
      <c r="H840" s="16">
        <f t="shared" si="209"/>
        <v>1.3466666666666667</v>
      </c>
      <c r="I840" s="11">
        <f t="shared" ref="I840:I903" si="214">IFERROR(F840/SQRT(F840^2+U840), "X")</f>
        <v>2.9730655662414812E-2</v>
      </c>
      <c r="J840" s="33">
        <f t="shared" ref="J840:J903" si="215">IFERROR(SQRT((1-I840^2)/U840), "X")</f>
        <v>2.9147701629818445E-2</v>
      </c>
      <c r="K840" s="33">
        <f t="shared" ref="K840:K903" si="216">IFERROR(1/J840, "X")</f>
        <v>34.308022385442158</v>
      </c>
      <c r="L840" s="8">
        <v>1</v>
      </c>
      <c r="M840" s="9">
        <v>0</v>
      </c>
      <c r="N840" s="8">
        <v>0</v>
      </c>
      <c r="O840" s="9">
        <v>1</v>
      </c>
      <c r="P840" s="9">
        <v>0</v>
      </c>
      <c r="Q840" s="9">
        <v>0</v>
      </c>
      <c r="R840" s="9">
        <v>0</v>
      </c>
      <c r="S840" s="8">
        <v>1182</v>
      </c>
      <c r="T840" s="9">
        <v>5</v>
      </c>
      <c r="U840" s="9">
        <f t="shared" si="210"/>
        <v>1176</v>
      </c>
      <c r="V840" s="9">
        <f t="shared" si="211"/>
        <v>8</v>
      </c>
      <c r="W840" s="7">
        <v>8.2799999999999994</v>
      </c>
      <c r="X840" s="7">
        <f t="shared" si="213"/>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v>0</v>
      </c>
      <c r="BF840" s="18">
        <v>0</v>
      </c>
      <c r="BG840">
        <v>0</v>
      </c>
      <c r="BH840">
        <v>1</v>
      </c>
      <c r="BI840" s="18">
        <v>0</v>
      </c>
      <c r="BJ840">
        <v>615</v>
      </c>
      <c r="BK840">
        <v>47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3912</v>
      </c>
      <c r="D841" s="12">
        <v>0.71</v>
      </c>
      <c r="E841" s="14">
        <f t="shared" si="212"/>
        <v>0.70297029702970293</v>
      </c>
      <c r="F841" s="7">
        <v>1.01</v>
      </c>
      <c r="G841" s="7">
        <f t="shared" si="208"/>
        <v>7.0297029702970359E-3</v>
      </c>
      <c r="H841" s="16">
        <f t="shared" si="209"/>
        <v>1.4129702970297029</v>
      </c>
      <c r="I841" s="11">
        <f t="shared" si="214"/>
        <v>2.9439432512957893E-2</v>
      </c>
      <c r="J841" s="33">
        <f t="shared" si="215"/>
        <v>2.9147952983126627E-2</v>
      </c>
      <c r="K841" s="33">
        <f t="shared" si="216"/>
        <v>34.307726534994998</v>
      </c>
      <c r="L841" s="8">
        <v>1</v>
      </c>
      <c r="M841" s="9">
        <v>0</v>
      </c>
      <c r="N841" s="8">
        <v>0</v>
      </c>
      <c r="O841" s="9">
        <v>1</v>
      </c>
      <c r="P841" s="9">
        <v>0</v>
      </c>
      <c r="Q841" s="9">
        <v>0</v>
      </c>
      <c r="R841" s="9">
        <v>0</v>
      </c>
      <c r="S841" s="8">
        <v>1182</v>
      </c>
      <c r="T841" s="9">
        <v>5</v>
      </c>
      <c r="U841" s="9">
        <f t="shared" si="210"/>
        <v>1176</v>
      </c>
      <c r="V841" s="9">
        <f t="shared" si="211"/>
        <v>8</v>
      </c>
      <c r="W841" s="7">
        <v>8.2799999999999994</v>
      </c>
      <c r="X841" s="7">
        <f t="shared" si="213"/>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v>0</v>
      </c>
      <c r="BF841" s="18">
        <v>0</v>
      </c>
      <c r="BG841">
        <v>0</v>
      </c>
      <c r="BH841">
        <v>1</v>
      </c>
      <c r="BI841" s="18">
        <v>0</v>
      </c>
      <c r="BJ841">
        <v>615</v>
      </c>
      <c r="BK841">
        <v>47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3912</v>
      </c>
      <c r="D842" s="12">
        <v>1.1000000000000001</v>
      </c>
      <c r="E842" s="14">
        <f t="shared" si="212"/>
        <v>0.73825503355704702</v>
      </c>
      <c r="F842" s="7">
        <v>1.49</v>
      </c>
      <c r="G842" s="7">
        <f t="shared" si="208"/>
        <v>0.36174496644295306</v>
      </c>
      <c r="H842" s="16">
        <f t="shared" si="209"/>
        <v>1.8382550335570471</v>
      </c>
      <c r="I842" s="11">
        <f t="shared" si="214"/>
        <v>4.340832767047214E-2</v>
      </c>
      <c r="J842" s="33">
        <f t="shared" si="215"/>
        <v>2.9133105819108818E-2</v>
      </c>
      <c r="K842" s="33">
        <f t="shared" si="216"/>
        <v>34.32521085150097</v>
      </c>
      <c r="L842" s="8">
        <v>1</v>
      </c>
      <c r="M842" s="9">
        <v>0</v>
      </c>
      <c r="N842" s="8">
        <v>0</v>
      </c>
      <c r="O842" s="9">
        <v>1</v>
      </c>
      <c r="P842" s="9">
        <v>0</v>
      </c>
      <c r="Q842" s="9">
        <v>0</v>
      </c>
      <c r="R842" s="9">
        <v>0</v>
      </c>
      <c r="S842" s="8">
        <v>1182</v>
      </c>
      <c r="T842" s="9">
        <v>5</v>
      </c>
      <c r="U842" s="9">
        <f t="shared" si="210"/>
        <v>1176</v>
      </c>
      <c r="V842" s="9">
        <f t="shared" si="211"/>
        <v>8</v>
      </c>
      <c r="W842" s="7">
        <v>8.2799999999999994</v>
      </c>
      <c r="X842" s="7">
        <f t="shared" si="213"/>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v>0</v>
      </c>
      <c r="BF842" s="18">
        <v>0</v>
      </c>
      <c r="BG842">
        <v>0</v>
      </c>
      <c r="BH842">
        <v>1</v>
      </c>
      <c r="BI842" s="18">
        <v>0</v>
      </c>
      <c r="BJ842">
        <v>615</v>
      </c>
      <c r="BK842">
        <v>47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3912</v>
      </c>
      <c r="D843" s="12">
        <v>0.87</v>
      </c>
      <c r="E843" s="14">
        <f t="shared" si="212"/>
        <v>0.87878787878787878</v>
      </c>
      <c r="F843" s="7">
        <v>0.99</v>
      </c>
      <c r="G843" s="7">
        <f t="shared" si="208"/>
        <v>-8.787878787878789E-3</v>
      </c>
      <c r="H843" s="16">
        <f t="shared" si="209"/>
        <v>1.7487878787878788</v>
      </c>
      <c r="I843" s="11">
        <f t="shared" si="214"/>
        <v>2.8856963796815759E-2</v>
      </c>
      <c r="J843" s="33">
        <f t="shared" si="215"/>
        <v>2.9148448279611879E-2</v>
      </c>
      <c r="K843" s="33">
        <f t="shared" si="216"/>
        <v>34.307143570982412</v>
      </c>
      <c r="L843" s="8">
        <v>1</v>
      </c>
      <c r="M843" s="9">
        <v>0</v>
      </c>
      <c r="N843" s="8">
        <v>0</v>
      </c>
      <c r="O843" s="9">
        <v>1</v>
      </c>
      <c r="P843" s="9">
        <v>0</v>
      </c>
      <c r="Q843" s="9">
        <v>0</v>
      </c>
      <c r="R843" s="9">
        <v>0</v>
      </c>
      <c r="S843" s="8">
        <v>1182</v>
      </c>
      <c r="T843" s="9">
        <v>5</v>
      </c>
      <c r="U843" s="9">
        <f t="shared" si="210"/>
        <v>1176</v>
      </c>
      <c r="V843" s="9">
        <f t="shared" si="211"/>
        <v>8</v>
      </c>
      <c r="W843" s="7">
        <v>8.2799999999999994</v>
      </c>
      <c r="X843" s="7">
        <f t="shared" si="213"/>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v>0</v>
      </c>
      <c r="BF843" s="18">
        <v>0</v>
      </c>
      <c r="BG843">
        <v>0</v>
      </c>
      <c r="BH843">
        <v>1</v>
      </c>
      <c r="BI843" s="18">
        <v>0</v>
      </c>
      <c r="BJ843">
        <v>615</v>
      </c>
      <c r="BK843">
        <v>47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3912</v>
      </c>
      <c r="D844" s="12">
        <v>1.5</v>
      </c>
      <c r="E844" s="14">
        <f t="shared" si="212"/>
        <v>0.81521739130434778</v>
      </c>
      <c r="F844" s="7">
        <v>1.84</v>
      </c>
      <c r="G844" s="7">
        <f t="shared" si="208"/>
        <v>0.68478260869565222</v>
      </c>
      <c r="H844" s="16">
        <f t="shared" si="209"/>
        <v>2.3152173913043477</v>
      </c>
      <c r="I844" s="11">
        <f t="shared" si="214"/>
        <v>5.3578421263895587E-2</v>
      </c>
      <c r="J844" s="33">
        <f t="shared" si="215"/>
        <v>2.9118707208638905E-2</v>
      </c>
      <c r="K844" s="33">
        <f t="shared" si="216"/>
        <v>34.342183972484918</v>
      </c>
      <c r="L844" s="8">
        <v>1</v>
      </c>
      <c r="M844" s="9">
        <v>0</v>
      </c>
      <c r="N844" s="8">
        <v>0</v>
      </c>
      <c r="O844" s="9">
        <v>1</v>
      </c>
      <c r="P844" s="9">
        <v>0</v>
      </c>
      <c r="Q844" s="9">
        <v>0</v>
      </c>
      <c r="R844" s="9">
        <v>0</v>
      </c>
      <c r="S844" s="8">
        <v>1182</v>
      </c>
      <c r="T844" s="9">
        <v>5</v>
      </c>
      <c r="U844" s="9">
        <f t="shared" si="210"/>
        <v>1176</v>
      </c>
      <c r="V844" s="9">
        <f t="shared" si="211"/>
        <v>8</v>
      </c>
      <c r="W844" s="7">
        <v>8.2799999999999994</v>
      </c>
      <c r="X844" s="7">
        <f t="shared" si="213"/>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v>0</v>
      </c>
      <c r="BF844" s="18">
        <v>0</v>
      </c>
      <c r="BG844">
        <v>0</v>
      </c>
      <c r="BH844">
        <v>1</v>
      </c>
      <c r="BI844" s="18">
        <v>0</v>
      </c>
      <c r="BJ844">
        <v>615</v>
      </c>
      <c r="BK844">
        <v>47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3921</v>
      </c>
      <c r="D845" s="12">
        <v>7.2</v>
      </c>
      <c r="E845" s="14">
        <v>0.6</v>
      </c>
      <c r="F845" s="7">
        <f t="shared" ref="F845:F908" si="217">D845/E845</f>
        <v>12</v>
      </c>
      <c r="G845" s="7">
        <f t="shared" si="208"/>
        <v>6.6000000000000005</v>
      </c>
      <c r="H845" s="16">
        <f t="shared" si="209"/>
        <v>7.8</v>
      </c>
      <c r="I845" s="11">
        <f t="shared" si="214"/>
        <v>0.20433118274318615</v>
      </c>
      <c r="J845" s="33">
        <f t="shared" si="215"/>
        <v>1.7027598561932179E-2</v>
      </c>
      <c r="K845" s="33">
        <f t="shared" si="216"/>
        <v>58.728187440104094</v>
      </c>
      <c r="L845" s="8">
        <v>1</v>
      </c>
      <c r="M845" s="9">
        <v>0</v>
      </c>
      <c r="N845" s="8">
        <v>1</v>
      </c>
      <c r="O845" s="9">
        <v>0</v>
      </c>
      <c r="P845" s="9">
        <v>0</v>
      </c>
      <c r="Q845" s="9">
        <v>0</v>
      </c>
      <c r="R845" s="9">
        <v>0</v>
      </c>
      <c r="S845" s="8">
        <v>3316</v>
      </c>
      <c r="T845" s="9">
        <v>10</v>
      </c>
      <c r="U845" s="9">
        <f t="shared" si="210"/>
        <v>3305</v>
      </c>
      <c r="V845" s="9">
        <f t="shared" si="211"/>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v>0</v>
      </c>
      <c r="BF845" s="18">
        <v>0</v>
      </c>
      <c r="BG845">
        <v>0</v>
      </c>
      <c r="BH845">
        <v>1</v>
      </c>
      <c r="BI845" s="18">
        <v>0</v>
      </c>
      <c r="BJ845">
        <v>1732</v>
      </c>
      <c r="BK845">
        <v>201</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3921</v>
      </c>
      <c r="D846" s="12">
        <v>9.1</v>
      </c>
      <c r="E846" s="14">
        <v>2.2999999999999998</v>
      </c>
      <c r="F846" s="7">
        <f t="shared" si="217"/>
        <v>3.956521739130435</v>
      </c>
      <c r="G846" s="7">
        <f t="shared" si="208"/>
        <v>6.8</v>
      </c>
      <c r="H846" s="16">
        <f t="shared" si="209"/>
        <v>11.399999999999999</v>
      </c>
      <c r="I846" s="11">
        <f t="shared" si="214"/>
        <v>6.8659674321075184E-2</v>
      </c>
      <c r="J846" s="33">
        <f t="shared" si="215"/>
        <v>1.7353544059172846E-2</v>
      </c>
      <c r="K846" s="33">
        <f t="shared" si="216"/>
        <v>57.625116609619212</v>
      </c>
      <c r="L846" s="8">
        <v>1</v>
      </c>
      <c r="M846" s="9">
        <v>0</v>
      </c>
      <c r="N846" s="8">
        <v>1</v>
      </c>
      <c r="O846" s="9">
        <v>0</v>
      </c>
      <c r="P846" s="9">
        <v>0</v>
      </c>
      <c r="Q846" s="9">
        <v>0</v>
      </c>
      <c r="R846" s="9">
        <v>0</v>
      </c>
      <c r="S846" s="8">
        <v>3316</v>
      </c>
      <c r="T846" s="9">
        <v>10</v>
      </c>
      <c r="U846" s="9">
        <f t="shared" si="210"/>
        <v>3305</v>
      </c>
      <c r="V846" s="9">
        <f t="shared" si="211"/>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v>0</v>
      </c>
      <c r="BF846" s="18">
        <v>0</v>
      </c>
      <c r="BG846">
        <v>0</v>
      </c>
      <c r="BH846">
        <v>1</v>
      </c>
      <c r="BI846" s="18">
        <v>0</v>
      </c>
      <c r="BJ846">
        <v>1732</v>
      </c>
      <c r="BK846">
        <v>201</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3921</v>
      </c>
      <c r="D847" s="12">
        <v>5.7</v>
      </c>
      <c r="E847" s="14">
        <v>0.6</v>
      </c>
      <c r="F847" s="7">
        <f t="shared" si="217"/>
        <v>9.5</v>
      </c>
      <c r="G847" s="7">
        <f t="shared" si="208"/>
        <v>5.1000000000000005</v>
      </c>
      <c r="H847" s="16">
        <f t="shared" si="209"/>
        <v>6.3</v>
      </c>
      <c r="I847" s="11">
        <f t="shared" si="214"/>
        <v>0.1889355130790461</v>
      </c>
      <c r="J847" s="33">
        <f t="shared" si="215"/>
        <v>1.9887948745162747E-2</v>
      </c>
      <c r="K847" s="33">
        <f t="shared" si="216"/>
        <v>50.281706414957718</v>
      </c>
      <c r="L847" s="8">
        <v>1</v>
      </c>
      <c r="M847" s="9">
        <v>0</v>
      </c>
      <c r="N847" s="8">
        <v>1</v>
      </c>
      <c r="O847" s="9">
        <v>0</v>
      </c>
      <c r="P847" s="9">
        <v>0</v>
      </c>
      <c r="Q847" s="9">
        <v>0</v>
      </c>
      <c r="R847" s="9">
        <v>0</v>
      </c>
      <c r="S847" s="8">
        <v>2451</v>
      </c>
      <c r="T847" s="9">
        <v>12</v>
      </c>
      <c r="U847" s="9">
        <f t="shared" si="210"/>
        <v>2438</v>
      </c>
      <c r="V847" s="9">
        <f t="shared" si="211"/>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v>0</v>
      </c>
      <c r="BF847" s="18">
        <v>0</v>
      </c>
      <c r="BG847">
        <v>0</v>
      </c>
      <c r="BH847">
        <v>1</v>
      </c>
      <c r="BI847" s="18">
        <v>0</v>
      </c>
      <c r="BJ847">
        <v>1732</v>
      </c>
      <c r="BK847">
        <v>201</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3921</v>
      </c>
      <c r="D848" s="12">
        <v>5.4</v>
      </c>
      <c r="E848" s="14">
        <v>0.6</v>
      </c>
      <c r="F848" s="7">
        <f t="shared" si="217"/>
        <v>9.0000000000000018</v>
      </c>
      <c r="G848" s="7">
        <f t="shared" si="208"/>
        <v>4.8000000000000007</v>
      </c>
      <c r="H848" s="16">
        <f t="shared" si="209"/>
        <v>6</v>
      </c>
      <c r="I848" s="11">
        <f t="shared" si="214"/>
        <v>0.15942318366671104</v>
      </c>
      <c r="J848" s="33">
        <f t="shared" si="215"/>
        <v>1.7713687074079002E-2</v>
      </c>
      <c r="K848" s="33">
        <f t="shared" si="216"/>
        <v>56.453520705089772</v>
      </c>
      <c r="L848" s="8">
        <v>1</v>
      </c>
      <c r="M848" s="9">
        <v>0</v>
      </c>
      <c r="N848" s="8">
        <v>1</v>
      </c>
      <c r="O848" s="9">
        <v>0</v>
      </c>
      <c r="P848" s="9">
        <v>0</v>
      </c>
      <c r="Q848" s="9">
        <v>0</v>
      </c>
      <c r="R848" s="9">
        <v>0</v>
      </c>
      <c r="S848" s="8">
        <v>3119</v>
      </c>
      <c r="T848" s="9">
        <v>12</v>
      </c>
      <c r="U848" s="9">
        <f t="shared" si="210"/>
        <v>3106</v>
      </c>
      <c r="V848" s="9">
        <f t="shared" si="211"/>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v>0</v>
      </c>
      <c r="BF848" s="18">
        <v>0</v>
      </c>
      <c r="BG848">
        <v>0</v>
      </c>
      <c r="BH848">
        <v>1</v>
      </c>
      <c r="BI848" s="18">
        <v>0</v>
      </c>
      <c r="BJ848">
        <v>1732</v>
      </c>
      <c r="BK848">
        <v>201</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3921</v>
      </c>
      <c r="D849" s="12">
        <v>5</v>
      </c>
      <c r="E849" s="14">
        <v>1.5</v>
      </c>
      <c r="F849" s="7">
        <f t="shared" si="217"/>
        <v>3.3333333333333335</v>
      </c>
      <c r="G849" s="7">
        <f t="shared" si="208"/>
        <v>3.5</v>
      </c>
      <c r="H849" s="16">
        <f t="shared" si="209"/>
        <v>6.5</v>
      </c>
      <c r="I849" s="11">
        <f t="shared" si="214"/>
        <v>6.7341975958526951E-2</v>
      </c>
      <c r="J849" s="33">
        <f t="shared" si="215"/>
        <v>2.0202592787558083E-2</v>
      </c>
      <c r="K849" s="33">
        <f t="shared" si="216"/>
        <v>49.498597062049257</v>
      </c>
      <c r="L849" s="8">
        <v>1</v>
      </c>
      <c r="M849" s="9">
        <v>0</v>
      </c>
      <c r="N849" s="8">
        <v>1</v>
      </c>
      <c r="O849" s="9">
        <v>0</v>
      </c>
      <c r="P849" s="9">
        <v>0</v>
      </c>
      <c r="Q849" s="9">
        <v>0</v>
      </c>
      <c r="R849" s="9">
        <v>0</v>
      </c>
      <c r="S849" s="8">
        <v>2451</v>
      </c>
      <c r="T849" s="9">
        <v>11</v>
      </c>
      <c r="U849" s="9">
        <f t="shared" si="210"/>
        <v>2439</v>
      </c>
      <c r="V849" s="9">
        <f t="shared" si="211"/>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v>0</v>
      </c>
      <c r="BF849" s="18">
        <v>0</v>
      </c>
      <c r="BG849">
        <v>0</v>
      </c>
      <c r="BH849">
        <v>1</v>
      </c>
      <c r="BI849" s="18">
        <v>0</v>
      </c>
      <c r="BJ849">
        <v>1732</v>
      </c>
      <c r="BK849">
        <v>201</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3921</v>
      </c>
      <c r="D850" s="12">
        <v>6.3</v>
      </c>
      <c r="E850" s="14">
        <v>1.3</v>
      </c>
      <c r="F850" s="7">
        <f t="shared" si="217"/>
        <v>4.8461538461538458</v>
      </c>
      <c r="G850" s="7">
        <f t="shared" si="208"/>
        <v>5</v>
      </c>
      <c r="H850" s="16">
        <f t="shared" si="209"/>
        <v>7.6</v>
      </c>
      <c r="I850" s="11">
        <f t="shared" si="214"/>
        <v>9.7678410112133671E-2</v>
      </c>
      <c r="J850" s="33">
        <f t="shared" si="215"/>
        <v>2.0155862404091077E-2</v>
      </c>
      <c r="K850" s="33">
        <f t="shared" si="216"/>
        <v>49.613357144025152</v>
      </c>
      <c r="L850" s="8">
        <v>1</v>
      </c>
      <c r="M850" s="9">
        <v>0</v>
      </c>
      <c r="N850" s="8">
        <v>1</v>
      </c>
      <c r="O850" s="9">
        <v>0</v>
      </c>
      <c r="P850" s="9">
        <v>0</v>
      </c>
      <c r="Q850" s="9">
        <v>0</v>
      </c>
      <c r="R850" s="9">
        <v>0</v>
      </c>
      <c r="S850" s="8">
        <v>2451</v>
      </c>
      <c r="T850" s="9">
        <v>12</v>
      </c>
      <c r="U850" s="9">
        <f t="shared" si="210"/>
        <v>2438</v>
      </c>
      <c r="V850" s="9">
        <f t="shared" si="211"/>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v>0</v>
      </c>
      <c r="BF850" s="18">
        <v>0</v>
      </c>
      <c r="BG850">
        <v>0</v>
      </c>
      <c r="BH850">
        <v>1</v>
      </c>
      <c r="BI850" s="18">
        <v>0</v>
      </c>
      <c r="BJ850">
        <v>1732</v>
      </c>
      <c r="BK850">
        <v>201</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3921</v>
      </c>
      <c r="D851" s="12">
        <v>4.5</v>
      </c>
      <c r="E851" s="14">
        <v>0.9</v>
      </c>
      <c r="F851" s="7">
        <f t="shared" si="217"/>
        <v>5</v>
      </c>
      <c r="G851" s="7">
        <f t="shared" si="208"/>
        <v>3.6</v>
      </c>
      <c r="H851" s="16">
        <f t="shared" si="209"/>
        <v>5.4</v>
      </c>
      <c r="I851" s="11">
        <f t="shared" si="214"/>
        <v>0.13277976293203617</v>
      </c>
      <c r="J851" s="33">
        <f t="shared" si="215"/>
        <v>2.6555952586407236E-2</v>
      </c>
      <c r="K851" s="33">
        <f t="shared" si="216"/>
        <v>37.656340767525464</v>
      </c>
      <c r="L851" s="8">
        <v>1</v>
      </c>
      <c r="M851" s="9">
        <v>0</v>
      </c>
      <c r="N851" s="8">
        <v>1</v>
      </c>
      <c r="O851" s="9">
        <v>0</v>
      </c>
      <c r="P851" s="9">
        <v>0</v>
      </c>
      <c r="Q851" s="9">
        <v>0</v>
      </c>
      <c r="R851" s="9">
        <v>0</v>
      </c>
      <c r="S851" s="8">
        <v>1405</v>
      </c>
      <c r="T851" s="9">
        <v>11</v>
      </c>
      <c r="U851" s="9">
        <f t="shared" si="210"/>
        <v>1393</v>
      </c>
      <c r="V851" s="9">
        <f t="shared" si="211"/>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v>0</v>
      </c>
      <c r="BF851" s="18">
        <v>0</v>
      </c>
      <c r="BG851">
        <v>0</v>
      </c>
      <c r="BH851">
        <v>1</v>
      </c>
      <c r="BI851" s="18">
        <v>0</v>
      </c>
      <c r="BJ851">
        <v>1732</v>
      </c>
      <c r="BK851">
        <v>201</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3921</v>
      </c>
      <c r="D852" s="12">
        <v>8</v>
      </c>
      <c r="E852" s="14">
        <v>3.4</v>
      </c>
      <c r="F852" s="7">
        <f t="shared" si="217"/>
        <v>2.3529411764705883</v>
      </c>
      <c r="G852" s="7">
        <f t="shared" si="208"/>
        <v>4.5999999999999996</v>
      </c>
      <c r="H852" s="16">
        <f t="shared" si="209"/>
        <v>11.4</v>
      </c>
      <c r="I852" s="11">
        <f t="shared" si="214"/>
        <v>6.2895414166532826E-2</v>
      </c>
      <c r="J852" s="33">
        <f t="shared" si="215"/>
        <v>2.6730551020776452E-2</v>
      </c>
      <c r="K852" s="33">
        <f t="shared" si="216"/>
        <v>37.410377332765982</v>
      </c>
      <c r="L852" s="8">
        <v>1</v>
      </c>
      <c r="M852" s="9">
        <v>0</v>
      </c>
      <c r="N852" s="8">
        <v>1</v>
      </c>
      <c r="O852" s="9">
        <v>0</v>
      </c>
      <c r="P852" s="9">
        <v>0</v>
      </c>
      <c r="Q852" s="9">
        <v>0</v>
      </c>
      <c r="R852" s="9">
        <v>0</v>
      </c>
      <c r="S852" s="8">
        <v>1405</v>
      </c>
      <c r="T852" s="9">
        <v>10</v>
      </c>
      <c r="U852" s="9">
        <f t="shared" si="210"/>
        <v>1394</v>
      </c>
      <c r="V852" s="9">
        <f t="shared" si="211"/>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v>0</v>
      </c>
      <c r="BF852" s="18">
        <v>0</v>
      </c>
      <c r="BG852">
        <v>0</v>
      </c>
      <c r="BH852">
        <v>1</v>
      </c>
      <c r="BI852" s="18">
        <v>0</v>
      </c>
      <c r="BJ852">
        <v>1732</v>
      </c>
      <c r="BK852">
        <v>201</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3921</v>
      </c>
      <c r="D853" s="12">
        <v>8</v>
      </c>
      <c r="E853" s="14">
        <v>3.5</v>
      </c>
      <c r="F853" s="7">
        <f t="shared" si="217"/>
        <v>2.2857142857142856</v>
      </c>
      <c r="G853" s="7">
        <f t="shared" si="208"/>
        <v>4.5</v>
      </c>
      <c r="H853" s="16">
        <f t="shared" si="209"/>
        <v>11.5</v>
      </c>
      <c r="I853" s="11">
        <f t="shared" si="214"/>
        <v>6.1105210393711161E-2</v>
      </c>
      <c r="J853" s="33">
        <f t="shared" si="215"/>
        <v>2.6733529547248634E-2</v>
      </c>
      <c r="K853" s="33">
        <f t="shared" si="216"/>
        <v>37.406209241193075</v>
      </c>
      <c r="L853" s="8">
        <v>1</v>
      </c>
      <c r="M853" s="9">
        <v>0</v>
      </c>
      <c r="N853" s="8">
        <v>1</v>
      </c>
      <c r="O853" s="9">
        <v>0</v>
      </c>
      <c r="P853" s="9">
        <v>0</v>
      </c>
      <c r="Q853" s="9">
        <v>0</v>
      </c>
      <c r="R853" s="9">
        <v>0</v>
      </c>
      <c r="S853" s="8">
        <v>1405</v>
      </c>
      <c r="T853" s="9">
        <v>10</v>
      </c>
      <c r="U853" s="9">
        <f t="shared" si="210"/>
        <v>1394</v>
      </c>
      <c r="V853" s="9">
        <f t="shared" si="211"/>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v>0</v>
      </c>
      <c r="BF853" s="18">
        <v>0</v>
      </c>
      <c r="BG853">
        <v>0</v>
      </c>
      <c r="BH853">
        <v>1</v>
      </c>
      <c r="BI853" s="18">
        <v>0</v>
      </c>
      <c r="BJ853">
        <v>1732</v>
      </c>
      <c r="BK853">
        <v>201</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3921</v>
      </c>
      <c r="D854" s="12">
        <v>8.4</v>
      </c>
      <c r="E854" s="14">
        <v>3.8</v>
      </c>
      <c r="F854" s="7">
        <f t="shared" si="217"/>
        <v>2.2105263157894739</v>
      </c>
      <c r="G854" s="7">
        <f t="shared" si="208"/>
        <v>4.6000000000000005</v>
      </c>
      <c r="H854" s="16">
        <f t="shared" si="209"/>
        <v>12.2</v>
      </c>
      <c r="I854" s="11">
        <f t="shared" si="214"/>
        <v>5.9102310791739193E-2</v>
      </c>
      <c r="J854" s="33">
        <f t="shared" si="215"/>
        <v>2.6736759643882013E-2</v>
      </c>
      <c r="K854" s="33">
        <f t="shared" si="216"/>
        <v>37.401690156900635</v>
      </c>
      <c r="L854" s="8">
        <v>1</v>
      </c>
      <c r="M854" s="9">
        <v>0</v>
      </c>
      <c r="N854" s="8">
        <v>1</v>
      </c>
      <c r="O854" s="9">
        <v>0</v>
      </c>
      <c r="P854" s="9">
        <v>0</v>
      </c>
      <c r="Q854" s="9">
        <v>0</v>
      </c>
      <c r="R854" s="9">
        <v>0</v>
      </c>
      <c r="S854" s="8">
        <v>1405</v>
      </c>
      <c r="T854" s="9">
        <v>10</v>
      </c>
      <c r="U854" s="9">
        <f t="shared" si="210"/>
        <v>1394</v>
      </c>
      <c r="V854" s="9">
        <f t="shared" si="211"/>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v>0</v>
      </c>
      <c r="BF854" s="18">
        <v>0</v>
      </c>
      <c r="BG854">
        <v>0</v>
      </c>
      <c r="BH854">
        <v>1</v>
      </c>
      <c r="BI854" s="18">
        <v>0</v>
      </c>
      <c r="BJ854">
        <v>1732</v>
      </c>
      <c r="BK854">
        <v>201</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3921</v>
      </c>
      <c r="D855" s="12">
        <v>3.6</v>
      </c>
      <c r="E855" s="14">
        <v>0.8</v>
      </c>
      <c r="F855" s="7">
        <f t="shared" si="217"/>
        <v>4.5</v>
      </c>
      <c r="G855" s="7">
        <f t="shared" si="208"/>
        <v>2.8</v>
      </c>
      <c r="H855" s="16">
        <f t="shared" si="209"/>
        <v>4.4000000000000004</v>
      </c>
      <c r="I855" s="11">
        <f t="shared" si="214"/>
        <v>0.14575018235653436</v>
      </c>
      <c r="J855" s="33">
        <f t="shared" si="215"/>
        <v>3.2388929412563189E-2</v>
      </c>
      <c r="K855" s="33">
        <f t="shared" si="216"/>
        <v>30.874746962525865</v>
      </c>
      <c r="L855" s="8">
        <v>1</v>
      </c>
      <c r="M855" s="9">
        <v>0</v>
      </c>
      <c r="N855" s="8">
        <v>1</v>
      </c>
      <c r="O855" s="9">
        <v>0</v>
      </c>
      <c r="P855" s="9">
        <v>0</v>
      </c>
      <c r="Q855" s="9">
        <v>0</v>
      </c>
      <c r="R855" s="9">
        <v>0</v>
      </c>
      <c r="S855" s="8">
        <v>945</v>
      </c>
      <c r="T855" s="9">
        <v>11</v>
      </c>
      <c r="U855" s="9">
        <f t="shared" si="210"/>
        <v>933</v>
      </c>
      <c r="V855" s="9">
        <f t="shared" si="211"/>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v>0</v>
      </c>
      <c r="BF855" s="18">
        <v>0</v>
      </c>
      <c r="BG855">
        <v>0</v>
      </c>
      <c r="BH855">
        <v>1</v>
      </c>
      <c r="BI855" s="18">
        <v>0</v>
      </c>
      <c r="BJ855">
        <v>1732</v>
      </c>
      <c r="BK855">
        <v>201</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3921</v>
      </c>
      <c r="D856" s="12">
        <v>3.3</v>
      </c>
      <c r="E856" s="14">
        <v>0.9</v>
      </c>
      <c r="F856" s="7">
        <f t="shared" si="217"/>
        <v>3.6666666666666665</v>
      </c>
      <c r="G856" s="7">
        <f t="shared" si="208"/>
        <v>2.4</v>
      </c>
      <c r="H856" s="16">
        <f t="shared" si="209"/>
        <v>4.2</v>
      </c>
      <c r="I856" s="11">
        <f t="shared" si="214"/>
        <v>0.11323970232334872</v>
      </c>
      <c r="J856" s="33">
        <f t="shared" si="215"/>
        <v>3.0883555179095103E-2</v>
      </c>
      <c r="K856" s="33">
        <f t="shared" si="216"/>
        <v>32.379691852215707</v>
      </c>
      <c r="L856" s="8">
        <v>1</v>
      </c>
      <c r="M856" s="9">
        <v>0</v>
      </c>
      <c r="N856" s="8">
        <v>1</v>
      </c>
      <c r="O856" s="9">
        <v>0</v>
      </c>
      <c r="P856" s="9">
        <v>0</v>
      </c>
      <c r="Q856" s="9">
        <v>0</v>
      </c>
      <c r="R856" s="9">
        <v>0</v>
      </c>
      <c r="S856" s="8">
        <v>1047</v>
      </c>
      <c r="T856" s="9">
        <v>11</v>
      </c>
      <c r="U856" s="9">
        <f t="shared" si="210"/>
        <v>1035</v>
      </c>
      <c r="V856" s="9">
        <f t="shared" si="211"/>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v>0</v>
      </c>
      <c r="BF856" s="18">
        <v>0</v>
      </c>
      <c r="BG856">
        <v>0</v>
      </c>
      <c r="BH856">
        <v>1</v>
      </c>
      <c r="BI856" s="18">
        <v>0</v>
      </c>
      <c r="BJ856">
        <v>1732</v>
      </c>
      <c r="BK856">
        <v>201</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3921</v>
      </c>
      <c r="D857" s="12">
        <v>7.4</v>
      </c>
      <c r="E857" s="14">
        <v>3.2</v>
      </c>
      <c r="F857" s="7">
        <f t="shared" si="217"/>
        <v>2.3125</v>
      </c>
      <c r="G857" s="7">
        <f t="shared" si="208"/>
        <v>4.2</v>
      </c>
      <c r="H857" s="16">
        <f t="shared" si="209"/>
        <v>10.600000000000001</v>
      </c>
      <c r="I857" s="11">
        <f t="shared" si="214"/>
        <v>7.5451619050317345E-2</v>
      </c>
      <c r="J857" s="33">
        <f t="shared" si="215"/>
        <v>3.2627727156893979E-2</v>
      </c>
      <c r="K857" s="33">
        <f t="shared" si="216"/>
        <v>30.648779033592842</v>
      </c>
      <c r="L857" s="8">
        <v>1</v>
      </c>
      <c r="M857" s="9">
        <v>0</v>
      </c>
      <c r="N857" s="8">
        <v>1</v>
      </c>
      <c r="O857" s="9">
        <v>0</v>
      </c>
      <c r="P857" s="9">
        <v>0</v>
      </c>
      <c r="Q857" s="9">
        <v>0</v>
      </c>
      <c r="R857" s="9">
        <v>0</v>
      </c>
      <c r="S857" s="8">
        <v>945</v>
      </c>
      <c r="T857" s="9">
        <v>10</v>
      </c>
      <c r="U857" s="9">
        <f t="shared" si="210"/>
        <v>934</v>
      </c>
      <c r="V857" s="9">
        <f t="shared" si="211"/>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v>0</v>
      </c>
      <c r="BF857" s="18">
        <v>0</v>
      </c>
      <c r="BG857">
        <v>0</v>
      </c>
      <c r="BH857">
        <v>1</v>
      </c>
      <c r="BI857" s="18">
        <v>0</v>
      </c>
      <c r="BJ857">
        <v>1732</v>
      </c>
      <c r="BK857">
        <v>201</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3921</v>
      </c>
      <c r="D858" s="12">
        <v>7.2</v>
      </c>
      <c r="E858" s="14">
        <v>4</v>
      </c>
      <c r="F858" s="7">
        <f t="shared" si="217"/>
        <v>1.8</v>
      </c>
      <c r="G858" s="7">
        <f t="shared" si="208"/>
        <v>3.2</v>
      </c>
      <c r="H858" s="16">
        <f t="shared" si="209"/>
        <v>11.2</v>
      </c>
      <c r="I858" s="11">
        <f t="shared" si="214"/>
        <v>5.8764565986251648E-2</v>
      </c>
      <c r="J858" s="33">
        <f t="shared" si="215"/>
        <v>3.2646981103473138E-2</v>
      </c>
      <c r="K858" s="33">
        <f t="shared" si="216"/>
        <v>30.630703550522632</v>
      </c>
      <c r="L858" s="8">
        <v>1</v>
      </c>
      <c r="M858" s="9">
        <v>0</v>
      </c>
      <c r="N858" s="8">
        <v>1</v>
      </c>
      <c r="O858" s="9">
        <v>0</v>
      </c>
      <c r="P858" s="9">
        <v>0</v>
      </c>
      <c r="Q858" s="9">
        <v>0</v>
      </c>
      <c r="R858" s="9">
        <v>0</v>
      </c>
      <c r="S858" s="8">
        <v>945</v>
      </c>
      <c r="T858" s="9">
        <v>9</v>
      </c>
      <c r="U858" s="9">
        <f t="shared" si="210"/>
        <v>935</v>
      </c>
      <c r="V858" s="9">
        <f t="shared" si="211"/>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v>0</v>
      </c>
      <c r="BF858" s="18">
        <v>0</v>
      </c>
      <c r="BG858">
        <v>0</v>
      </c>
      <c r="BH858">
        <v>1</v>
      </c>
      <c r="BI858" s="18">
        <v>0</v>
      </c>
      <c r="BJ858">
        <v>1732</v>
      </c>
      <c r="BK858">
        <v>201</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3929</v>
      </c>
      <c r="D859" s="12">
        <v>10.4</v>
      </c>
      <c r="E859" s="14">
        <v>1.1000000000000001</v>
      </c>
      <c r="F859" s="7">
        <f t="shared" si="217"/>
        <v>9.4545454545454533</v>
      </c>
      <c r="G859" s="7">
        <f t="shared" si="208"/>
        <v>9.3000000000000007</v>
      </c>
      <c r="H859" s="16">
        <f t="shared" si="209"/>
        <v>11.5</v>
      </c>
      <c r="I859" s="11">
        <f t="shared" si="214"/>
        <v>0.29410936723884318</v>
      </c>
      <c r="J859" s="33">
        <f t="shared" si="215"/>
        <v>3.110772153487765E-2</v>
      </c>
      <c r="K859" s="33">
        <f t="shared" si="216"/>
        <v>32.146359510091749</v>
      </c>
      <c r="L859" s="8">
        <v>0</v>
      </c>
      <c r="M859" s="9">
        <v>1</v>
      </c>
      <c r="N859" s="8">
        <v>0</v>
      </c>
      <c r="O859" s="9">
        <v>0</v>
      </c>
      <c r="P859" s="9">
        <v>0</v>
      </c>
      <c r="Q859" s="9">
        <v>1</v>
      </c>
      <c r="R859" s="9">
        <v>0</v>
      </c>
      <c r="S859" s="8">
        <v>948</v>
      </c>
      <c r="T859" s="9">
        <v>3</v>
      </c>
      <c r="U859" s="9">
        <f t="shared" si="210"/>
        <v>944</v>
      </c>
      <c r="V859" s="9">
        <f t="shared" si="211"/>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v>0</v>
      </c>
      <c r="BF859" s="18">
        <v>1</v>
      </c>
      <c r="BG859">
        <v>0</v>
      </c>
      <c r="BH859">
        <v>0</v>
      </c>
      <c r="BI859" s="18">
        <v>1</v>
      </c>
      <c r="BJ859" t="s">
        <v>98</v>
      </c>
      <c r="BK859">
        <v>27</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3929</v>
      </c>
      <c r="D860" s="12">
        <v>7.4</v>
      </c>
      <c r="E860" s="14">
        <v>1.4</v>
      </c>
      <c r="F860" s="7">
        <f t="shared" si="217"/>
        <v>5.2857142857142865</v>
      </c>
      <c r="G860" s="7">
        <f t="shared" si="208"/>
        <v>6</v>
      </c>
      <c r="H860" s="16">
        <f t="shared" si="209"/>
        <v>8.8000000000000007</v>
      </c>
      <c r="I860" s="11">
        <f t="shared" si="214"/>
        <v>0.16963199170970289</v>
      </c>
      <c r="J860" s="33">
        <f t="shared" si="215"/>
        <v>3.2092538972105948E-2</v>
      </c>
      <c r="K860" s="33">
        <f t="shared" si="216"/>
        <v>31.159890492590055</v>
      </c>
      <c r="L860" s="8">
        <v>0</v>
      </c>
      <c r="M860" s="9">
        <v>1</v>
      </c>
      <c r="N860" s="8">
        <v>0</v>
      </c>
      <c r="O860" s="9">
        <v>0</v>
      </c>
      <c r="P860" s="9">
        <v>0</v>
      </c>
      <c r="Q860" s="9">
        <v>1</v>
      </c>
      <c r="R860" s="9">
        <v>0</v>
      </c>
      <c r="S860" s="8">
        <v>948</v>
      </c>
      <c r="T860" s="9">
        <v>4</v>
      </c>
      <c r="U860" s="9">
        <f t="shared" si="210"/>
        <v>943</v>
      </c>
      <c r="V860" s="9">
        <f t="shared" si="211"/>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v>0</v>
      </c>
      <c r="BF860" s="18">
        <v>1</v>
      </c>
      <c r="BG860">
        <v>0</v>
      </c>
      <c r="BH860">
        <v>0</v>
      </c>
      <c r="BI860" s="18">
        <v>1</v>
      </c>
      <c r="BJ860" t="s">
        <v>98</v>
      </c>
      <c r="BK860">
        <v>27</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3929</v>
      </c>
      <c r="D861" s="12">
        <v>8.1</v>
      </c>
      <c r="E861" s="14">
        <v>1.1000000000000001</v>
      </c>
      <c r="F861" s="7">
        <f t="shared" si="217"/>
        <v>7.3636363636363624</v>
      </c>
      <c r="G861" s="7">
        <f t="shared" si="208"/>
        <v>7</v>
      </c>
      <c r="H861" s="16">
        <f t="shared" si="209"/>
        <v>9.1999999999999993</v>
      </c>
      <c r="I861" s="11">
        <f t="shared" si="214"/>
        <v>0.23318261044731342</v>
      </c>
      <c r="J861" s="33">
        <f t="shared" si="215"/>
        <v>3.1666774258277137E-2</v>
      </c>
      <c r="K861" s="33">
        <f t="shared" si="216"/>
        <v>31.578840075212828</v>
      </c>
      <c r="L861" s="8">
        <v>0</v>
      </c>
      <c r="M861" s="9">
        <v>1</v>
      </c>
      <c r="N861" s="8">
        <v>0</v>
      </c>
      <c r="O861" s="9">
        <v>0</v>
      </c>
      <c r="P861" s="9">
        <v>0</v>
      </c>
      <c r="Q861" s="9">
        <v>1</v>
      </c>
      <c r="R861" s="9">
        <v>0</v>
      </c>
      <c r="S861" s="8">
        <v>948</v>
      </c>
      <c r="T861" s="9">
        <v>4</v>
      </c>
      <c r="U861" s="9">
        <f t="shared" si="210"/>
        <v>943</v>
      </c>
      <c r="V861" s="9">
        <f t="shared" si="211"/>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v>0</v>
      </c>
      <c r="BF861" s="18">
        <v>1</v>
      </c>
      <c r="BG861">
        <v>0</v>
      </c>
      <c r="BH861">
        <v>0</v>
      </c>
      <c r="BI861" s="18">
        <v>1</v>
      </c>
      <c r="BJ861" t="s">
        <v>98</v>
      </c>
      <c r="BK861">
        <v>27</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3929</v>
      </c>
      <c r="D862" s="12">
        <v>7.2</v>
      </c>
      <c r="E862" s="14">
        <v>1.6</v>
      </c>
      <c r="F862" s="7">
        <f t="shared" si="217"/>
        <v>4.5</v>
      </c>
      <c r="G862" s="7">
        <f t="shared" si="208"/>
        <v>5.6</v>
      </c>
      <c r="H862" s="16">
        <f t="shared" si="209"/>
        <v>8.8000000000000007</v>
      </c>
      <c r="I862" s="11">
        <f t="shared" si="214"/>
        <v>0.14506697461492843</v>
      </c>
      <c r="J862" s="33">
        <f t="shared" si="215"/>
        <v>3.2237105469984102E-2</v>
      </c>
      <c r="K862" s="33">
        <f t="shared" si="216"/>
        <v>31.020154738492195</v>
      </c>
      <c r="L862" s="8">
        <v>0</v>
      </c>
      <c r="M862" s="9">
        <v>1</v>
      </c>
      <c r="N862" s="8">
        <v>0</v>
      </c>
      <c r="O862" s="9">
        <v>0</v>
      </c>
      <c r="P862" s="9">
        <v>0</v>
      </c>
      <c r="Q862" s="9">
        <v>1</v>
      </c>
      <c r="R862" s="9">
        <v>0</v>
      </c>
      <c r="S862" s="8">
        <v>948</v>
      </c>
      <c r="T862" s="9">
        <v>5</v>
      </c>
      <c r="U862" s="9">
        <f t="shared" si="210"/>
        <v>942</v>
      </c>
      <c r="V862" s="9">
        <f t="shared" si="211"/>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v>0</v>
      </c>
      <c r="BF862" s="18">
        <v>1</v>
      </c>
      <c r="BG862">
        <v>0</v>
      </c>
      <c r="BH862">
        <v>0</v>
      </c>
      <c r="BI862" s="18">
        <v>1</v>
      </c>
      <c r="BJ862" t="s">
        <v>98</v>
      </c>
      <c r="BK862">
        <v>27</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3929</v>
      </c>
      <c r="D863" s="12">
        <v>11.2</v>
      </c>
      <c r="E863" s="14">
        <v>1.6</v>
      </c>
      <c r="F863" s="7">
        <f t="shared" si="217"/>
        <v>6.9999999999999991</v>
      </c>
      <c r="G863" s="7">
        <f t="shared" si="208"/>
        <v>9.6</v>
      </c>
      <c r="H863" s="16">
        <f t="shared" si="209"/>
        <v>12.799999999999999</v>
      </c>
      <c r="I863" s="11">
        <f t="shared" si="214"/>
        <v>0.22225022225033333</v>
      </c>
      <c r="J863" s="33">
        <f t="shared" si="215"/>
        <v>3.1750031750047626E-2</v>
      </c>
      <c r="K863" s="33">
        <f t="shared" si="216"/>
        <v>31.496031496047245</v>
      </c>
      <c r="L863" s="8">
        <v>0</v>
      </c>
      <c r="M863" s="9">
        <v>1</v>
      </c>
      <c r="N863" s="8">
        <v>0</v>
      </c>
      <c r="O863" s="9">
        <v>0</v>
      </c>
      <c r="P863" s="9">
        <v>0</v>
      </c>
      <c r="Q863" s="9">
        <v>1</v>
      </c>
      <c r="R863" s="9">
        <v>0</v>
      </c>
      <c r="S863" s="8">
        <v>948</v>
      </c>
      <c r="T863" s="9">
        <v>4</v>
      </c>
      <c r="U863" s="9">
        <f t="shared" si="210"/>
        <v>943</v>
      </c>
      <c r="V863" s="9">
        <f t="shared" si="211"/>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v>0</v>
      </c>
      <c r="BF863" s="18">
        <v>1</v>
      </c>
      <c r="BG863">
        <v>0</v>
      </c>
      <c r="BH863">
        <v>0</v>
      </c>
      <c r="BI863" s="18">
        <v>1</v>
      </c>
      <c r="BJ863" t="s">
        <v>98</v>
      </c>
      <c r="BK863">
        <v>27</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3929</v>
      </c>
      <c r="D864" s="12">
        <v>8.1999999999999993</v>
      </c>
      <c r="E864" s="14">
        <v>2</v>
      </c>
      <c r="F864" s="7">
        <f t="shared" si="217"/>
        <v>4.0999999999999996</v>
      </c>
      <c r="G864" s="7">
        <f t="shared" si="208"/>
        <v>6.1999999999999993</v>
      </c>
      <c r="H864" s="16">
        <f t="shared" si="209"/>
        <v>10.199999999999999</v>
      </c>
      <c r="I864" s="11">
        <f t="shared" si="214"/>
        <v>0.13240902245181604</v>
      </c>
      <c r="J864" s="33">
        <f t="shared" si="215"/>
        <v>3.2294883524833187E-2</v>
      </c>
      <c r="K864" s="33">
        <f t="shared" si="216"/>
        <v>30.964657272445304</v>
      </c>
      <c r="L864" s="8">
        <v>0</v>
      </c>
      <c r="M864" s="9">
        <v>1</v>
      </c>
      <c r="N864" s="8">
        <v>0</v>
      </c>
      <c r="O864" s="9">
        <v>0</v>
      </c>
      <c r="P864" s="9">
        <v>0</v>
      </c>
      <c r="Q864" s="9">
        <v>1</v>
      </c>
      <c r="R864" s="9">
        <v>0</v>
      </c>
      <c r="S864" s="8">
        <v>948</v>
      </c>
      <c r="T864" s="9">
        <v>5</v>
      </c>
      <c r="U864" s="9">
        <f t="shared" si="210"/>
        <v>942</v>
      </c>
      <c r="V864" s="9">
        <f t="shared" si="211"/>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v>0</v>
      </c>
      <c r="BF864" s="18">
        <v>1</v>
      </c>
      <c r="BG864">
        <v>0</v>
      </c>
      <c r="BH864">
        <v>0</v>
      </c>
      <c r="BI864" s="18">
        <v>1</v>
      </c>
      <c r="BJ864" t="s">
        <v>98</v>
      </c>
      <c r="BK864">
        <v>27</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3929</v>
      </c>
      <c r="D865" s="12">
        <v>10</v>
      </c>
      <c r="E865" s="14">
        <v>1.5</v>
      </c>
      <c r="F865" s="7">
        <f t="shared" si="217"/>
        <v>6.666666666666667</v>
      </c>
      <c r="G865" s="7">
        <f t="shared" si="208"/>
        <v>8.5</v>
      </c>
      <c r="H865" s="16">
        <f t="shared" si="209"/>
        <v>11.5</v>
      </c>
      <c r="I865" s="11">
        <f t="shared" si="214"/>
        <v>0.21226208472298677</v>
      </c>
      <c r="J865" s="33">
        <f t="shared" si="215"/>
        <v>3.1839312708448017E-2</v>
      </c>
      <c r="K865" s="33">
        <f t="shared" si="216"/>
        <v>31.407713136177939</v>
      </c>
      <c r="L865" s="8">
        <v>0</v>
      </c>
      <c r="M865" s="9">
        <v>1</v>
      </c>
      <c r="N865" s="8">
        <v>0</v>
      </c>
      <c r="O865" s="9">
        <v>0</v>
      </c>
      <c r="P865" s="9">
        <v>0</v>
      </c>
      <c r="Q865" s="9">
        <v>1</v>
      </c>
      <c r="R865" s="9">
        <v>0</v>
      </c>
      <c r="S865" s="8">
        <v>948</v>
      </c>
      <c r="T865" s="9">
        <v>5</v>
      </c>
      <c r="U865" s="9">
        <f t="shared" si="210"/>
        <v>942</v>
      </c>
      <c r="V865" s="9">
        <f t="shared" si="211"/>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v>0</v>
      </c>
      <c r="BF865" s="18">
        <v>1</v>
      </c>
      <c r="BG865">
        <v>0</v>
      </c>
      <c r="BH865">
        <v>0</v>
      </c>
      <c r="BI865" s="18">
        <v>1</v>
      </c>
      <c r="BJ865" t="s">
        <v>98</v>
      </c>
      <c r="BK865">
        <v>27</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3929</v>
      </c>
      <c r="D866" s="12">
        <v>8</v>
      </c>
      <c r="E866" s="14">
        <v>2</v>
      </c>
      <c r="F866" s="7">
        <f t="shared" si="217"/>
        <v>4</v>
      </c>
      <c r="G866" s="7">
        <f t="shared" si="208"/>
        <v>6</v>
      </c>
      <c r="H866" s="16">
        <f t="shared" si="209"/>
        <v>10</v>
      </c>
      <c r="I866" s="11">
        <f t="shared" si="214"/>
        <v>0.1293016367670472</v>
      </c>
      <c r="J866" s="33">
        <f t="shared" si="215"/>
        <v>3.2325409191761793E-2</v>
      </c>
      <c r="K866" s="33">
        <f t="shared" si="216"/>
        <v>30.935416596516042</v>
      </c>
      <c r="L866" s="8">
        <v>0</v>
      </c>
      <c r="M866" s="9">
        <v>1</v>
      </c>
      <c r="N866" s="8">
        <v>0</v>
      </c>
      <c r="O866" s="9">
        <v>0</v>
      </c>
      <c r="P866" s="9">
        <v>0</v>
      </c>
      <c r="Q866" s="9">
        <v>1</v>
      </c>
      <c r="R866" s="9">
        <v>0</v>
      </c>
      <c r="S866" s="8">
        <v>948</v>
      </c>
      <c r="T866" s="9">
        <v>6</v>
      </c>
      <c r="U866" s="9">
        <f t="shared" si="210"/>
        <v>941</v>
      </c>
      <c r="V866" s="9">
        <f t="shared" si="211"/>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v>0</v>
      </c>
      <c r="BF866" s="18">
        <v>1</v>
      </c>
      <c r="BG866">
        <v>0</v>
      </c>
      <c r="BH866">
        <v>0</v>
      </c>
      <c r="BI866" s="18">
        <v>1</v>
      </c>
      <c r="BJ866" t="s">
        <v>98</v>
      </c>
      <c r="BK866">
        <v>27</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3929</v>
      </c>
      <c r="D867" s="12">
        <v>9.6999999999999993</v>
      </c>
      <c r="E867" s="14">
        <v>1</v>
      </c>
      <c r="F867" s="7">
        <f t="shared" si="217"/>
        <v>9.6999999999999993</v>
      </c>
      <c r="G867" s="7">
        <f t="shared" si="208"/>
        <v>8.6999999999999993</v>
      </c>
      <c r="H867" s="16">
        <f t="shared" si="209"/>
        <v>10.7</v>
      </c>
      <c r="I867" s="11">
        <f t="shared" si="214"/>
        <v>0.30120592524269102</v>
      </c>
      <c r="J867" s="33">
        <f t="shared" si="215"/>
        <v>3.1052157241514538E-2</v>
      </c>
      <c r="K867" s="33">
        <f t="shared" si="216"/>
        <v>32.203881753602317</v>
      </c>
      <c r="L867" s="8">
        <v>0</v>
      </c>
      <c r="M867" s="9">
        <v>1</v>
      </c>
      <c r="N867" s="8">
        <v>0</v>
      </c>
      <c r="O867" s="9">
        <v>0</v>
      </c>
      <c r="P867" s="9">
        <v>0</v>
      </c>
      <c r="Q867" s="9">
        <v>1</v>
      </c>
      <c r="R867" s="9">
        <v>0</v>
      </c>
      <c r="S867" s="8">
        <v>948</v>
      </c>
      <c r="T867" s="9">
        <v>4</v>
      </c>
      <c r="U867" s="9">
        <f t="shared" si="210"/>
        <v>943</v>
      </c>
      <c r="V867" s="9">
        <f t="shared" si="211"/>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v>0</v>
      </c>
      <c r="BF867" s="18">
        <v>1</v>
      </c>
      <c r="BG867">
        <v>0</v>
      </c>
      <c r="BH867">
        <v>0</v>
      </c>
      <c r="BI867" s="18">
        <v>1</v>
      </c>
      <c r="BJ867" t="s">
        <v>98</v>
      </c>
      <c r="BK867">
        <v>27</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3929</v>
      </c>
      <c r="D868" s="12">
        <v>7.5</v>
      </c>
      <c r="E868" s="14">
        <v>1.4</v>
      </c>
      <c r="F868" s="7">
        <f t="shared" si="217"/>
        <v>5.3571428571428577</v>
      </c>
      <c r="G868" s="7">
        <f t="shared" si="208"/>
        <v>6.1</v>
      </c>
      <c r="H868" s="16">
        <f t="shared" si="209"/>
        <v>8.9</v>
      </c>
      <c r="I868" s="11">
        <f t="shared" si="214"/>
        <v>0.17194555021002075</v>
      </c>
      <c r="J868" s="33">
        <f t="shared" si="215"/>
        <v>3.2096502705870535E-2</v>
      </c>
      <c r="K868" s="33">
        <f t="shared" si="216"/>
        <v>31.156042425055155</v>
      </c>
      <c r="L868" s="8">
        <v>0</v>
      </c>
      <c r="M868" s="9">
        <v>1</v>
      </c>
      <c r="N868" s="8">
        <v>0</v>
      </c>
      <c r="O868" s="9">
        <v>0</v>
      </c>
      <c r="P868" s="9">
        <v>0</v>
      </c>
      <c r="Q868" s="9">
        <v>1</v>
      </c>
      <c r="R868" s="9">
        <v>0</v>
      </c>
      <c r="S868" s="8">
        <v>948</v>
      </c>
      <c r="T868" s="9">
        <v>5</v>
      </c>
      <c r="U868" s="9">
        <f t="shared" si="210"/>
        <v>942</v>
      </c>
      <c r="V868" s="9">
        <f t="shared" si="211"/>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v>0</v>
      </c>
      <c r="BF868" s="18">
        <v>1</v>
      </c>
      <c r="BG868">
        <v>0</v>
      </c>
      <c r="BH868">
        <v>0</v>
      </c>
      <c r="BI868" s="18">
        <v>1</v>
      </c>
      <c r="BJ868" t="s">
        <v>98</v>
      </c>
      <c r="BK868">
        <v>27</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3929</v>
      </c>
      <c r="D869" s="12">
        <v>9</v>
      </c>
      <c r="E869" s="14">
        <v>1.1000000000000001</v>
      </c>
      <c r="F869" s="7">
        <f t="shared" si="217"/>
        <v>8.1818181818181817</v>
      </c>
      <c r="G869" s="7">
        <f t="shared" si="208"/>
        <v>7.9</v>
      </c>
      <c r="H869" s="16">
        <f t="shared" si="209"/>
        <v>10.1</v>
      </c>
      <c r="I869" s="11">
        <f t="shared" si="214"/>
        <v>0.25758270030408748</v>
      </c>
      <c r="J869" s="33">
        <f t="shared" si="215"/>
        <v>3.1482330037166245E-2</v>
      </c>
      <c r="K869" s="33">
        <f t="shared" si="216"/>
        <v>31.763849715680415</v>
      </c>
      <c r="L869" s="8">
        <v>0</v>
      </c>
      <c r="M869" s="9">
        <v>1</v>
      </c>
      <c r="N869" s="8">
        <v>0</v>
      </c>
      <c r="O869" s="9">
        <v>0</v>
      </c>
      <c r="P869" s="9">
        <v>0</v>
      </c>
      <c r="Q869" s="9">
        <v>1</v>
      </c>
      <c r="R869" s="9">
        <v>0</v>
      </c>
      <c r="S869" s="8">
        <v>948</v>
      </c>
      <c r="T869" s="9">
        <v>5</v>
      </c>
      <c r="U869" s="9">
        <f t="shared" si="210"/>
        <v>942</v>
      </c>
      <c r="V869" s="9">
        <f t="shared" si="211"/>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v>0</v>
      </c>
      <c r="BF869" s="18">
        <v>1</v>
      </c>
      <c r="BG869">
        <v>0</v>
      </c>
      <c r="BH869">
        <v>0</v>
      </c>
      <c r="BI869" s="18">
        <v>1</v>
      </c>
      <c r="BJ869" t="s">
        <v>98</v>
      </c>
      <c r="BK869">
        <v>27</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3929</v>
      </c>
      <c r="D870" s="12">
        <v>7.2</v>
      </c>
      <c r="E870" s="14">
        <v>1.6</v>
      </c>
      <c r="F870" s="7">
        <f t="shared" si="217"/>
        <v>4.5</v>
      </c>
      <c r="G870" s="7">
        <f t="shared" si="208"/>
        <v>5.6</v>
      </c>
      <c r="H870" s="16">
        <f t="shared" si="209"/>
        <v>8.8000000000000007</v>
      </c>
      <c r="I870" s="11">
        <f t="shared" si="214"/>
        <v>0.14514241246434065</v>
      </c>
      <c r="J870" s="33">
        <f t="shared" si="215"/>
        <v>3.2253869436520144E-2</v>
      </c>
      <c r="K870" s="33">
        <f t="shared" si="216"/>
        <v>31.004031995854994</v>
      </c>
      <c r="L870" s="8">
        <v>0</v>
      </c>
      <c r="M870" s="9">
        <v>1</v>
      </c>
      <c r="N870" s="8">
        <v>0</v>
      </c>
      <c r="O870" s="9">
        <v>0</v>
      </c>
      <c r="P870" s="9">
        <v>0</v>
      </c>
      <c r="Q870" s="9">
        <v>1</v>
      </c>
      <c r="R870" s="9">
        <v>0</v>
      </c>
      <c r="S870" s="8">
        <v>948</v>
      </c>
      <c r="T870" s="9">
        <v>6</v>
      </c>
      <c r="U870" s="9">
        <f t="shared" si="210"/>
        <v>941</v>
      </c>
      <c r="V870" s="9">
        <f t="shared" si="211"/>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v>0</v>
      </c>
      <c r="BF870" s="18">
        <v>1</v>
      </c>
      <c r="BG870">
        <v>0</v>
      </c>
      <c r="BH870">
        <v>0</v>
      </c>
      <c r="BI870" s="18">
        <v>1</v>
      </c>
      <c r="BJ870" t="s">
        <v>98</v>
      </c>
      <c r="BK870">
        <v>27</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3936</v>
      </c>
      <c r="D871" s="12">
        <v>7.22</v>
      </c>
      <c r="E871" s="14">
        <v>0.08</v>
      </c>
      <c r="F871" s="7">
        <f t="shared" si="217"/>
        <v>90.25</v>
      </c>
      <c r="G871" s="7">
        <f t="shared" si="208"/>
        <v>7.14</v>
      </c>
      <c r="H871" s="16">
        <f t="shared" si="209"/>
        <v>7.3</v>
      </c>
      <c r="I871" s="11">
        <f t="shared" si="214"/>
        <v>0.25320966566246955</v>
      </c>
      <c r="J871" s="33">
        <f t="shared" si="215"/>
        <v>2.8056472649581115E-3</v>
      </c>
      <c r="K871" s="33">
        <f t="shared" si="216"/>
        <v>356.42399259870257</v>
      </c>
      <c r="L871" s="8">
        <v>0</v>
      </c>
      <c r="M871" s="9">
        <v>1</v>
      </c>
      <c r="N871" s="8">
        <v>0</v>
      </c>
      <c r="O871" s="9">
        <v>0</v>
      </c>
      <c r="P871" s="9">
        <v>1</v>
      </c>
      <c r="Q871" s="9">
        <v>0</v>
      </c>
      <c r="R871" s="9">
        <v>0</v>
      </c>
      <c r="S871" s="8">
        <v>118899</v>
      </c>
      <c r="T871" s="9">
        <v>5</v>
      </c>
      <c r="U871" s="9">
        <f t="shared" si="210"/>
        <v>118893</v>
      </c>
      <c r="V871" s="9">
        <f t="shared" si="211"/>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v>0</v>
      </c>
      <c r="BF871" s="18">
        <v>0</v>
      </c>
      <c r="BG871">
        <v>1</v>
      </c>
      <c r="BH871">
        <v>0</v>
      </c>
      <c r="BI871" s="18">
        <v>0</v>
      </c>
      <c r="BJ871">
        <v>29551</v>
      </c>
      <c r="BK871">
        <v>23018</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3936</v>
      </c>
      <c r="D872" s="12">
        <v>7.43</v>
      </c>
      <c r="E872" s="14">
        <v>0.06</v>
      </c>
      <c r="F872" s="7">
        <f t="shared" si="217"/>
        <v>123.83333333333333</v>
      </c>
      <c r="G872" s="7">
        <f t="shared" si="208"/>
        <v>7.37</v>
      </c>
      <c r="H872" s="16">
        <f t="shared" si="209"/>
        <v>7.4899999999999993</v>
      </c>
      <c r="I872" s="11">
        <f t="shared" si="214"/>
        <v>0.28926572343898205</v>
      </c>
      <c r="J872" s="33">
        <f t="shared" si="215"/>
        <v>2.3359277801263691E-3</v>
      </c>
      <c r="K872" s="33">
        <f t="shared" si="216"/>
        <v>428.09542679692862</v>
      </c>
      <c r="L872" s="8">
        <v>0</v>
      </c>
      <c r="M872" s="9">
        <v>1</v>
      </c>
      <c r="N872" s="8">
        <v>0</v>
      </c>
      <c r="O872" s="9">
        <v>0</v>
      </c>
      <c r="P872" s="9">
        <v>1</v>
      </c>
      <c r="Q872" s="9">
        <v>0</v>
      </c>
      <c r="R872" s="9">
        <v>0</v>
      </c>
      <c r="S872" s="8">
        <v>167937</v>
      </c>
      <c r="T872" s="9">
        <v>5</v>
      </c>
      <c r="U872" s="9">
        <f t="shared" si="210"/>
        <v>167931</v>
      </c>
      <c r="V872" s="9">
        <f t="shared" si="211"/>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v>0</v>
      </c>
      <c r="BF872" s="18">
        <v>0</v>
      </c>
      <c r="BG872">
        <v>1</v>
      </c>
      <c r="BH872">
        <v>0</v>
      </c>
      <c r="BI872" s="18">
        <v>0</v>
      </c>
      <c r="BJ872">
        <v>29551</v>
      </c>
      <c r="BK872">
        <v>23018</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3936</v>
      </c>
      <c r="D873" s="12">
        <v>7.99</v>
      </c>
      <c r="E873" s="14">
        <v>0.2</v>
      </c>
      <c r="F873" s="7">
        <f t="shared" si="217"/>
        <v>39.949999999999996</v>
      </c>
      <c r="G873" s="7">
        <f t="shared" si="208"/>
        <v>7.79</v>
      </c>
      <c r="H873" s="16">
        <f t="shared" si="209"/>
        <v>8.19</v>
      </c>
      <c r="I873" s="11">
        <f t="shared" si="214"/>
        <v>0.17914437518349499</v>
      </c>
      <c r="J873" s="33">
        <f t="shared" si="215"/>
        <v>4.4842146478972474E-3</v>
      </c>
      <c r="K873" s="33">
        <f t="shared" si="216"/>
        <v>223.00448986511458</v>
      </c>
      <c r="L873" s="8">
        <v>0</v>
      </c>
      <c r="M873" s="9">
        <v>1</v>
      </c>
      <c r="N873" s="8">
        <v>0</v>
      </c>
      <c r="O873" s="9">
        <v>0</v>
      </c>
      <c r="P873" s="9">
        <v>1</v>
      </c>
      <c r="Q873" s="9">
        <v>0</v>
      </c>
      <c r="R873" s="9">
        <v>0</v>
      </c>
      <c r="S873" s="8">
        <v>48141</v>
      </c>
      <c r="T873" s="9">
        <v>5</v>
      </c>
      <c r="U873" s="9">
        <f t="shared" si="210"/>
        <v>48135</v>
      </c>
      <c r="V873" s="9">
        <f t="shared" si="211"/>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v>0</v>
      </c>
      <c r="BF873" s="18">
        <v>0</v>
      </c>
      <c r="BG873">
        <v>1</v>
      </c>
      <c r="BH873">
        <v>0</v>
      </c>
      <c r="BI873" s="18">
        <v>0</v>
      </c>
      <c r="BJ873">
        <v>29551</v>
      </c>
      <c r="BK873">
        <v>23018</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3936</v>
      </c>
      <c r="D874" s="12">
        <v>4.32</v>
      </c>
      <c r="E874" s="14">
        <v>0.19</v>
      </c>
      <c r="F874" s="7">
        <f t="shared" si="217"/>
        <v>22.736842105263158</v>
      </c>
      <c r="G874" s="7">
        <f t="shared" si="208"/>
        <v>4.13</v>
      </c>
      <c r="H874" s="16">
        <f t="shared" si="209"/>
        <v>4.5100000000000007</v>
      </c>
      <c r="I874" s="11">
        <f t="shared" si="214"/>
        <v>8.5168681316683814E-2</v>
      </c>
      <c r="J874" s="33">
        <f t="shared" si="215"/>
        <v>3.7458447801319269E-3</v>
      </c>
      <c r="K874" s="33">
        <f t="shared" si="216"/>
        <v>266.96247674330499</v>
      </c>
      <c r="L874" s="8">
        <v>0</v>
      </c>
      <c r="M874" s="9">
        <v>1</v>
      </c>
      <c r="N874" s="8">
        <v>0</v>
      </c>
      <c r="O874" s="9">
        <v>0</v>
      </c>
      <c r="P874" s="9">
        <v>1</v>
      </c>
      <c r="Q874" s="9">
        <v>0</v>
      </c>
      <c r="R874" s="9">
        <v>0</v>
      </c>
      <c r="S874" s="8">
        <v>70758</v>
      </c>
      <c r="T874" s="9">
        <v>5</v>
      </c>
      <c r="U874" s="9">
        <f t="shared" si="210"/>
        <v>70752</v>
      </c>
      <c r="V874" s="9">
        <f t="shared" si="211"/>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v>0</v>
      </c>
      <c r="BF874" s="18">
        <v>0</v>
      </c>
      <c r="BG874">
        <v>1</v>
      </c>
      <c r="BH874">
        <v>0</v>
      </c>
      <c r="BI874" s="18">
        <v>0</v>
      </c>
      <c r="BJ874">
        <v>29551</v>
      </c>
      <c r="BK874">
        <v>23018</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3936</v>
      </c>
      <c r="D875" s="12">
        <v>6.36</v>
      </c>
      <c r="E875" s="14">
        <v>0.14000000000000001</v>
      </c>
      <c r="F875" s="7">
        <f t="shared" si="217"/>
        <v>45.428571428571423</v>
      </c>
      <c r="G875" s="7">
        <f t="shared" si="208"/>
        <v>6.2200000000000006</v>
      </c>
      <c r="H875" s="16">
        <f t="shared" si="209"/>
        <v>6.5</v>
      </c>
      <c r="I875" s="11">
        <f t="shared" si="214"/>
        <v>0.21046241267144386</v>
      </c>
      <c r="J875" s="33">
        <f t="shared" si="215"/>
        <v>4.632820404717318E-3</v>
      </c>
      <c r="K875" s="33">
        <f t="shared" si="216"/>
        <v>215.85123372832695</v>
      </c>
      <c r="L875" s="8">
        <v>0</v>
      </c>
      <c r="M875" s="9">
        <v>1</v>
      </c>
      <c r="N875" s="8">
        <v>0</v>
      </c>
      <c r="O875" s="9">
        <v>0</v>
      </c>
      <c r="P875" s="9">
        <v>1</v>
      </c>
      <c r="Q875" s="9">
        <v>0</v>
      </c>
      <c r="R875" s="9">
        <v>0</v>
      </c>
      <c r="S875" s="8">
        <v>44534</v>
      </c>
      <c r="T875" s="9">
        <v>5</v>
      </c>
      <c r="U875" s="9">
        <f t="shared" si="210"/>
        <v>44528</v>
      </c>
      <c r="V875" s="9">
        <f t="shared" si="211"/>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v>0</v>
      </c>
      <c r="BF875" s="18">
        <v>0</v>
      </c>
      <c r="BG875">
        <v>1</v>
      </c>
      <c r="BH875">
        <v>0</v>
      </c>
      <c r="BI875" s="18">
        <v>0</v>
      </c>
      <c r="BJ875">
        <v>29551</v>
      </c>
      <c r="BK875">
        <v>23018</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3936</v>
      </c>
      <c r="D876" s="12">
        <v>4.1100000000000003</v>
      </c>
      <c r="E876" s="14">
        <v>0.12</v>
      </c>
      <c r="F876" s="7">
        <f t="shared" si="217"/>
        <v>34.250000000000007</v>
      </c>
      <c r="G876" s="7">
        <f t="shared" si="208"/>
        <v>3.99</v>
      </c>
      <c r="H876" s="16">
        <f t="shared" si="209"/>
        <v>4.2300000000000004</v>
      </c>
      <c r="I876" s="11">
        <f t="shared" si="214"/>
        <v>0.12462205370365272</v>
      </c>
      <c r="J876" s="33">
        <f t="shared" si="215"/>
        <v>3.638600108135845E-3</v>
      </c>
      <c r="K876" s="33">
        <f t="shared" si="216"/>
        <v>274.83097078022337</v>
      </c>
      <c r="L876" s="8">
        <v>0</v>
      </c>
      <c r="M876" s="9">
        <v>1</v>
      </c>
      <c r="N876" s="8">
        <v>0</v>
      </c>
      <c r="O876" s="9">
        <v>0</v>
      </c>
      <c r="P876" s="9">
        <v>1</v>
      </c>
      <c r="Q876" s="9">
        <v>0</v>
      </c>
      <c r="R876" s="9">
        <v>0</v>
      </c>
      <c r="S876" s="8">
        <v>74365</v>
      </c>
      <c r="T876" s="9">
        <v>5</v>
      </c>
      <c r="U876" s="9">
        <f t="shared" si="210"/>
        <v>74359</v>
      </c>
      <c r="V876" s="9">
        <f t="shared" si="211"/>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v>0</v>
      </c>
      <c r="BF876" s="18">
        <v>0</v>
      </c>
      <c r="BG876">
        <v>1</v>
      </c>
      <c r="BH876">
        <v>0</v>
      </c>
      <c r="BI876" s="18">
        <v>0</v>
      </c>
      <c r="BJ876">
        <v>29551</v>
      </c>
      <c r="BK876">
        <v>23018</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3936</v>
      </c>
      <c r="D877" s="12">
        <v>8.17</v>
      </c>
      <c r="E877" s="14">
        <v>0.17</v>
      </c>
      <c r="F877" s="7">
        <f t="shared" si="217"/>
        <v>48.058823529411761</v>
      </c>
      <c r="G877" s="7">
        <f t="shared" si="208"/>
        <v>8</v>
      </c>
      <c r="H877" s="16">
        <f t="shared" si="209"/>
        <v>8.34</v>
      </c>
      <c r="I877" s="11">
        <f t="shared" si="214"/>
        <v>0.19129694933617142</v>
      </c>
      <c r="J877" s="33">
        <f t="shared" si="215"/>
        <v>3.9804750779864314E-3</v>
      </c>
      <c r="K877" s="33">
        <f t="shared" si="216"/>
        <v>251.22629344682679</v>
      </c>
      <c r="L877" s="8">
        <v>0</v>
      </c>
      <c r="M877" s="9">
        <v>1</v>
      </c>
      <c r="N877" s="8">
        <v>0</v>
      </c>
      <c r="O877" s="9">
        <v>0</v>
      </c>
      <c r="P877" s="9">
        <v>1</v>
      </c>
      <c r="Q877" s="9">
        <v>0</v>
      </c>
      <c r="R877" s="9">
        <v>0</v>
      </c>
      <c r="S877" s="8">
        <v>60811</v>
      </c>
      <c r="T877" s="9">
        <v>5</v>
      </c>
      <c r="U877" s="9">
        <f t="shared" si="210"/>
        <v>60805</v>
      </c>
      <c r="V877" s="9">
        <f t="shared" si="211"/>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v>0</v>
      </c>
      <c r="BF877" s="18">
        <v>0</v>
      </c>
      <c r="BG877">
        <v>1</v>
      </c>
      <c r="BH877">
        <v>0</v>
      </c>
      <c r="BI877" s="18">
        <v>0</v>
      </c>
      <c r="BJ877">
        <v>29551</v>
      </c>
      <c r="BK877">
        <v>23018</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3936</v>
      </c>
      <c r="D878" s="12">
        <v>4.05</v>
      </c>
      <c r="E878" s="14">
        <v>0.14000000000000001</v>
      </c>
      <c r="F878" s="7">
        <f t="shared" si="217"/>
        <v>28.928571428571423</v>
      </c>
      <c r="G878" s="7">
        <f t="shared" si="208"/>
        <v>3.9099999999999997</v>
      </c>
      <c r="H878" s="16">
        <f t="shared" si="209"/>
        <v>4.1899999999999995</v>
      </c>
      <c r="I878" s="11">
        <f t="shared" si="214"/>
        <v>8.8044424868352289E-2</v>
      </c>
      <c r="J878" s="33">
        <f t="shared" si="215"/>
        <v>3.0435109831035367E-3</v>
      </c>
      <c r="K878" s="33">
        <f t="shared" si="216"/>
        <v>328.56789594374243</v>
      </c>
      <c r="L878" s="8">
        <v>0</v>
      </c>
      <c r="M878" s="9">
        <v>1</v>
      </c>
      <c r="N878" s="8">
        <v>0</v>
      </c>
      <c r="O878" s="9">
        <v>0</v>
      </c>
      <c r="P878" s="9">
        <v>1</v>
      </c>
      <c r="Q878" s="9">
        <v>0</v>
      </c>
      <c r="R878" s="9">
        <v>0</v>
      </c>
      <c r="S878" s="8">
        <v>107126</v>
      </c>
      <c r="T878" s="9">
        <v>5</v>
      </c>
      <c r="U878" s="9">
        <f t="shared" si="210"/>
        <v>107120</v>
      </c>
      <c r="V878" s="9">
        <f t="shared" si="211"/>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v>0</v>
      </c>
      <c r="BF878" s="18">
        <v>0</v>
      </c>
      <c r="BG878">
        <v>1</v>
      </c>
      <c r="BH878">
        <v>0</v>
      </c>
      <c r="BI878" s="18">
        <v>0</v>
      </c>
      <c r="BJ878">
        <v>29551</v>
      </c>
      <c r="BK878">
        <v>23018</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3936</v>
      </c>
      <c r="D879" s="12">
        <v>6.74</v>
      </c>
      <c r="E879" s="14">
        <v>0.11</v>
      </c>
      <c r="F879" s="7">
        <f t="shared" si="217"/>
        <v>61.272727272727273</v>
      </c>
      <c r="G879" s="7">
        <f t="shared" si="208"/>
        <v>6.63</v>
      </c>
      <c r="H879" s="16">
        <f t="shared" si="209"/>
        <v>6.8500000000000005</v>
      </c>
      <c r="I879" s="11">
        <f t="shared" si="214"/>
        <v>0.26258316884075517</v>
      </c>
      <c r="J879" s="33">
        <f t="shared" si="215"/>
        <v>4.2854819840479333E-3</v>
      </c>
      <c r="K879" s="33">
        <f t="shared" si="216"/>
        <v>233.34598155408204</v>
      </c>
      <c r="L879" s="8">
        <v>0</v>
      </c>
      <c r="M879" s="9">
        <v>1</v>
      </c>
      <c r="N879" s="8">
        <v>0</v>
      </c>
      <c r="O879" s="9">
        <v>0</v>
      </c>
      <c r="P879" s="9">
        <v>1</v>
      </c>
      <c r="Q879" s="9">
        <v>0</v>
      </c>
      <c r="R879" s="9">
        <v>0</v>
      </c>
      <c r="S879" s="8">
        <v>50702</v>
      </c>
      <c r="T879" s="9">
        <v>5</v>
      </c>
      <c r="U879" s="9">
        <f t="shared" si="210"/>
        <v>50696</v>
      </c>
      <c r="V879" s="9">
        <f t="shared" si="211"/>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v>0</v>
      </c>
      <c r="BF879" s="18">
        <v>0</v>
      </c>
      <c r="BG879">
        <v>1</v>
      </c>
      <c r="BH879">
        <v>0</v>
      </c>
      <c r="BI879" s="18">
        <v>0</v>
      </c>
      <c r="BJ879">
        <v>29551</v>
      </c>
      <c r="BK879">
        <v>23018</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3936</v>
      </c>
      <c r="D880" s="12">
        <v>4.0999999999999996</v>
      </c>
      <c r="E880" s="14">
        <v>0.08</v>
      </c>
      <c r="F880" s="7">
        <f t="shared" si="217"/>
        <v>51.249999999999993</v>
      </c>
      <c r="G880" s="7">
        <f t="shared" si="208"/>
        <v>4.0199999999999996</v>
      </c>
      <c r="H880" s="16">
        <f t="shared" si="209"/>
        <v>4.18</v>
      </c>
      <c r="I880" s="11">
        <f t="shared" si="214"/>
        <v>0.14803512423470547</v>
      </c>
      <c r="J880" s="33">
        <f t="shared" si="215"/>
        <v>2.8884902289698635E-3</v>
      </c>
      <c r="K880" s="33">
        <f t="shared" si="216"/>
        <v>346.20162116893675</v>
      </c>
      <c r="L880" s="8">
        <v>0</v>
      </c>
      <c r="M880" s="9">
        <v>1</v>
      </c>
      <c r="N880" s="8">
        <v>0</v>
      </c>
      <c r="O880" s="9">
        <v>0</v>
      </c>
      <c r="P880" s="9">
        <v>1</v>
      </c>
      <c r="Q880" s="9">
        <v>0</v>
      </c>
      <c r="R880" s="9">
        <v>0</v>
      </c>
      <c r="S880" s="8">
        <v>117235</v>
      </c>
      <c r="T880" s="9">
        <v>5</v>
      </c>
      <c r="U880" s="9">
        <f t="shared" si="210"/>
        <v>117229</v>
      </c>
      <c r="V880" s="9">
        <f t="shared" si="211"/>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v>0</v>
      </c>
      <c r="BF880" s="18">
        <v>0</v>
      </c>
      <c r="BG880">
        <v>1</v>
      </c>
      <c r="BH880">
        <v>0</v>
      </c>
      <c r="BI880" s="18">
        <v>0</v>
      </c>
      <c r="BJ880">
        <v>29551</v>
      </c>
      <c r="BK880">
        <v>23018</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3936</v>
      </c>
      <c r="D881" s="12">
        <v>10.49</v>
      </c>
      <c r="E881" s="14">
        <v>0.22</v>
      </c>
      <c r="F881" s="7">
        <f t="shared" si="217"/>
        <v>47.68181818181818</v>
      </c>
      <c r="G881" s="7">
        <f t="shared" si="208"/>
        <v>10.27</v>
      </c>
      <c r="H881" s="16">
        <f t="shared" si="209"/>
        <v>10.71</v>
      </c>
      <c r="I881" s="11">
        <f t="shared" si="214"/>
        <v>0.20000763401791363</v>
      </c>
      <c r="J881" s="33">
        <f t="shared" si="215"/>
        <v>4.194631028021068E-3</v>
      </c>
      <c r="K881" s="33">
        <f t="shared" si="216"/>
        <v>238.39999116007525</v>
      </c>
      <c r="L881" s="8">
        <v>0</v>
      </c>
      <c r="M881" s="9">
        <v>1</v>
      </c>
      <c r="N881" s="8">
        <v>0</v>
      </c>
      <c r="O881" s="9">
        <v>0</v>
      </c>
      <c r="P881" s="9">
        <v>1</v>
      </c>
      <c r="Q881" s="9">
        <v>0</v>
      </c>
      <c r="R881" s="9">
        <v>0</v>
      </c>
      <c r="S881" s="8">
        <v>54567</v>
      </c>
      <c r="T881" s="9">
        <v>5</v>
      </c>
      <c r="U881" s="9">
        <f t="shared" si="210"/>
        <v>54561</v>
      </c>
      <c r="V881" s="9">
        <f t="shared" si="211"/>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v>0</v>
      </c>
      <c r="BF881" s="18">
        <v>0</v>
      </c>
      <c r="BG881">
        <v>1</v>
      </c>
      <c r="BH881">
        <v>0</v>
      </c>
      <c r="BI881" s="18">
        <v>0</v>
      </c>
      <c r="BJ881">
        <v>29551</v>
      </c>
      <c r="BK881">
        <v>23018</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3936</v>
      </c>
      <c r="D882" s="12">
        <v>9.18</v>
      </c>
      <c r="E882" s="14">
        <v>0.45</v>
      </c>
      <c r="F882" s="7">
        <f t="shared" si="217"/>
        <v>20.399999999999999</v>
      </c>
      <c r="G882" s="7">
        <f t="shared" si="208"/>
        <v>8.73</v>
      </c>
      <c r="H882" s="16">
        <f t="shared" si="209"/>
        <v>9.629999999999999</v>
      </c>
      <c r="I882" s="11">
        <f t="shared" si="214"/>
        <v>6.9862538467178478E-2</v>
      </c>
      <c r="J882" s="33">
        <f t="shared" si="215"/>
        <v>3.4246342385871801E-3</v>
      </c>
      <c r="K882" s="33">
        <f t="shared" si="216"/>
        <v>292.00198629461408</v>
      </c>
      <c r="L882" s="8">
        <v>0</v>
      </c>
      <c r="M882" s="9">
        <v>1</v>
      </c>
      <c r="N882" s="8">
        <v>0</v>
      </c>
      <c r="O882" s="9">
        <v>0</v>
      </c>
      <c r="P882" s="9">
        <v>1</v>
      </c>
      <c r="Q882" s="9">
        <v>0</v>
      </c>
      <c r="R882" s="9">
        <v>0</v>
      </c>
      <c r="S882" s="8">
        <v>84855</v>
      </c>
      <c r="T882" s="9">
        <v>5</v>
      </c>
      <c r="U882" s="9">
        <f t="shared" si="210"/>
        <v>84849</v>
      </c>
      <c r="V882" s="9">
        <f t="shared" si="211"/>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v>0</v>
      </c>
      <c r="BF882" s="18">
        <v>0</v>
      </c>
      <c r="BG882">
        <v>1</v>
      </c>
      <c r="BH882">
        <v>0</v>
      </c>
      <c r="BI882" s="18">
        <v>0</v>
      </c>
      <c r="BJ882">
        <v>29551</v>
      </c>
      <c r="BK882">
        <v>23018</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3936</v>
      </c>
      <c r="D883" s="12">
        <v>10.63</v>
      </c>
      <c r="E883" s="14">
        <v>0.65</v>
      </c>
      <c r="F883" s="7">
        <f t="shared" si="217"/>
        <v>16.353846153846156</v>
      </c>
      <c r="G883" s="7">
        <f t="shared" si="208"/>
        <v>9.98</v>
      </c>
      <c r="H883" s="16">
        <f t="shared" si="209"/>
        <v>11.280000000000001</v>
      </c>
      <c r="I883" s="11">
        <f t="shared" si="214"/>
        <v>5.536192568228316E-2</v>
      </c>
      <c r="J883" s="33">
        <f t="shared" si="215"/>
        <v>3.3852541574302965E-3</v>
      </c>
      <c r="K883" s="33">
        <f t="shared" si="216"/>
        <v>295.39879533272244</v>
      </c>
      <c r="L883" s="8">
        <v>0</v>
      </c>
      <c r="M883" s="9">
        <v>1</v>
      </c>
      <c r="N883" s="8">
        <v>0</v>
      </c>
      <c r="O883" s="9">
        <v>0</v>
      </c>
      <c r="P883" s="9">
        <v>1</v>
      </c>
      <c r="Q883" s="9">
        <v>0</v>
      </c>
      <c r="R883" s="9">
        <v>0</v>
      </c>
      <c r="S883" s="8">
        <v>86999</v>
      </c>
      <c r="T883" s="9">
        <v>5</v>
      </c>
      <c r="U883" s="9">
        <f t="shared" si="210"/>
        <v>86993</v>
      </c>
      <c r="V883" s="9">
        <f t="shared" si="211"/>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v>0</v>
      </c>
      <c r="BF883" s="18">
        <v>0</v>
      </c>
      <c r="BG883">
        <v>1</v>
      </c>
      <c r="BH883">
        <v>0</v>
      </c>
      <c r="BI883" s="18">
        <v>0</v>
      </c>
      <c r="BJ883">
        <v>29551</v>
      </c>
      <c r="BK883">
        <v>23018</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3936</v>
      </c>
      <c r="D884" s="12">
        <v>8.39</v>
      </c>
      <c r="E884" s="14">
        <v>0.51</v>
      </c>
      <c r="F884" s="7">
        <f t="shared" si="217"/>
        <v>16.450980392156865</v>
      </c>
      <c r="G884" s="7">
        <f t="shared" si="208"/>
        <v>7.8800000000000008</v>
      </c>
      <c r="H884" s="16">
        <f t="shared" si="209"/>
        <v>8.9</v>
      </c>
      <c r="I884" s="11">
        <f t="shared" si="214"/>
        <v>5.5173068869910705E-2</v>
      </c>
      <c r="J884" s="33">
        <f t="shared" si="215"/>
        <v>3.3537860695654893E-3</v>
      </c>
      <c r="K884" s="33">
        <f t="shared" si="216"/>
        <v>298.17047935009111</v>
      </c>
      <c r="L884" s="8">
        <v>0</v>
      </c>
      <c r="M884" s="9">
        <v>1</v>
      </c>
      <c r="N884" s="8">
        <v>0</v>
      </c>
      <c r="O884" s="9">
        <v>0</v>
      </c>
      <c r="P884" s="9">
        <v>1</v>
      </c>
      <c r="Q884" s="9">
        <v>0</v>
      </c>
      <c r="R884" s="9">
        <v>0</v>
      </c>
      <c r="S884" s="8">
        <v>88641</v>
      </c>
      <c r="T884" s="9">
        <v>5</v>
      </c>
      <c r="U884" s="9">
        <f t="shared" si="210"/>
        <v>88635</v>
      </c>
      <c r="V884" s="9">
        <f t="shared" si="211"/>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v>0</v>
      </c>
      <c r="BF884" s="18">
        <v>0</v>
      </c>
      <c r="BG884">
        <v>1</v>
      </c>
      <c r="BH884">
        <v>0</v>
      </c>
      <c r="BI884" s="18">
        <v>0</v>
      </c>
      <c r="BJ884">
        <v>29551</v>
      </c>
      <c r="BK884">
        <v>23018</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3936</v>
      </c>
      <c r="D885" s="12">
        <v>10.35</v>
      </c>
      <c r="E885" s="14">
        <v>0.2</v>
      </c>
      <c r="F885" s="7">
        <f t="shared" si="217"/>
        <v>51.749999999999993</v>
      </c>
      <c r="G885" s="7">
        <f t="shared" si="208"/>
        <v>10.15</v>
      </c>
      <c r="H885" s="16">
        <f t="shared" si="209"/>
        <v>10.549999999999999</v>
      </c>
      <c r="I885" s="11">
        <f t="shared" si="214"/>
        <v>0.18457784471900096</v>
      </c>
      <c r="J885" s="33">
        <f t="shared" si="215"/>
        <v>3.5667216370821445E-3</v>
      </c>
      <c r="K885" s="33">
        <f t="shared" si="216"/>
        <v>280.36951064621843</v>
      </c>
      <c r="L885" s="8">
        <v>0</v>
      </c>
      <c r="M885" s="9">
        <v>1</v>
      </c>
      <c r="N885" s="8">
        <v>0</v>
      </c>
      <c r="O885" s="9">
        <v>0</v>
      </c>
      <c r="P885" s="9">
        <v>1</v>
      </c>
      <c r="Q885" s="9">
        <v>0</v>
      </c>
      <c r="R885" s="9">
        <v>0</v>
      </c>
      <c r="S885" s="8">
        <v>75935</v>
      </c>
      <c r="T885" s="9">
        <v>5</v>
      </c>
      <c r="U885" s="9">
        <f t="shared" si="210"/>
        <v>75929</v>
      </c>
      <c r="V885" s="9">
        <f t="shared" si="211"/>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v>0</v>
      </c>
      <c r="BF885" s="18">
        <v>0</v>
      </c>
      <c r="BG885">
        <v>1</v>
      </c>
      <c r="BH885">
        <v>0</v>
      </c>
      <c r="BI885" s="18">
        <v>0</v>
      </c>
      <c r="BJ885">
        <v>29551</v>
      </c>
      <c r="BK885">
        <v>23018</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3944</v>
      </c>
      <c r="D886" s="12">
        <v>6.24</v>
      </c>
      <c r="E886" s="14">
        <v>0.21</v>
      </c>
      <c r="F886" s="7">
        <f t="shared" si="217"/>
        <v>29.714285714285715</v>
      </c>
      <c r="G886" s="7">
        <f t="shared" si="208"/>
        <v>6.03</v>
      </c>
      <c r="H886" s="16">
        <f t="shared" si="209"/>
        <v>6.45</v>
      </c>
      <c r="I886" s="11">
        <f t="shared" si="214"/>
        <v>0.2789989064094901</v>
      </c>
      <c r="J886" s="33">
        <f t="shared" si="215"/>
        <v>9.3893862733963017E-3</v>
      </c>
      <c r="K886" s="33">
        <f t="shared" si="216"/>
        <v>106.50323363875016</v>
      </c>
      <c r="L886" s="8">
        <v>1</v>
      </c>
      <c r="M886" s="9">
        <v>0</v>
      </c>
      <c r="N886" s="8">
        <v>0</v>
      </c>
      <c r="O886" s="9">
        <v>1</v>
      </c>
      <c r="P886" s="9">
        <v>0</v>
      </c>
      <c r="Q886" s="9">
        <v>0</v>
      </c>
      <c r="R886" s="9">
        <v>0</v>
      </c>
      <c r="S886" s="8">
        <v>10466</v>
      </c>
      <c r="T886" s="9">
        <v>5</v>
      </c>
      <c r="U886" s="9">
        <f t="shared" si="210"/>
        <v>10460</v>
      </c>
      <c r="V886" s="9">
        <f t="shared" si="211"/>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18">1-AQ886</f>
        <v>0.47260000000000002</v>
      </c>
      <c r="AS886" t="s">
        <v>98</v>
      </c>
      <c r="AT886" s="40" t="s">
        <v>98</v>
      </c>
      <c r="AU886">
        <v>0</v>
      </c>
      <c r="AV886" s="18">
        <v>1</v>
      </c>
      <c r="AW886">
        <v>0</v>
      </c>
      <c r="AX886" s="18">
        <v>1</v>
      </c>
      <c r="AY886" s="18" t="s">
        <v>5</v>
      </c>
      <c r="AZ886">
        <v>0</v>
      </c>
      <c r="BA886">
        <v>1</v>
      </c>
      <c r="BB886">
        <v>0</v>
      </c>
      <c r="BC886">
        <v>0</v>
      </c>
      <c r="BD886">
        <v>0</v>
      </c>
      <c r="BE886">
        <v>0</v>
      </c>
      <c r="BF886" s="18">
        <v>0</v>
      </c>
      <c r="BG886">
        <v>0</v>
      </c>
      <c r="BH886">
        <v>1</v>
      </c>
      <c r="BI886" s="18">
        <v>0</v>
      </c>
      <c r="BJ886">
        <v>557</v>
      </c>
      <c r="BK886">
        <v>41</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3944</v>
      </c>
      <c r="D887" s="12">
        <v>5.41</v>
      </c>
      <c r="E887" s="14">
        <v>0.28000000000000003</v>
      </c>
      <c r="F887" s="7">
        <f t="shared" si="217"/>
        <v>19.321428571428569</v>
      </c>
      <c r="G887" s="7">
        <f t="shared" si="208"/>
        <v>5.13</v>
      </c>
      <c r="H887" s="16">
        <f t="shared" si="209"/>
        <v>5.69</v>
      </c>
      <c r="I887" s="11">
        <f t="shared" si="214"/>
        <v>0.25181436494337711</v>
      </c>
      <c r="J887" s="33">
        <f t="shared" si="215"/>
        <v>1.3032906133853158E-2</v>
      </c>
      <c r="K887" s="33">
        <f t="shared" si="216"/>
        <v>76.728857687579435</v>
      </c>
      <c r="L887" s="8">
        <v>1</v>
      </c>
      <c r="M887" s="9">
        <v>0</v>
      </c>
      <c r="N887" s="8">
        <v>0</v>
      </c>
      <c r="O887" s="9">
        <v>1</v>
      </c>
      <c r="P887" s="9">
        <v>0</v>
      </c>
      <c r="Q887" s="9">
        <v>0</v>
      </c>
      <c r="R887" s="9">
        <v>0</v>
      </c>
      <c r="S887" s="8">
        <v>5520</v>
      </c>
      <c r="T887" s="9">
        <v>5</v>
      </c>
      <c r="U887" s="9">
        <f t="shared" si="210"/>
        <v>5514</v>
      </c>
      <c r="V887" s="9">
        <f t="shared" si="211"/>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18"/>
        <v>0.47260000000000002</v>
      </c>
      <c r="AS887" t="s">
        <v>98</v>
      </c>
      <c r="AT887" s="40" t="s">
        <v>98</v>
      </c>
      <c r="AU887">
        <v>0</v>
      </c>
      <c r="AV887" s="18">
        <v>1</v>
      </c>
      <c r="AW887">
        <v>0</v>
      </c>
      <c r="AX887" s="18">
        <v>1</v>
      </c>
      <c r="AY887" s="18" t="s">
        <v>5</v>
      </c>
      <c r="AZ887">
        <v>0</v>
      </c>
      <c r="BA887">
        <v>1</v>
      </c>
      <c r="BB887">
        <v>0</v>
      </c>
      <c r="BC887">
        <v>0</v>
      </c>
      <c r="BD887">
        <v>0</v>
      </c>
      <c r="BE887">
        <v>0</v>
      </c>
      <c r="BF887" s="18">
        <v>0</v>
      </c>
      <c r="BG887">
        <v>0</v>
      </c>
      <c r="BH887">
        <v>1</v>
      </c>
      <c r="BI887" s="18">
        <v>0</v>
      </c>
      <c r="BJ887">
        <v>557</v>
      </c>
      <c r="BK887">
        <v>41</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3944</v>
      </c>
      <c r="D888" s="12">
        <v>7.24</v>
      </c>
      <c r="E888" s="14">
        <v>0.33</v>
      </c>
      <c r="F888" s="7">
        <f t="shared" si="217"/>
        <v>21.939393939393938</v>
      </c>
      <c r="G888" s="7">
        <f t="shared" si="208"/>
        <v>6.91</v>
      </c>
      <c r="H888" s="16">
        <f t="shared" si="209"/>
        <v>7.57</v>
      </c>
      <c r="I888" s="11">
        <f t="shared" si="214"/>
        <v>0.29796923347960869</v>
      </c>
      <c r="J888" s="33">
        <f t="shared" si="215"/>
        <v>1.3581470586777744E-2</v>
      </c>
      <c r="K888" s="33">
        <f t="shared" si="216"/>
        <v>73.62972909381044</v>
      </c>
      <c r="L888" s="8">
        <v>1</v>
      </c>
      <c r="M888" s="9">
        <v>0</v>
      </c>
      <c r="N888" s="8">
        <v>0</v>
      </c>
      <c r="O888" s="9">
        <v>1</v>
      </c>
      <c r="P888" s="9">
        <v>0</v>
      </c>
      <c r="Q888" s="9">
        <v>0</v>
      </c>
      <c r="R888" s="9">
        <v>0</v>
      </c>
      <c r="S888" s="8">
        <v>4946</v>
      </c>
      <c r="T888" s="9">
        <v>5</v>
      </c>
      <c r="U888" s="9">
        <f t="shared" si="210"/>
        <v>4940</v>
      </c>
      <c r="V888" s="9">
        <f t="shared" si="211"/>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18"/>
        <v>0.47260000000000002</v>
      </c>
      <c r="AS888" t="s">
        <v>98</v>
      </c>
      <c r="AT888" s="40" t="s">
        <v>98</v>
      </c>
      <c r="AU888">
        <v>0</v>
      </c>
      <c r="AV888" s="18">
        <v>1</v>
      </c>
      <c r="AW888">
        <v>0</v>
      </c>
      <c r="AX888" s="18">
        <v>1</v>
      </c>
      <c r="AY888" s="18" t="s">
        <v>5</v>
      </c>
      <c r="AZ888">
        <v>0</v>
      </c>
      <c r="BA888">
        <v>1</v>
      </c>
      <c r="BB888">
        <v>0</v>
      </c>
      <c r="BC888">
        <v>0</v>
      </c>
      <c r="BD888">
        <v>0</v>
      </c>
      <c r="BE888">
        <v>0</v>
      </c>
      <c r="BF888" s="18">
        <v>0</v>
      </c>
      <c r="BG888">
        <v>0</v>
      </c>
      <c r="BH888">
        <v>1</v>
      </c>
      <c r="BI888" s="18">
        <v>0</v>
      </c>
      <c r="BJ888">
        <v>557</v>
      </c>
      <c r="BK888">
        <v>41</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3944</v>
      </c>
      <c r="D889" s="12">
        <v>8.99</v>
      </c>
      <c r="E889" s="14">
        <v>0.27</v>
      </c>
      <c r="F889" s="7">
        <f t="shared" si="217"/>
        <v>33.296296296296298</v>
      </c>
      <c r="G889" s="7">
        <f t="shared" si="208"/>
        <v>8.7200000000000006</v>
      </c>
      <c r="H889" s="16">
        <f t="shared" si="209"/>
        <v>9.26</v>
      </c>
      <c r="I889" s="11">
        <f t="shared" si="214"/>
        <v>0.32348396438344396</v>
      </c>
      <c r="J889" s="33">
        <f t="shared" si="215"/>
        <v>9.7153137245305759E-3</v>
      </c>
      <c r="K889" s="33">
        <f t="shared" si="216"/>
        <v>102.93028391610873</v>
      </c>
      <c r="L889" s="8">
        <v>1</v>
      </c>
      <c r="M889" s="9">
        <v>0</v>
      </c>
      <c r="N889" s="8">
        <v>0</v>
      </c>
      <c r="O889" s="9">
        <v>1</v>
      </c>
      <c r="P889" s="9">
        <v>0</v>
      </c>
      <c r="Q889" s="9">
        <v>0</v>
      </c>
      <c r="R889" s="9">
        <v>0</v>
      </c>
      <c r="S889" s="8">
        <v>9492</v>
      </c>
      <c r="T889" s="9">
        <v>5</v>
      </c>
      <c r="U889" s="9">
        <f t="shared" si="210"/>
        <v>9486</v>
      </c>
      <c r="V889" s="9">
        <f t="shared" si="211"/>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18"/>
        <v>0.47260000000000002</v>
      </c>
      <c r="AS889" t="s">
        <v>98</v>
      </c>
      <c r="AT889" s="40" t="s">
        <v>98</v>
      </c>
      <c r="AU889">
        <v>0</v>
      </c>
      <c r="AV889" s="18">
        <v>1</v>
      </c>
      <c r="AW889">
        <v>0</v>
      </c>
      <c r="AX889" s="18">
        <v>1</v>
      </c>
      <c r="AY889" s="18" t="s">
        <v>5</v>
      </c>
      <c r="AZ889">
        <v>0</v>
      </c>
      <c r="BA889">
        <v>1</v>
      </c>
      <c r="BB889">
        <v>0</v>
      </c>
      <c r="BC889">
        <v>0</v>
      </c>
      <c r="BD889">
        <v>0</v>
      </c>
      <c r="BE889">
        <v>0</v>
      </c>
      <c r="BF889" s="18">
        <v>0</v>
      </c>
      <c r="BG889">
        <v>0</v>
      </c>
      <c r="BH889">
        <v>1</v>
      </c>
      <c r="BI889" s="18">
        <v>0</v>
      </c>
      <c r="BJ889">
        <v>942</v>
      </c>
      <c r="BK889">
        <v>131</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3944</v>
      </c>
      <c r="D890" s="12">
        <v>8</v>
      </c>
      <c r="E890" s="14">
        <v>0.34</v>
      </c>
      <c r="F890" s="7">
        <f t="shared" si="217"/>
        <v>23.52941176470588</v>
      </c>
      <c r="G890" s="7">
        <f t="shared" si="208"/>
        <v>7.66</v>
      </c>
      <c r="H890" s="16">
        <f t="shared" si="209"/>
        <v>8.34</v>
      </c>
      <c r="I890" s="11">
        <f t="shared" si="214"/>
        <v>0.30872663043685711</v>
      </c>
      <c r="J890" s="33">
        <f t="shared" si="215"/>
        <v>1.3120881793566429E-2</v>
      </c>
      <c r="K890" s="33">
        <f t="shared" si="216"/>
        <v>76.21438983547057</v>
      </c>
      <c r="L890" s="8">
        <v>1</v>
      </c>
      <c r="M890" s="9">
        <v>0</v>
      </c>
      <c r="N890" s="8">
        <v>0</v>
      </c>
      <c r="O890" s="9">
        <v>1</v>
      </c>
      <c r="P890" s="9">
        <v>0</v>
      </c>
      <c r="Q890" s="9">
        <v>0</v>
      </c>
      <c r="R890" s="9">
        <v>0</v>
      </c>
      <c r="S890" s="8">
        <v>5261</v>
      </c>
      <c r="T890" s="9">
        <v>5</v>
      </c>
      <c r="U890" s="9">
        <f t="shared" si="210"/>
        <v>5255</v>
      </c>
      <c r="V890" s="9">
        <f t="shared" si="211"/>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18"/>
        <v>0.47260000000000002</v>
      </c>
      <c r="AS890" t="s">
        <v>98</v>
      </c>
      <c r="AT890" s="40" t="s">
        <v>98</v>
      </c>
      <c r="AU890">
        <v>0</v>
      </c>
      <c r="AV890" s="18">
        <v>1</v>
      </c>
      <c r="AW890">
        <v>0</v>
      </c>
      <c r="AX890" s="18">
        <v>1</v>
      </c>
      <c r="AY890" s="18" t="s">
        <v>5</v>
      </c>
      <c r="AZ890">
        <v>0</v>
      </c>
      <c r="BA890">
        <v>1</v>
      </c>
      <c r="BB890">
        <v>0</v>
      </c>
      <c r="BC890">
        <v>0</v>
      </c>
      <c r="BD890">
        <v>0</v>
      </c>
      <c r="BE890">
        <v>0</v>
      </c>
      <c r="BF890" s="18">
        <v>0</v>
      </c>
      <c r="BG890">
        <v>0</v>
      </c>
      <c r="BH890">
        <v>1</v>
      </c>
      <c r="BI890" s="18">
        <v>0</v>
      </c>
      <c r="BJ890">
        <v>942</v>
      </c>
      <c r="BK890">
        <v>131</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3944</v>
      </c>
      <c r="D891" s="12">
        <v>10.36</v>
      </c>
      <c r="E891" s="14">
        <v>0.44</v>
      </c>
      <c r="F891" s="7">
        <f t="shared" si="217"/>
        <v>23.545454545454543</v>
      </c>
      <c r="G891" s="7">
        <f t="shared" si="208"/>
        <v>9.92</v>
      </c>
      <c r="H891" s="16">
        <f t="shared" si="209"/>
        <v>10.799999999999999</v>
      </c>
      <c r="I891" s="11">
        <f t="shared" si="214"/>
        <v>0.3405813910739538</v>
      </c>
      <c r="J891" s="33">
        <f t="shared" si="215"/>
        <v>1.4464846725148618E-2</v>
      </c>
      <c r="K891" s="33">
        <f t="shared" si="216"/>
        <v>69.133121076312378</v>
      </c>
      <c r="L891" s="8">
        <v>1</v>
      </c>
      <c r="M891" s="9">
        <v>0</v>
      </c>
      <c r="N891" s="8">
        <v>0</v>
      </c>
      <c r="O891" s="9">
        <v>1</v>
      </c>
      <c r="P891" s="9">
        <v>0</v>
      </c>
      <c r="Q891" s="9">
        <v>0</v>
      </c>
      <c r="R891" s="9">
        <v>0</v>
      </c>
      <c r="S891" s="8">
        <v>4231</v>
      </c>
      <c r="T891" s="9">
        <v>5</v>
      </c>
      <c r="U891" s="9">
        <f t="shared" si="210"/>
        <v>4225</v>
      </c>
      <c r="V891" s="9">
        <f t="shared" si="211"/>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18"/>
        <v>0.47260000000000002</v>
      </c>
      <c r="AS891" t="s">
        <v>98</v>
      </c>
      <c r="AT891" s="40" t="s">
        <v>98</v>
      </c>
      <c r="AU891">
        <v>0</v>
      </c>
      <c r="AV891" s="18">
        <v>1</v>
      </c>
      <c r="AW891">
        <v>0</v>
      </c>
      <c r="AX891" s="18">
        <v>1</v>
      </c>
      <c r="AY891" s="18" t="s">
        <v>5</v>
      </c>
      <c r="AZ891">
        <v>0</v>
      </c>
      <c r="BA891">
        <v>1</v>
      </c>
      <c r="BB891">
        <v>0</v>
      </c>
      <c r="BC891">
        <v>0</v>
      </c>
      <c r="BD891">
        <v>0</v>
      </c>
      <c r="BE891">
        <v>0</v>
      </c>
      <c r="BF891" s="18">
        <v>0</v>
      </c>
      <c r="BG891">
        <v>0</v>
      </c>
      <c r="BH891">
        <v>1</v>
      </c>
      <c r="BI891" s="18">
        <v>0</v>
      </c>
      <c r="BJ891">
        <v>942</v>
      </c>
      <c r="BK891">
        <v>131</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3944</v>
      </c>
      <c r="D892" s="12">
        <v>6.99</v>
      </c>
      <c r="E892" s="14">
        <v>0.2</v>
      </c>
      <c r="F892" s="7">
        <f t="shared" si="217"/>
        <v>34.949999999999996</v>
      </c>
      <c r="G892" s="7">
        <f t="shared" si="208"/>
        <v>6.79</v>
      </c>
      <c r="H892" s="16">
        <f t="shared" si="209"/>
        <v>7.19</v>
      </c>
      <c r="I892" s="11">
        <f t="shared" si="214"/>
        <v>0.32336858551691083</v>
      </c>
      <c r="J892" s="33">
        <f t="shared" si="215"/>
        <v>9.2523200434023144E-3</v>
      </c>
      <c r="K892" s="33">
        <f t="shared" si="216"/>
        <v>108.08099971780423</v>
      </c>
      <c r="L892" s="8">
        <v>1</v>
      </c>
      <c r="M892" s="9">
        <v>0</v>
      </c>
      <c r="N892" s="8">
        <v>0</v>
      </c>
      <c r="O892" s="9">
        <v>1</v>
      </c>
      <c r="P892" s="9">
        <v>0</v>
      </c>
      <c r="Q892" s="9">
        <v>0</v>
      </c>
      <c r="R892" s="9">
        <v>0</v>
      </c>
      <c r="S892" s="8">
        <v>10466</v>
      </c>
      <c r="T892" s="9">
        <v>5</v>
      </c>
      <c r="U892" s="9">
        <f t="shared" si="210"/>
        <v>10460</v>
      </c>
      <c r="V892" s="9">
        <f t="shared" si="211"/>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18"/>
        <v>0.44579999999999997</v>
      </c>
      <c r="AS892" t="s">
        <v>98</v>
      </c>
      <c r="AT892" s="40" t="s">
        <v>98</v>
      </c>
      <c r="AU892">
        <v>0</v>
      </c>
      <c r="AV892" s="18">
        <v>1</v>
      </c>
      <c r="AW892">
        <v>0</v>
      </c>
      <c r="AX892" s="18">
        <v>1</v>
      </c>
      <c r="AY892" s="18" t="s">
        <v>5</v>
      </c>
      <c r="AZ892">
        <v>0</v>
      </c>
      <c r="BA892">
        <v>1</v>
      </c>
      <c r="BB892">
        <v>0</v>
      </c>
      <c r="BC892">
        <v>0</v>
      </c>
      <c r="BD892">
        <v>0</v>
      </c>
      <c r="BE892">
        <v>0</v>
      </c>
      <c r="BF892" s="18">
        <v>0</v>
      </c>
      <c r="BG892">
        <v>0</v>
      </c>
      <c r="BH892">
        <v>1</v>
      </c>
      <c r="BI892" s="18">
        <v>0</v>
      </c>
      <c r="BJ892">
        <v>557</v>
      </c>
      <c r="BK892">
        <v>41</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3944</v>
      </c>
      <c r="D893" s="12">
        <v>6.24</v>
      </c>
      <c r="E893" s="14">
        <v>0.24</v>
      </c>
      <c r="F893" s="7">
        <f t="shared" si="217"/>
        <v>26.000000000000004</v>
      </c>
      <c r="G893" s="7">
        <f t="shared" si="208"/>
        <v>6</v>
      </c>
      <c r="H893" s="16">
        <f t="shared" si="209"/>
        <v>6.48</v>
      </c>
      <c r="I893" s="11">
        <f t="shared" si="214"/>
        <v>0.33046694334865567</v>
      </c>
      <c r="J893" s="33">
        <f t="shared" si="215"/>
        <v>1.2710267051871369E-2</v>
      </c>
      <c r="K893" s="33">
        <f t="shared" si="216"/>
        <v>78.676553051083786</v>
      </c>
      <c r="L893" s="8">
        <v>1</v>
      </c>
      <c r="M893" s="9">
        <v>0</v>
      </c>
      <c r="N893" s="8">
        <v>0</v>
      </c>
      <c r="O893" s="9">
        <v>1</v>
      </c>
      <c r="P893" s="9">
        <v>0</v>
      </c>
      <c r="Q893" s="9">
        <v>0</v>
      </c>
      <c r="R893" s="9">
        <v>0</v>
      </c>
      <c r="S893" s="8">
        <v>5520</v>
      </c>
      <c r="T893" s="9">
        <v>5</v>
      </c>
      <c r="U893" s="9">
        <f t="shared" si="210"/>
        <v>5514</v>
      </c>
      <c r="V893" s="9">
        <f t="shared" si="211"/>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18"/>
        <v>0.44579999999999997</v>
      </c>
      <c r="AS893" t="s">
        <v>98</v>
      </c>
      <c r="AT893" s="40" t="s">
        <v>98</v>
      </c>
      <c r="AU893">
        <v>0</v>
      </c>
      <c r="AV893" s="18">
        <v>1</v>
      </c>
      <c r="AW893">
        <v>0</v>
      </c>
      <c r="AX893" s="18">
        <v>1</v>
      </c>
      <c r="AY893" s="18" t="s">
        <v>5</v>
      </c>
      <c r="AZ893">
        <v>0</v>
      </c>
      <c r="BA893">
        <v>1</v>
      </c>
      <c r="BB893">
        <v>0</v>
      </c>
      <c r="BC893">
        <v>0</v>
      </c>
      <c r="BD893">
        <v>0</v>
      </c>
      <c r="BE893">
        <v>0</v>
      </c>
      <c r="BF893" s="18">
        <v>0</v>
      </c>
      <c r="BG893">
        <v>0</v>
      </c>
      <c r="BH893">
        <v>1</v>
      </c>
      <c r="BI893" s="18">
        <v>0</v>
      </c>
      <c r="BJ893">
        <v>557</v>
      </c>
      <c r="BK893">
        <v>41</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3944</v>
      </c>
      <c r="D894" s="12">
        <v>7.82</v>
      </c>
      <c r="E894" s="14">
        <v>0.27</v>
      </c>
      <c r="F894" s="7">
        <f t="shared" si="217"/>
        <v>28.962962962962962</v>
      </c>
      <c r="G894" s="7">
        <f t="shared" si="208"/>
        <v>7.5500000000000007</v>
      </c>
      <c r="H894" s="16">
        <f t="shared" si="209"/>
        <v>8.09</v>
      </c>
      <c r="I894" s="11">
        <f t="shared" si="214"/>
        <v>0.38099752713393192</v>
      </c>
      <c r="J894" s="33">
        <f t="shared" si="215"/>
        <v>1.3154646077514275E-2</v>
      </c>
      <c r="K894" s="33">
        <f t="shared" si="216"/>
        <v>76.018768890281066</v>
      </c>
      <c r="L894" s="8">
        <v>1</v>
      </c>
      <c r="M894" s="9">
        <v>0</v>
      </c>
      <c r="N894" s="8">
        <v>0</v>
      </c>
      <c r="O894" s="9">
        <v>1</v>
      </c>
      <c r="P894" s="9">
        <v>0</v>
      </c>
      <c r="Q894" s="9">
        <v>0</v>
      </c>
      <c r="R894" s="9">
        <v>0</v>
      </c>
      <c r="S894" s="8">
        <v>4946</v>
      </c>
      <c r="T894" s="9">
        <v>5</v>
      </c>
      <c r="U894" s="9">
        <f t="shared" si="210"/>
        <v>4940</v>
      </c>
      <c r="V894" s="9">
        <f t="shared" si="211"/>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18"/>
        <v>0.44579999999999997</v>
      </c>
      <c r="AS894" t="s">
        <v>98</v>
      </c>
      <c r="AT894" s="40" t="s">
        <v>98</v>
      </c>
      <c r="AU894">
        <v>0</v>
      </c>
      <c r="AV894" s="18">
        <v>1</v>
      </c>
      <c r="AW894">
        <v>0</v>
      </c>
      <c r="AX894" s="18">
        <v>1</v>
      </c>
      <c r="AY894" s="18" t="s">
        <v>5</v>
      </c>
      <c r="AZ894">
        <v>0</v>
      </c>
      <c r="BA894">
        <v>1</v>
      </c>
      <c r="BB894">
        <v>0</v>
      </c>
      <c r="BC894">
        <v>0</v>
      </c>
      <c r="BD894">
        <v>0</v>
      </c>
      <c r="BE894">
        <v>0</v>
      </c>
      <c r="BF894" s="18">
        <v>0</v>
      </c>
      <c r="BG894">
        <v>0</v>
      </c>
      <c r="BH894">
        <v>1</v>
      </c>
      <c r="BI894" s="18">
        <v>0</v>
      </c>
      <c r="BJ894">
        <v>557</v>
      </c>
      <c r="BK894">
        <v>41</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3944</v>
      </c>
      <c r="D895" s="12">
        <v>10.14</v>
      </c>
      <c r="E895" s="14">
        <v>0.27</v>
      </c>
      <c r="F895" s="7">
        <f t="shared" si="217"/>
        <v>37.555555555555557</v>
      </c>
      <c r="G895" s="7">
        <f t="shared" si="208"/>
        <v>9.870000000000001</v>
      </c>
      <c r="H895" s="16">
        <f t="shared" si="209"/>
        <v>10.41</v>
      </c>
      <c r="I895" s="11">
        <f t="shared" si="214"/>
        <v>0.35977607409251577</v>
      </c>
      <c r="J895" s="33">
        <f t="shared" si="215"/>
        <v>9.579836292404267E-3</v>
      </c>
      <c r="K895" s="33">
        <f t="shared" si="216"/>
        <v>104.38591740788802</v>
      </c>
      <c r="L895" s="8">
        <v>1</v>
      </c>
      <c r="M895" s="9">
        <v>0</v>
      </c>
      <c r="N895" s="8">
        <v>0</v>
      </c>
      <c r="O895" s="9">
        <v>1</v>
      </c>
      <c r="P895" s="9">
        <v>0</v>
      </c>
      <c r="Q895" s="9">
        <v>0</v>
      </c>
      <c r="R895" s="9">
        <v>0</v>
      </c>
      <c r="S895" s="8">
        <v>9492</v>
      </c>
      <c r="T895" s="9">
        <v>5</v>
      </c>
      <c r="U895" s="9">
        <f t="shared" si="210"/>
        <v>9486</v>
      </c>
      <c r="V895" s="9">
        <f t="shared" si="211"/>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18"/>
        <v>0.44579999999999997</v>
      </c>
      <c r="AS895" t="s">
        <v>98</v>
      </c>
      <c r="AT895" s="40" t="s">
        <v>98</v>
      </c>
      <c r="AU895">
        <v>0</v>
      </c>
      <c r="AV895" s="18">
        <v>1</v>
      </c>
      <c r="AW895">
        <v>0</v>
      </c>
      <c r="AX895" s="18">
        <v>1</v>
      </c>
      <c r="AY895" s="18" t="s">
        <v>5</v>
      </c>
      <c r="AZ895">
        <v>0</v>
      </c>
      <c r="BA895">
        <v>1</v>
      </c>
      <c r="BB895">
        <v>0</v>
      </c>
      <c r="BC895">
        <v>0</v>
      </c>
      <c r="BD895">
        <v>0</v>
      </c>
      <c r="BE895">
        <v>0</v>
      </c>
      <c r="BF895" s="18">
        <v>0</v>
      </c>
      <c r="BG895">
        <v>0</v>
      </c>
      <c r="BH895">
        <v>1</v>
      </c>
      <c r="BI895" s="18">
        <v>0</v>
      </c>
      <c r="BJ895">
        <v>942</v>
      </c>
      <c r="BK895">
        <v>131</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3944</v>
      </c>
      <c r="D896" s="12">
        <v>9.32</v>
      </c>
      <c r="E896" s="14">
        <v>0.32</v>
      </c>
      <c r="F896" s="7">
        <f t="shared" si="217"/>
        <v>29.125</v>
      </c>
      <c r="G896" s="7">
        <f t="shared" si="208"/>
        <v>9</v>
      </c>
      <c r="H896" s="16">
        <f t="shared" si="209"/>
        <v>9.64</v>
      </c>
      <c r="I896" s="11">
        <f t="shared" si="214"/>
        <v>0.37280763517855348</v>
      </c>
      <c r="J896" s="33">
        <f t="shared" si="215"/>
        <v>1.2800262152053338E-2</v>
      </c>
      <c r="K896" s="33">
        <f t="shared" si="216"/>
        <v>78.12339998361567</v>
      </c>
      <c r="L896" s="8">
        <v>1</v>
      </c>
      <c r="M896" s="9">
        <v>0</v>
      </c>
      <c r="N896" s="8">
        <v>0</v>
      </c>
      <c r="O896" s="9">
        <v>1</v>
      </c>
      <c r="P896" s="9">
        <v>0</v>
      </c>
      <c r="Q896" s="9">
        <v>0</v>
      </c>
      <c r="R896" s="9">
        <v>0</v>
      </c>
      <c r="S896" s="8">
        <v>5261</v>
      </c>
      <c r="T896" s="9">
        <v>5</v>
      </c>
      <c r="U896" s="9">
        <f t="shared" si="210"/>
        <v>5255</v>
      </c>
      <c r="V896" s="9">
        <f t="shared" si="211"/>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18"/>
        <v>0.44579999999999997</v>
      </c>
      <c r="AS896" t="s">
        <v>98</v>
      </c>
      <c r="AT896" s="40" t="s">
        <v>98</v>
      </c>
      <c r="AU896">
        <v>0</v>
      </c>
      <c r="AV896" s="18">
        <v>1</v>
      </c>
      <c r="AW896">
        <v>0</v>
      </c>
      <c r="AX896" s="18">
        <v>1</v>
      </c>
      <c r="AY896" s="18" t="s">
        <v>5</v>
      </c>
      <c r="AZ896">
        <v>0</v>
      </c>
      <c r="BA896">
        <v>1</v>
      </c>
      <c r="BB896">
        <v>0</v>
      </c>
      <c r="BC896">
        <v>0</v>
      </c>
      <c r="BD896">
        <v>0</v>
      </c>
      <c r="BE896">
        <v>0</v>
      </c>
      <c r="BF896" s="18">
        <v>0</v>
      </c>
      <c r="BG896">
        <v>0</v>
      </c>
      <c r="BH896">
        <v>1</v>
      </c>
      <c r="BI896" s="18">
        <v>0</v>
      </c>
      <c r="BJ896">
        <v>942</v>
      </c>
      <c r="BK896">
        <v>131</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3944</v>
      </c>
      <c r="D897" s="12">
        <v>11.15</v>
      </c>
      <c r="E897" s="14">
        <v>0.35</v>
      </c>
      <c r="F897" s="7">
        <f t="shared" si="217"/>
        <v>31.857142857142861</v>
      </c>
      <c r="G897" s="7">
        <f t="shared" si="208"/>
        <v>10.8</v>
      </c>
      <c r="H897" s="16">
        <f t="shared" si="209"/>
        <v>11.5</v>
      </c>
      <c r="I897" s="11">
        <f t="shared" si="214"/>
        <v>0.44009481702202752</v>
      </c>
      <c r="J897" s="33">
        <f t="shared" si="215"/>
        <v>1.3814635511902209E-2</v>
      </c>
      <c r="K897" s="33">
        <f t="shared" si="216"/>
        <v>72.386998494345718</v>
      </c>
      <c r="L897" s="8">
        <v>1</v>
      </c>
      <c r="M897" s="9">
        <v>0</v>
      </c>
      <c r="N897" s="8">
        <v>0</v>
      </c>
      <c r="O897" s="9">
        <v>1</v>
      </c>
      <c r="P897" s="9">
        <v>0</v>
      </c>
      <c r="Q897" s="9">
        <v>0</v>
      </c>
      <c r="R897" s="9">
        <v>0</v>
      </c>
      <c r="S897" s="8">
        <v>4231</v>
      </c>
      <c r="T897" s="9">
        <v>5</v>
      </c>
      <c r="U897" s="9">
        <f t="shared" si="210"/>
        <v>4225</v>
      </c>
      <c r="V897" s="9">
        <f t="shared" si="211"/>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18"/>
        <v>0.44579999999999997</v>
      </c>
      <c r="AS897" t="s">
        <v>98</v>
      </c>
      <c r="AT897" s="40" t="s">
        <v>98</v>
      </c>
      <c r="AU897">
        <v>0</v>
      </c>
      <c r="AV897" s="18">
        <v>1</v>
      </c>
      <c r="AW897">
        <v>0</v>
      </c>
      <c r="AX897" s="18">
        <v>1</v>
      </c>
      <c r="AY897" s="18" t="s">
        <v>5</v>
      </c>
      <c r="AZ897">
        <v>0</v>
      </c>
      <c r="BA897">
        <v>1</v>
      </c>
      <c r="BB897">
        <v>0</v>
      </c>
      <c r="BC897">
        <v>0</v>
      </c>
      <c r="BD897">
        <v>0</v>
      </c>
      <c r="BE897">
        <v>0</v>
      </c>
      <c r="BF897" s="18">
        <v>0</v>
      </c>
      <c r="BG897">
        <v>0</v>
      </c>
      <c r="BH897">
        <v>1</v>
      </c>
      <c r="BI897" s="18">
        <v>0</v>
      </c>
      <c r="BJ897">
        <v>942</v>
      </c>
      <c r="BK897">
        <v>131</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3951</v>
      </c>
      <c r="D898" s="12">
        <v>4.2679999999999998</v>
      </c>
      <c r="E898" s="14">
        <v>0.50080000000000002</v>
      </c>
      <c r="F898" s="7">
        <f t="shared" si="217"/>
        <v>8.5223642172523952</v>
      </c>
      <c r="G898" s="7">
        <f t="shared" ref="G898:G961" si="219">D898-E898</f>
        <v>3.7671999999999999</v>
      </c>
      <c r="H898" s="16">
        <f t="shared" ref="H898:H961" si="220">D898+E898</f>
        <v>4.7687999999999997</v>
      </c>
      <c r="I898" s="11">
        <f t="shared" si="214"/>
        <v>0.27743360268328471</v>
      </c>
      <c r="J898" s="33">
        <f t="shared" si="215"/>
        <v>3.2553596116164242E-2</v>
      </c>
      <c r="K898" s="33">
        <f t="shared" si="216"/>
        <v>30.718572425350498</v>
      </c>
      <c r="L898" s="8">
        <v>0</v>
      </c>
      <c r="M898" s="9">
        <v>1</v>
      </c>
      <c r="N898" s="8">
        <v>0</v>
      </c>
      <c r="O898" s="9">
        <v>0</v>
      </c>
      <c r="P898" s="9">
        <v>0</v>
      </c>
      <c r="Q898" s="9">
        <v>1</v>
      </c>
      <c r="R898" s="9">
        <v>0</v>
      </c>
      <c r="S898" s="8">
        <v>874</v>
      </c>
      <c r="T898" s="9">
        <v>2</v>
      </c>
      <c r="U898" s="9">
        <f t="shared" ref="U898:U961" si="221">S898-T898-1</f>
        <v>871</v>
      </c>
      <c r="V898" s="9">
        <f t="shared" ref="V898:V961" si="222">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18"/>
        <v>0.5</v>
      </c>
      <c r="AS898">
        <v>0.72</v>
      </c>
      <c r="AT898" s="40">
        <v>0.28000000000000003</v>
      </c>
      <c r="AU898">
        <v>1</v>
      </c>
      <c r="AV898" s="18">
        <v>0</v>
      </c>
      <c r="AW898" t="s">
        <v>98</v>
      </c>
      <c r="AX898" s="18" t="s">
        <v>98</v>
      </c>
      <c r="AY898" s="18" t="s">
        <v>515</v>
      </c>
      <c r="AZ898">
        <v>1</v>
      </c>
      <c r="BA898">
        <v>0</v>
      </c>
      <c r="BB898">
        <v>0</v>
      </c>
      <c r="BC898">
        <v>0</v>
      </c>
      <c r="BD898">
        <v>0</v>
      </c>
      <c r="BE898">
        <v>0</v>
      </c>
      <c r="BF898" s="18">
        <v>0</v>
      </c>
      <c r="BG898">
        <v>1</v>
      </c>
      <c r="BH898">
        <v>0</v>
      </c>
      <c r="BI898" s="18">
        <v>0</v>
      </c>
      <c r="BJ898">
        <v>16471</v>
      </c>
      <c r="BK898">
        <v>1190</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3951</v>
      </c>
      <c r="D899" s="12">
        <v>4.077</v>
      </c>
      <c r="E899" s="14">
        <v>0.4496</v>
      </c>
      <c r="F899" s="7">
        <f t="shared" si="217"/>
        <v>9.0680604982206408</v>
      </c>
      <c r="G899" s="7">
        <f t="shared" si="219"/>
        <v>3.6273999999999997</v>
      </c>
      <c r="H899" s="16">
        <f t="shared" si="220"/>
        <v>4.5266000000000002</v>
      </c>
      <c r="I899" s="11">
        <f t="shared" si="214"/>
        <v>0.28306887228097272</v>
      </c>
      <c r="J899" s="33">
        <f t="shared" si="215"/>
        <v>3.1216032616513446E-2</v>
      </c>
      <c r="K899" s="33">
        <f t="shared" si="216"/>
        <v>32.034820448995646</v>
      </c>
      <c r="L899" s="8">
        <v>0</v>
      </c>
      <c r="M899" s="9">
        <v>1</v>
      </c>
      <c r="N899" s="8">
        <v>0</v>
      </c>
      <c r="O899" s="9">
        <v>0</v>
      </c>
      <c r="P899" s="9">
        <v>0</v>
      </c>
      <c r="Q899" s="9">
        <v>1</v>
      </c>
      <c r="R899" s="9">
        <v>0</v>
      </c>
      <c r="S899" s="8">
        <v>947</v>
      </c>
      <c r="T899" s="9">
        <v>2</v>
      </c>
      <c r="U899" s="9">
        <f t="shared" si="221"/>
        <v>944</v>
      </c>
      <c r="V899" s="9">
        <f t="shared" si="222"/>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18"/>
        <v>0.51</v>
      </c>
      <c r="AS899">
        <v>0.72</v>
      </c>
      <c r="AT899" s="40">
        <v>0.28000000000000003</v>
      </c>
      <c r="AU899">
        <v>1</v>
      </c>
      <c r="AV899" s="18">
        <v>0</v>
      </c>
      <c r="AW899" t="s">
        <v>98</v>
      </c>
      <c r="AX899" s="18" t="s">
        <v>98</v>
      </c>
      <c r="AY899" s="18" t="s">
        <v>515</v>
      </c>
      <c r="AZ899">
        <v>1</v>
      </c>
      <c r="BA899">
        <v>0</v>
      </c>
      <c r="BB899">
        <v>0</v>
      </c>
      <c r="BC899">
        <v>0</v>
      </c>
      <c r="BD899">
        <v>0</v>
      </c>
      <c r="BE899">
        <v>0</v>
      </c>
      <c r="BF899" s="18">
        <v>0</v>
      </c>
      <c r="BG899">
        <v>1</v>
      </c>
      <c r="BH899">
        <v>0</v>
      </c>
      <c r="BI899" s="18">
        <v>0</v>
      </c>
      <c r="BJ899">
        <v>20349</v>
      </c>
      <c r="BK899">
        <v>1351</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3951</v>
      </c>
      <c r="D900" s="12">
        <v>3.968</v>
      </c>
      <c r="E900" s="14">
        <v>0.59989999999999999</v>
      </c>
      <c r="F900" s="7">
        <f t="shared" si="217"/>
        <v>6.614435739289882</v>
      </c>
      <c r="G900" s="7">
        <f t="shared" si="219"/>
        <v>3.3681000000000001</v>
      </c>
      <c r="H900" s="16">
        <f t="shared" si="220"/>
        <v>4.5678999999999998</v>
      </c>
      <c r="I900" s="11">
        <f t="shared" si="214"/>
        <v>0.24569621253382809</v>
      </c>
      <c r="J900" s="33">
        <f t="shared" si="215"/>
        <v>3.7145453099557323E-2</v>
      </c>
      <c r="K900" s="33">
        <f t="shared" si="216"/>
        <v>26.92119536999045</v>
      </c>
      <c r="L900" s="8">
        <v>0</v>
      </c>
      <c r="M900" s="9">
        <v>1</v>
      </c>
      <c r="N900" s="8">
        <v>0</v>
      </c>
      <c r="O900" s="9">
        <v>0</v>
      </c>
      <c r="P900" s="9">
        <v>0</v>
      </c>
      <c r="Q900" s="9">
        <v>1</v>
      </c>
      <c r="R900" s="9">
        <v>0</v>
      </c>
      <c r="S900" s="8">
        <v>684</v>
      </c>
      <c r="T900" s="9">
        <v>2</v>
      </c>
      <c r="U900" s="9">
        <f t="shared" si="221"/>
        <v>681</v>
      </c>
      <c r="V900" s="9">
        <f t="shared" si="222"/>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18"/>
        <v>0.47</v>
      </c>
      <c r="AS900">
        <v>0.72</v>
      </c>
      <c r="AT900" s="40">
        <v>0.28000000000000003</v>
      </c>
      <c r="AU900">
        <v>1</v>
      </c>
      <c r="AV900" s="18">
        <v>0</v>
      </c>
      <c r="AW900" t="s">
        <v>98</v>
      </c>
      <c r="AX900" s="18" t="s">
        <v>98</v>
      </c>
      <c r="AY900" s="18" t="s">
        <v>515</v>
      </c>
      <c r="AZ900">
        <v>1</v>
      </c>
      <c r="BA900">
        <v>0</v>
      </c>
      <c r="BB900">
        <v>0</v>
      </c>
      <c r="BC900">
        <v>0</v>
      </c>
      <c r="BD900">
        <v>0</v>
      </c>
      <c r="BE900">
        <v>0</v>
      </c>
      <c r="BF900" s="18">
        <v>0</v>
      </c>
      <c r="BG900">
        <v>1</v>
      </c>
      <c r="BH900">
        <v>0</v>
      </c>
      <c r="BI900" s="18">
        <v>0</v>
      </c>
      <c r="BJ900">
        <v>23733</v>
      </c>
      <c r="BK900">
        <v>1419</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3951</v>
      </c>
      <c r="D901" s="12">
        <v>4.8079999999999998</v>
      </c>
      <c r="E901" s="14">
        <v>0.22720000000000001</v>
      </c>
      <c r="F901" s="7">
        <f t="shared" si="217"/>
        <v>21.161971830985912</v>
      </c>
      <c r="G901" s="7">
        <f t="shared" si="219"/>
        <v>4.5808</v>
      </c>
      <c r="H901" s="16">
        <f t="shared" si="220"/>
        <v>5.0351999999999997</v>
      </c>
      <c r="I901" s="11">
        <f t="shared" si="214"/>
        <v>0.38877903256646729</v>
      </c>
      <c r="J901" s="33">
        <f t="shared" si="215"/>
        <v>1.8371588227766512E-2</v>
      </c>
      <c r="K901" s="33">
        <f t="shared" si="216"/>
        <v>54.431875328482306</v>
      </c>
      <c r="L901" s="8">
        <v>0</v>
      </c>
      <c r="M901" s="9">
        <v>1</v>
      </c>
      <c r="N901" s="8">
        <v>0</v>
      </c>
      <c r="O901" s="9">
        <v>0</v>
      </c>
      <c r="P901" s="9">
        <v>0</v>
      </c>
      <c r="Q901" s="9">
        <v>1</v>
      </c>
      <c r="R901" s="9">
        <v>0</v>
      </c>
      <c r="S901" s="8">
        <v>2518</v>
      </c>
      <c r="T901" s="9">
        <v>2</v>
      </c>
      <c r="U901" s="9">
        <f t="shared" si="221"/>
        <v>2515</v>
      </c>
      <c r="V901" s="9">
        <f t="shared" si="222"/>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18"/>
        <v>0.5</v>
      </c>
      <c r="AS901">
        <v>0.72</v>
      </c>
      <c r="AT901" s="40">
        <v>0.28000000000000003</v>
      </c>
      <c r="AU901">
        <v>1</v>
      </c>
      <c r="AV901" s="18">
        <v>0</v>
      </c>
      <c r="AW901" t="s">
        <v>98</v>
      </c>
      <c r="AX901" s="18" t="s">
        <v>98</v>
      </c>
      <c r="AY901" s="18" t="s">
        <v>515</v>
      </c>
      <c r="AZ901">
        <v>1</v>
      </c>
      <c r="BA901">
        <v>0</v>
      </c>
      <c r="BB901">
        <v>0</v>
      </c>
      <c r="BC901">
        <v>0</v>
      </c>
      <c r="BD901">
        <v>0</v>
      </c>
      <c r="BE901">
        <v>0</v>
      </c>
      <c r="BF901" s="18">
        <v>0</v>
      </c>
      <c r="BG901">
        <v>1</v>
      </c>
      <c r="BH901">
        <v>0</v>
      </c>
      <c r="BI901" s="18">
        <v>0</v>
      </c>
      <c r="BJ901">
        <v>20841</v>
      </c>
      <c r="BK901">
        <v>1400</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3951</v>
      </c>
      <c r="D902" s="12">
        <v>2.9990000000000001</v>
      </c>
      <c r="E902" s="14">
        <v>0.65780000000000005</v>
      </c>
      <c r="F902" s="7">
        <f t="shared" si="217"/>
        <v>4.5591365156582544</v>
      </c>
      <c r="G902" s="7">
        <f t="shared" si="219"/>
        <v>2.3412000000000002</v>
      </c>
      <c r="H902" s="16">
        <f t="shared" si="220"/>
        <v>3.6568000000000001</v>
      </c>
      <c r="I902" s="11">
        <f t="shared" si="214"/>
        <v>0.15405779067021458</v>
      </c>
      <c r="J902" s="33">
        <f t="shared" si="215"/>
        <v>3.3791001901589582E-2</v>
      </c>
      <c r="K902" s="33">
        <f t="shared" si="216"/>
        <v>29.593677124825305</v>
      </c>
      <c r="L902" s="8">
        <v>0</v>
      </c>
      <c r="M902" s="9">
        <v>1</v>
      </c>
      <c r="N902" s="8">
        <v>0</v>
      </c>
      <c r="O902" s="9">
        <v>0</v>
      </c>
      <c r="P902" s="9">
        <v>0</v>
      </c>
      <c r="Q902" s="9">
        <v>1</v>
      </c>
      <c r="R902" s="9">
        <v>0</v>
      </c>
      <c r="S902" s="8">
        <v>859</v>
      </c>
      <c r="T902" s="9">
        <v>3</v>
      </c>
      <c r="U902" s="9">
        <f t="shared" si="221"/>
        <v>855</v>
      </c>
      <c r="V902" s="9">
        <f t="shared" si="222"/>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18"/>
        <v>0.5</v>
      </c>
      <c r="AS902">
        <v>0.72</v>
      </c>
      <c r="AT902" s="40">
        <v>0.28000000000000003</v>
      </c>
      <c r="AU902">
        <v>1</v>
      </c>
      <c r="AV902" s="18">
        <v>0</v>
      </c>
      <c r="AW902" t="s">
        <v>98</v>
      </c>
      <c r="AX902" s="18" t="s">
        <v>98</v>
      </c>
      <c r="AY902" s="18" t="s">
        <v>515</v>
      </c>
      <c r="AZ902">
        <v>1</v>
      </c>
      <c r="BA902">
        <v>0</v>
      </c>
      <c r="BB902">
        <v>0</v>
      </c>
      <c r="BC902">
        <v>0</v>
      </c>
      <c r="BD902">
        <v>0</v>
      </c>
      <c r="BE902">
        <v>0</v>
      </c>
      <c r="BF902" s="18">
        <v>0</v>
      </c>
      <c r="BG902">
        <v>1</v>
      </c>
      <c r="BH902">
        <v>0</v>
      </c>
      <c r="BI902" s="18">
        <v>0</v>
      </c>
      <c r="BJ902">
        <v>16471</v>
      </c>
      <c r="BK902">
        <v>1190</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3951</v>
      </c>
      <c r="D903" s="12">
        <v>2.415</v>
      </c>
      <c r="E903" s="14">
        <v>0.58289999999999997</v>
      </c>
      <c r="F903" s="7">
        <f t="shared" si="217"/>
        <v>4.1430777148739066</v>
      </c>
      <c r="G903" s="7">
        <f t="shared" si="219"/>
        <v>1.8321000000000001</v>
      </c>
      <c r="H903" s="16">
        <f t="shared" si="220"/>
        <v>2.9979</v>
      </c>
      <c r="I903" s="11">
        <f t="shared" si="214"/>
        <v>0.13405525975132729</v>
      </c>
      <c r="J903" s="33">
        <f t="shared" si="215"/>
        <v>3.2356443440599861E-2</v>
      </c>
      <c r="K903" s="33">
        <f t="shared" si="216"/>
        <v>30.905745306520032</v>
      </c>
      <c r="L903" s="8">
        <v>0</v>
      </c>
      <c r="M903" s="9">
        <v>1</v>
      </c>
      <c r="N903" s="8">
        <v>0</v>
      </c>
      <c r="O903" s="9">
        <v>0</v>
      </c>
      <c r="P903" s="9">
        <v>0</v>
      </c>
      <c r="Q903" s="9">
        <v>1</v>
      </c>
      <c r="R903" s="9">
        <v>0</v>
      </c>
      <c r="S903" s="8">
        <v>942</v>
      </c>
      <c r="T903" s="9">
        <v>3</v>
      </c>
      <c r="U903" s="9">
        <f t="shared" si="221"/>
        <v>938</v>
      </c>
      <c r="V903" s="9">
        <f t="shared" si="222"/>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18"/>
        <v>0.51</v>
      </c>
      <c r="AS903">
        <v>0.72</v>
      </c>
      <c r="AT903" s="40">
        <v>0.28000000000000003</v>
      </c>
      <c r="AU903">
        <v>1</v>
      </c>
      <c r="AV903" s="18">
        <v>0</v>
      </c>
      <c r="AW903" t="s">
        <v>98</v>
      </c>
      <c r="AX903" s="18" t="s">
        <v>98</v>
      </c>
      <c r="AY903" s="18" t="s">
        <v>515</v>
      </c>
      <c r="AZ903">
        <v>1</v>
      </c>
      <c r="BA903">
        <v>0</v>
      </c>
      <c r="BB903">
        <v>0</v>
      </c>
      <c r="BC903">
        <v>0</v>
      </c>
      <c r="BD903">
        <v>0</v>
      </c>
      <c r="BE903">
        <v>0</v>
      </c>
      <c r="BF903" s="18">
        <v>0</v>
      </c>
      <c r="BG903">
        <v>1</v>
      </c>
      <c r="BH903">
        <v>0</v>
      </c>
      <c r="BI903" s="18">
        <v>0</v>
      </c>
      <c r="BJ903">
        <v>20349</v>
      </c>
      <c r="BK903">
        <v>1351</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3951</v>
      </c>
      <c r="D904" s="12">
        <v>1.556</v>
      </c>
      <c r="E904" s="14">
        <v>0.74</v>
      </c>
      <c r="F904" s="7">
        <f t="shared" si="217"/>
        <v>2.102702702702703</v>
      </c>
      <c r="G904" s="7">
        <f t="shared" si="219"/>
        <v>0.81600000000000006</v>
      </c>
      <c r="H904" s="16">
        <f t="shared" si="220"/>
        <v>2.2960000000000003</v>
      </c>
      <c r="I904" s="11">
        <f t="shared" ref="I904:I967" si="223">IFERROR(F904/SQRT(F904^2+U904), "X")</f>
        <v>8.0432876248302226E-2</v>
      </c>
      <c r="J904" s="33">
        <f t="shared" ref="J904:J967" si="224">IFERROR(SQRT((1-I904^2)/U904), "X")</f>
        <v>3.8252139089809532E-2</v>
      </c>
      <c r="K904" s="33">
        <f t="shared" ref="K904:K967" si="225">IFERROR(1/J904, "X")</f>
        <v>26.142328868254129</v>
      </c>
      <c r="L904" s="8">
        <v>0</v>
      </c>
      <c r="M904" s="9">
        <v>1</v>
      </c>
      <c r="N904" s="8">
        <v>0</v>
      </c>
      <c r="O904" s="9">
        <v>0</v>
      </c>
      <c r="P904" s="9">
        <v>0</v>
      </c>
      <c r="Q904" s="9">
        <v>1</v>
      </c>
      <c r="R904" s="9">
        <v>0</v>
      </c>
      <c r="S904" s="8">
        <v>683</v>
      </c>
      <c r="T904" s="9">
        <v>3</v>
      </c>
      <c r="U904" s="9">
        <f t="shared" si="221"/>
        <v>679</v>
      </c>
      <c r="V904" s="9">
        <f t="shared" si="222"/>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18"/>
        <v>0.47</v>
      </c>
      <c r="AS904">
        <v>0.72</v>
      </c>
      <c r="AT904" s="40">
        <v>0.28000000000000003</v>
      </c>
      <c r="AU904">
        <v>1</v>
      </c>
      <c r="AV904" s="18">
        <v>0</v>
      </c>
      <c r="AW904" t="s">
        <v>98</v>
      </c>
      <c r="AX904" s="18" t="s">
        <v>98</v>
      </c>
      <c r="AY904" s="18" t="s">
        <v>515</v>
      </c>
      <c r="AZ904">
        <v>1</v>
      </c>
      <c r="BA904">
        <v>0</v>
      </c>
      <c r="BB904">
        <v>0</v>
      </c>
      <c r="BC904">
        <v>0</v>
      </c>
      <c r="BD904">
        <v>0</v>
      </c>
      <c r="BE904">
        <v>0</v>
      </c>
      <c r="BF904" s="18">
        <v>0</v>
      </c>
      <c r="BG904">
        <v>1</v>
      </c>
      <c r="BH904">
        <v>0</v>
      </c>
      <c r="BI904" s="18">
        <v>0</v>
      </c>
      <c r="BJ904">
        <v>23733</v>
      </c>
      <c r="BK904">
        <v>1419</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3951</v>
      </c>
      <c r="D905" s="12">
        <v>3.3570000000000002</v>
      </c>
      <c r="E905" s="14">
        <v>0.25380000000000003</v>
      </c>
      <c r="F905" s="7">
        <f t="shared" si="217"/>
        <v>13.226950354609929</v>
      </c>
      <c r="G905" s="7">
        <f t="shared" si="219"/>
        <v>3.1032000000000002</v>
      </c>
      <c r="H905" s="16">
        <f t="shared" si="220"/>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1"/>
        <v>2514</v>
      </c>
      <c r="V905" s="9">
        <f t="shared" si="222"/>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18"/>
        <v>0.5</v>
      </c>
      <c r="AS905">
        <v>0.72</v>
      </c>
      <c r="AT905" s="40">
        <v>0.28000000000000003</v>
      </c>
      <c r="AU905">
        <v>1</v>
      </c>
      <c r="AV905" s="18">
        <v>0</v>
      </c>
      <c r="AW905" t="s">
        <v>98</v>
      </c>
      <c r="AX905" s="18" t="s">
        <v>98</v>
      </c>
      <c r="AY905" s="18" t="s">
        <v>515</v>
      </c>
      <c r="AZ905">
        <v>1</v>
      </c>
      <c r="BA905">
        <v>0</v>
      </c>
      <c r="BB905">
        <v>0</v>
      </c>
      <c r="BC905">
        <v>0</v>
      </c>
      <c r="BD905">
        <v>0</v>
      </c>
      <c r="BE905">
        <v>0</v>
      </c>
      <c r="BF905" s="18">
        <v>0</v>
      </c>
      <c r="BG905">
        <v>1</v>
      </c>
      <c r="BH905">
        <v>0</v>
      </c>
      <c r="BI905" s="18">
        <v>0</v>
      </c>
      <c r="BJ905">
        <v>20841</v>
      </c>
      <c r="BK905">
        <v>1400</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3951</v>
      </c>
      <c r="D906" s="12">
        <v>4.4290000000000003</v>
      </c>
      <c r="E906" s="14">
        <v>0.49509999999999998</v>
      </c>
      <c r="F906" s="7">
        <f t="shared" si="217"/>
        <v>8.9456675419107263</v>
      </c>
      <c r="G906" s="7">
        <f t="shared" si="219"/>
        <v>3.9339000000000004</v>
      </c>
      <c r="H906" s="16">
        <f t="shared" si="220"/>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1"/>
        <v>871</v>
      </c>
      <c r="V906" s="9">
        <f t="shared" si="222"/>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18"/>
        <v>0.5</v>
      </c>
      <c r="AS906">
        <v>0.72</v>
      </c>
      <c r="AT906" s="40">
        <v>0.28000000000000003</v>
      </c>
      <c r="AU906">
        <v>1</v>
      </c>
      <c r="AV906" s="18">
        <v>0</v>
      </c>
      <c r="AW906" t="s">
        <v>98</v>
      </c>
      <c r="AX906" s="18" t="s">
        <v>98</v>
      </c>
      <c r="AY906" s="18" t="s">
        <v>515</v>
      </c>
      <c r="AZ906">
        <v>1</v>
      </c>
      <c r="BA906">
        <v>0</v>
      </c>
      <c r="BB906">
        <v>0</v>
      </c>
      <c r="BC906">
        <v>0</v>
      </c>
      <c r="BD906">
        <v>0</v>
      </c>
      <c r="BE906">
        <v>0</v>
      </c>
      <c r="BF906" s="18">
        <v>0</v>
      </c>
      <c r="BG906">
        <v>1</v>
      </c>
      <c r="BH906">
        <v>0</v>
      </c>
      <c r="BI906" s="18">
        <v>0</v>
      </c>
      <c r="BJ906">
        <v>16471</v>
      </c>
      <c r="BK906">
        <v>1190</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3951</v>
      </c>
      <c r="D907" s="12">
        <v>4.1890000000000001</v>
      </c>
      <c r="E907" s="14">
        <v>0.44290000000000002</v>
      </c>
      <c r="F907" s="7">
        <f t="shared" si="217"/>
        <v>9.4581169564235719</v>
      </c>
      <c r="G907" s="7">
        <f t="shared" si="219"/>
        <v>3.7461000000000002</v>
      </c>
      <c r="H907" s="16">
        <f t="shared" si="220"/>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1"/>
        <v>944</v>
      </c>
      <c r="V907" s="9">
        <f t="shared" si="222"/>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18"/>
        <v>0.51</v>
      </c>
      <c r="AS907">
        <v>0.72</v>
      </c>
      <c r="AT907" s="40">
        <v>0.28000000000000003</v>
      </c>
      <c r="AU907">
        <v>1</v>
      </c>
      <c r="AV907" s="18">
        <v>0</v>
      </c>
      <c r="AW907" t="s">
        <v>98</v>
      </c>
      <c r="AX907" s="18" t="s">
        <v>98</v>
      </c>
      <c r="AY907" s="18" t="s">
        <v>515</v>
      </c>
      <c r="AZ907">
        <v>1</v>
      </c>
      <c r="BA907">
        <v>0</v>
      </c>
      <c r="BB907">
        <v>0</v>
      </c>
      <c r="BC907">
        <v>0</v>
      </c>
      <c r="BD907">
        <v>0</v>
      </c>
      <c r="BE907">
        <v>0</v>
      </c>
      <c r="BF907" s="18">
        <v>0</v>
      </c>
      <c r="BG907">
        <v>1</v>
      </c>
      <c r="BH907">
        <v>0</v>
      </c>
      <c r="BI907" s="18">
        <v>0</v>
      </c>
      <c r="BJ907">
        <v>20349</v>
      </c>
      <c r="BK907">
        <v>1351</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3951</v>
      </c>
      <c r="D908" s="12">
        <v>4.0449999999999999</v>
      </c>
      <c r="E908" s="14">
        <v>0.59989999999999999</v>
      </c>
      <c r="F908" s="7">
        <f t="shared" si="217"/>
        <v>6.7427904650775128</v>
      </c>
      <c r="G908" s="7">
        <f t="shared" si="219"/>
        <v>3.4451000000000001</v>
      </c>
      <c r="H908" s="16">
        <f t="shared" si="220"/>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1"/>
        <v>645</v>
      </c>
      <c r="V908" s="9">
        <f t="shared" si="22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18"/>
        <v>0.47</v>
      </c>
      <c r="AS908">
        <v>0.72</v>
      </c>
      <c r="AT908" s="40">
        <v>0.28000000000000003</v>
      </c>
      <c r="AU908">
        <v>1</v>
      </c>
      <c r="AV908" s="18">
        <v>0</v>
      </c>
      <c r="AW908" t="s">
        <v>98</v>
      </c>
      <c r="AX908" s="18" t="s">
        <v>98</v>
      </c>
      <c r="AY908" s="18" t="s">
        <v>515</v>
      </c>
      <c r="AZ908">
        <v>1</v>
      </c>
      <c r="BA908">
        <v>0</v>
      </c>
      <c r="BB908">
        <v>0</v>
      </c>
      <c r="BC908">
        <v>0</v>
      </c>
      <c r="BD908">
        <v>0</v>
      </c>
      <c r="BE908">
        <v>0</v>
      </c>
      <c r="BF908" s="18">
        <v>0</v>
      </c>
      <c r="BG908">
        <v>1</v>
      </c>
      <c r="BH908">
        <v>0</v>
      </c>
      <c r="BI908" s="18">
        <v>0</v>
      </c>
      <c r="BJ908">
        <v>23733</v>
      </c>
      <c r="BK908">
        <v>1419</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3951</v>
      </c>
      <c r="D909" s="12">
        <v>4.8689999999999998</v>
      </c>
      <c r="E909" s="14">
        <v>0.22600000000000001</v>
      </c>
      <c r="F909" s="7">
        <f t="shared" ref="F909:F917" si="226">D909/E909</f>
        <v>21.544247787610619</v>
      </c>
      <c r="G909" s="7">
        <f t="shared" si="219"/>
        <v>4.6429999999999998</v>
      </c>
      <c r="H909" s="16">
        <f t="shared" si="220"/>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1"/>
        <v>2515</v>
      </c>
      <c r="V909" s="9">
        <f t="shared" si="22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18"/>
        <v>0.5</v>
      </c>
      <c r="AS909">
        <v>0.72</v>
      </c>
      <c r="AT909" s="40">
        <v>0.28000000000000003</v>
      </c>
      <c r="AU909">
        <v>1</v>
      </c>
      <c r="AV909" s="18">
        <v>0</v>
      </c>
      <c r="AW909" t="s">
        <v>98</v>
      </c>
      <c r="AX909" s="18" t="s">
        <v>98</v>
      </c>
      <c r="AY909" s="18" t="s">
        <v>515</v>
      </c>
      <c r="AZ909">
        <v>1</v>
      </c>
      <c r="BA909">
        <v>0</v>
      </c>
      <c r="BB909">
        <v>0</v>
      </c>
      <c r="BC909">
        <v>0</v>
      </c>
      <c r="BD909">
        <v>0</v>
      </c>
      <c r="BE909">
        <v>0</v>
      </c>
      <c r="BF909" s="18">
        <v>0</v>
      </c>
      <c r="BG909">
        <v>1</v>
      </c>
      <c r="BH909">
        <v>0</v>
      </c>
      <c r="BI909" s="18">
        <v>0</v>
      </c>
      <c r="BJ909">
        <v>20841</v>
      </c>
      <c r="BK909">
        <v>1400</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3951</v>
      </c>
      <c r="D910" s="12">
        <v>2.4340000000000002</v>
      </c>
      <c r="E910" s="14">
        <v>0.91990000000000005</v>
      </c>
      <c r="F910" s="7">
        <f t="shared" si="226"/>
        <v>2.6459397760626153</v>
      </c>
      <c r="G910" s="7">
        <f t="shared" si="219"/>
        <v>1.5141</v>
      </c>
      <c r="H910" s="16">
        <f t="shared" si="220"/>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1"/>
        <v>424</v>
      </c>
      <c r="V910" s="9">
        <f t="shared" si="22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18"/>
        <v>1</v>
      </c>
      <c r="AS910">
        <v>0.72</v>
      </c>
      <c r="AT910" s="40">
        <v>0.28000000000000003</v>
      </c>
      <c r="AU910">
        <v>1</v>
      </c>
      <c r="AV910" s="18">
        <v>0</v>
      </c>
      <c r="AW910" t="s">
        <v>98</v>
      </c>
      <c r="AX910" s="18" t="s">
        <v>98</v>
      </c>
      <c r="AY910" s="18" t="s">
        <v>515</v>
      </c>
      <c r="AZ910">
        <v>1</v>
      </c>
      <c r="BA910">
        <v>0</v>
      </c>
      <c r="BB910">
        <v>0</v>
      </c>
      <c r="BC910">
        <v>0</v>
      </c>
      <c r="BD910">
        <v>0</v>
      </c>
      <c r="BE910">
        <v>0</v>
      </c>
      <c r="BF910" s="18">
        <v>0</v>
      </c>
      <c r="BG910">
        <v>1</v>
      </c>
      <c r="BH910">
        <v>0</v>
      </c>
      <c r="BI910" s="18">
        <v>0</v>
      </c>
      <c r="BJ910">
        <v>16471</v>
      </c>
      <c r="BK910">
        <v>1190</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3951</v>
      </c>
      <c r="D911" s="12">
        <v>1.5780000000000001</v>
      </c>
      <c r="E911" s="14">
        <v>0.74250000000000005</v>
      </c>
      <c r="F911" s="7">
        <f t="shared" si="226"/>
        <v>2.1252525252525252</v>
      </c>
      <c r="G911" s="7">
        <f t="shared" si="219"/>
        <v>0.83550000000000002</v>
      </c>
      <c r="H911" s="16">
        <f t="shared" si="220"/>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1"/>
        <v>462</v>
      </c>
      <c r="V911" s="9">
        <f t="shared" si="22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18"/>
        <v>1</v>
      </c>
      <c r="AS911">
        <v>0.72</v>
      </c>
      <c r="AT911" s="40">
        <v>0.28000000000000003</v>
      </c>
      <c r="AU911">
        <v>1</v>
      </c>
      <c r="AV911" s="18">
        <v>0</v>
      </c>
      <c r="AW911" t="s">
        <v>98</v>
      </c>
      <c r="AX911" s="18" t="s">
        <v>98</v>
      </c>
      <c r="AY911" s="18" t="s">
        <v>515</v>
      </c>
      <c r="AZ911">
        <v>1</v>
      </c>
      <c r="BA911">
        <v>0</v>
      </c>
      <c r="BB911">
        <v>0</v>
      </c>
      <c r="BC911">
        <v>0</v>
      </c>
      <c r="BD911">
        <v>0</v>
      </c>
      <c r="BE911">
        <v>0</v>
      </c>
      <c r="BF911" s="18">
        <v>0</v>
      </c>
      <c r="BG911">
        <v>1</v>
      </c>
      <c r="BH911">
        <v>0</v>
      </c>
      <c r="BI911" s="18">
        <v>0</v>
      </c>
      <c r="BJ911">
        <v>20349</v>
      </c>
      <c r="BK911">
        <v>1351</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3951</v>
      </c>
      <c r="D912" s="12">
        <v>1.8879999999999999</v>
      </c>
      <c r="E912" s="14">
        <v>1.0250999999999999</v>
      </c>
      <c r="F912" s="7">
        <f t="shared" si="226"/>
        <v>1.8417715344844405</v>
      </c>
      <c r="G912" s="7">
        <f t="shared" si="219"/>
        <v>0.8629</v>
      </c>
      <c r="H912" s="16">
        <f t="shared" si="220"/>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1"/>
        <v>359</v>
      </c>
      <c r="V912" s="9">
        <f t="shared" si="22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18"/>
        <v>1</v>
      </c>
      <c r="AS912">
        <v>0.72</v>
      </c>
      <c r="AT912" s="40">
        <v>0.28000000000000003</v>
      </c>
      <c r="AU912">
        <v>1</v>
      </c>
      <c r="AV912" s="18">
        <v>0</v>
      </c>
      <c r="AW912" t="s">
        <v>98</v>
      </c>
      <c r="AX912" s="18" t="s">
        <v>98</v>
      </c>
      <c r="AY912" s="18" t="s">
        <v>515</v>
      </c>
      <c r="AZ912">
        <v>1</v>
      </c>
      <c r="BA912">
        <v>0</v>
      </c>
      <c r="BB912">
        <v>0</v>
      </c>
      <c r="BC912">
        <v>0</v>
      </c>
      <c r="BD912">
        <v>0</v>
      </c>
      <c r="BE912">
        <v>0</v>
      </c>
      <c r="BF912" s="18">
        <v>0</v>
      </c>
      <c r="BG912">
        <v>1</v>
      </c>
      <c r="BH912">
        <v>0</v>
      </c>
      <c r="BI912" s="18">
        <v>0</v>
      </c>
      <c r="BJ912">
        <v>23733</v>
      </c>
      <c r="BK912">
        <v>1419</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3951</v>
      </c>
      <c r="D913" s="12">
        <v>3.4140000000000001</v>
      </c>
      <c r="E913" s="14">
        <v>0.57210000000000005</v>
      </c>
      <c r="F913" s="7">
        <f t="shared" si="226"/>
        <v>5.9674882013633974</v>
      </c>
      <c r="G913" s="7">
        <f t="shared" si="219"/>
        <v>2.8418999999999999</v>
      </c>
      <c r="H913" s="16">
        <f t="shared" si="220"/>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1"/>
        <v>1249</v>
      </c>
      <c r="V913" s="9">
        <f t="shared" si="22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18"/>
        <v>1</v>
      </c>
      <c r="AS913">
        <v>0.72</v>
      </c>
      <c r="AT913" s="40">
        <v>0.28000000000000003</v>
      </c>
      <c r="AU913">
        <v>1</v>
      </c>
      <c r="AV913" s="18">
        <v>0</v>
      </c>
      <c r="AW913" t="s">
        <v>98</v>
      </c>
      <c r="AX913" s="18" t="s">
        <v>98</v>
      </c>
      <c r="AY913" s="18" t="s">
        <v>515</v>
      </c>
      <c r="AZ913">
        <v>1</v>
      </c>
      <c r="BA913">
        <v>0</v>
      </c>
      <c r="BB913">
        <v>0</v>
      </c>
      <c r="BC913">
        <v>0</v>
      </c>
      <c r="BD913">
        <v>0</v>
      </c>
      <c r="BE913">
        <v>0</v>
      </c>
      <c r="BF913" s="18">
        <v>0</v>
      </c>
      <c r="BG913">
        <v>1</v>
      </c>
      <c r="BH913">
        <v>0</v>
      </c>
      <c r="BI913" s="18">
        <v>0</v>
      </c>
      <c r="BJ913">
        <v>20841</v>
      </c>
      <c r="BK913">
        <v>1400</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3951</v>
      </c>
      <c r="D914" s="12">
        <v>3.411</v>
      </c>
      <c r="E914" s="14">
        <v>0.93610000000000004</v>
      </c>
      <c r="F914" s="7">
        <f t="shared" si="226"/>
        <v>3.6438414699284265</v>
      </c>
      <c r="G914" s="7">
        <f t="shared" si="219"/>
        <v>2.4748999999999999</v>
      </c>
      <c r="H914" s="16">
        <f t="shared" si="220"/>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1"/>
        <v>431</v>
      </c>
      <c r="V914" s="9">
        <f t="shared" si="22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18"/>
        <v>0</v>
      </c>
      <c r="AS914">
        <v>0.72</v>
      </c>
      <c r="AT914" s="40">
        <v>0.28000000000000003</v>
      </c>
      <c r="AU914">
        <v>1</v>
      </c>
      <c r="AV914" s="18">
        <v>0</v>
      </c>
      <c r="AW914" t="s">
        <v>98</v>
      </c>
      <c r="AX914" s="18" t="s">
        <v>98</v>
      </c>
      <c r="AY914" s="18" t="s">
        <v>515</v>
      </c>
      <c r="AZ914">
        <v>1</v>
      </c>
      <c r="BA914">
        <v>0</v>
      </c>
      <c r="BB914">
        <v>0</v>
      </c>
      <c r="BC914">
        <v>0</v>
      </c>
      <c r="BD914">
        <v>0</v>
      </c>
      <c r="BE914">
        <v>0</v>
      </c>
      <c r="BF914" s="18">
        <v>0</v>
      </c>
      <c r="BG914">
        <v>1</v>
      </c>
      <c r="BH914">
        <v>0</v>
      </c>
      <c r="BI914" s="18">
        <v>0</v>
      </c>
      <c r="BJ914">
        <v>16471</v>
      </c>
      <c r="BK914">
        <v>1190</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3951</v>
      </c>
      <c r="D915" s="12">
        <v>2.8820000000000001</v>
      </c>
      <c r="E915" s="14">
        <v>0.874</v>
      </c>
      <c r="F915" s="7">
        <f t="shared" si="226"/>
        <v>3.2974828375286043</v>
      </c>
      <c r="G915" s="7">
        <f t="shared" si="219"/>
        <v>2.008</v>
      </c>
      <c r="H915" s="16">
        <f t="shared" si="220"/>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1"/>
        <v>476</v>
      </c>
      <c r="V915" s="9">
        <f t="shared" si="22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18"/>
        <v>0</v>
      </c>
      <c r="AS915">
        <v>0.72</v>
      </c>
      <c r="AT915" s="40">
        <v>0.28000000000000003</v>
      </c>
      <c r="AU915">
        <v>1</v>
      </c>
      <c r="AV915" s="18">
        <v>0</v>
      </c>
      <c r="AW915" t="s">
        <v>98</v>
      </c>
      <c r="AX915" s="18" t="s">
        <v>98</v>
      </c>
      <c r="AY915" s="18" t="s">
        <v>515</v>
      </c>
      <c r="AZ915">
        <v>1</v>
      </c>
      <c r="BA915">
        <v>0</v>
      </c>
      <c r="BB915">
        <v>0</v>
      </c>
      <c r="BC915">
        <v>0</v>
      </c>
      <c r="BD915">
        <v>0</v>
      </c>
      <c r="BE915">
        <v>0</v>
      </c>
      <c r="BF915" s="18">
        <v>0</v>
      </c>
      <c r="BG915">
        <v>1</v>
      </c>
      <c r="BH915">
        <v>0</v>
      </c>
      <c r="BI915" s="18">
        <v>0</v>
      </c>
      <c r="BJ915">
        <v>20349</v>
      </c>
      <c r="BK915">
        <v>1351</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3951</v>
      </c>
      <c r="D916" s="12">
        <v>1.294</v>
      </c>
      <c r="E916" s="14">
        <v>1.0887</v>
      </c>
      <c r="F916" s="7">
        <f t="shared" si="226"/>
        <v>1.1885735280609901</v>
      </c>
      <c r="G916" s="7">
        <f t="shared" si="219"/>
        <v>0.20530000000000004</v>
      </c>
      <c r="H916" s="16">
        <f t="shared" si="220"/>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1"/>
        <v>320</v>
      </c>
      <c r="V916" s="9">
        <f t="shared" si="22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18"/>
        <v>0</v>
      </c>
      <c r="AS916">
        <v>0.72</v>
      </c>
      <c r="AT916" s="40">
        <v>0.28000000000000003</v>
      </c>
      <c r="AU916">
        <v>1</v>
      </c>
      <c r="AV916" s="18">
        <v>0</v>
      </c>
      <c r="AW916" t="s">
        <v>98</v>
      </c>
      <c r="AX916" s="18" t="s">
        <v>98</v>
      </c>
      <c r="AY916" s="18" t="s">
        <v>515</v>
      </c>
      <c r="AZ916">
        <v>1</v>
      </c>
      <c r="BA916">
        <v>0</v>
      </c>
      <c r="BB916">
        <v>0</v>
      </c>
      <c r="BC916">
        <v>0</v>
      </c>
      <c r="BD916">
        <v>0</v>
      </c>
      <c r="BE916">
        <v>0</v>
      </c>
      <c r="BF916" s="18">
        <v>0</v>
      </c>
      <c r="BG916">
        <v>1</v>
      </c>
      <c r="BH916">
        <v>0</v>
      </c>
      <c r="BI916" s="18">
        <v>0</v>
      </c>
      <c r="BJ916">
        <v>23733</v>
      </c>
      <c r="BK916">
        <v>1419</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3951</v>
      </c>
      <c r="D917" s="12">
        <v>3.5739999999999998</v>
      </c>
      <c r="E917" s="14">
        <v>0.59570000000000001</v>
      </c>
      <c r="F917" s="7">
        <f t="shared" si="226"/>
        <v>5.9996642605338257</v>
      </c>
      <c r="G917" s="7">
        <f t="shared" si="219"/>
        <v>2.9782999999999999</v>
      </c>
      <c r="H917" s="16">
        <f t="shared" si="220"/>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1"/>
        <v>1231</v>
      </c>
      <c r="V917" s="9">
        <f t="shared" si="22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18"/>
        <v>0</v>
      </c>
      <c r="AS917">
        <v>0.72</v>
      </c>
      <c r="AT917" s="40">
        <v>0.28000000000000003</v>
      </c>
      <c r="AU917">
        <v>1</v>
      </c>
      <c r="AV917" s="18">
        <v>0</v>
      </c>
      <c r="AW917" t="s">
        <v>98</v>
      </c>
      <c r="AX917" s="18" t="s">
        <v>98</v>
      </c>
      <c r="AY917" s="18" t="s">
        <v>515</v>
      </c>
      <c r="AZ917">
        <v>1</v>
      </c>
      <c r="BA917">
        <v>0</v>
      </c>
      <c r="BB917">
        <v>0</v>
      </c>
      <c r="BC917">
        <v>0</v>
      </c>
      <c r="BD917">
        <v>0</v>
      </c>
      <c r="BE917">
        <v>0</v>
      </c>
      <c r="BF917" s="18">
        <v>0</v>
      </c>
      <c r="BG917">
        <v>1</v>
      </c>
      <c r="BH917">
        <v>0</v>
      </c>
      <c r="BI917" s="18">
        <v>0</v>
      </c>
      <c r="BJ917">
        <v>20841</v>
      </c>
      <c r="BK917">
        <v>1400</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3961</v>
      </c>
      <c r="D918" s="12">
        <v>8.06</v>
      </c>
      <c r="E918" s="14">
        <f t="shared" ref="E918:E937" si="227">D918/F918</f>
        <v>0.51070840197693579</v>
      </c>
      <c r="F918" s="7">
        <v>15.782</v>
      </c>
      <c r="G918" s="7">
        <f t="shared" si="219"/>
        <v>7.549291598023065</v>
      </c>
      <c r="H918" s="16">
        <f t="shared" si="220"/>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1"/>
        <v>1642</v>
      </c>
      <c r="V918" s="9">
        <f t="shared" si="222"/>
        <v>8</v>
      </c>
      <c r="W918" s="7">
        <v>11.5358</v>
      </c>
      <c r="X918" s="7">
        <f t="shared" ref="X918:X925" si="228">BL918-W918-6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29">(1-$AM918-$AN918)/2</f>
        <v>2.4850000000000011E-2</v>
      </c>
      <c r="AL918" s="33">
        <f t="shared" si="229"/>
        <v>2.4850000000000011E-2</v>
      </c>
      <c r="AM918" s="43">
        <v>0.68359999999999999</v>
      </c>
      <c r="AN918" s="43">
        <v>0.26669999999999999</v>
      </c>
      <c r="AO918" s="42">
        <v>1</v>
      </c>
      <c r="AP918" s="18">
        <v>0</v>
      </c>
      <c r="AQ918">
        <v>1</v>
      </c>
      <c r="AR918" s="40">
        <f t="shared" si="218"/>
        <v>0</v>
      </c>
      <c r="AS918" t="s">
        <v>98</v>
      </c>
      <c r="AT918" s="40" t="s">
        <v>98</v>
      </c>
      <c r="AU918">
        <v>0</v>
      </c>
      <c r="AV918" s="18">
        <v>1</v>
      </c>
      <c r="AW918">
        <v>0</v>
      </c>
      <c r="AX918" s="18">
        <v>1</v>
      </c>
      <c r="AY918" s="18" t="s">
        <v>5</v>
      </c>
      <c r="AZ918">
        <v>0</v>
      </c>
      <c r="BA918">
        <v>1</v>
      </c>
      <c r="BB918">
        <v>0</v>
      </c>
      <c r="BC918">
        <v>0</v>
      </c>
      <c r="BD918">
        <v>0</v>
      </c>
      <c r="BE918">
        <v>0</v>
      </c>
      <c r="BF918" s="18">
        <v>0</v>
      </c>
      <c r="BG918">
        <v>0</v>
      </c>
      <c r="BH918">
        <v>1</v>
      </c>
      <c r="BI918" s="18">
        <v>0</v>
      </c>
      <c r="BJ918">
        <v>1178</v>
      </c>
      <c r="BK918">
        <v>148</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3961</v>
      </c>
      <c r="D919" s="12">
        <v>7.67</v>
      </c>
      <c r="E919" s="14">
        <f t="shared" si="227"/>
        <v>0.68129935423125099</v>
      </c>
      <c r="F919" s="7">
        <v>11.257899999999999</v>
      </c>
      <c r="G919" s="7">
        <f t="shared" si="219"/>
        <v>6.9887006457687493</v>
      </c>
      <c r="H919" s="16">
        <f t="shared" si="220"/>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1"/>
        <v>1147</v>
      </c>
      <c r="V919" s="9">
        <f t="shared" si="222"/>
        <v>8</v>
      </c>
      <c r="W919" s="7">
        <v>12.167999999999999</v>
      </c>
      <c r="X919" s="7">
        <f t="shared" si="228"/>
        <v>19.716000000000001</v>
      </c>
      <c r="Y919" s="9">
        <v>1</v>
      </c>
      <c r="Z919" s="9">
        <v>0</v>
      </c>
      <c r="AA919" s="9">
        <v>1</v>
      </c>
      <c r="AB919" s="9">
        <v>0</v>
      </c>
      <c r="AC919" s="9">
        <v>0</v>
      </c>
      <c r="AD919" s="9">
        <v>0</v>
      </c>
      <c r="AE919" s="8">
        <v>1</v>
      </c>
      <c r="AF919" s="9">
        <v>0</v>
      </c>
      <c r="AG919" s="30">
        <v>0</v>
      </c>
      <c r="AH919" s="9">
        <v>1</v>
      </c>
      <c r="AI919" s="30">
        <v>0</v>
      </c>
      <c r="AJ919" s="21">
        <v>2005</v>
      </c>
      <c r="AK919" s="33">
        <f t="shared" si="229"/>
        <v>2.4600000000000011E-2</v>
      </c>
      <c r="AL919" s="33">
        <f t="shared" si="229"/>
        <v>2.4600000000000011E-2</v>
      </c>
      <c r="AM919" s="33">
        <v>0.60699999999999998</v>
      </c>
      <c r="AN919" s="43">
        <v>0.34379999999999999</v>
      </c>
      <c r="AO919" s="42">
        <v>1</v>
      </c>
      <c r="AP919" s="18">
        <v>0</v>
      </c>
      <c r="AQ919">
        <v>0</v>
      </c>
      <c r="AR919" s="40">
        <f t="shared" si="218"/>
        <v>1</v>
      </c>
      <c r="AS919" t="s">
        <v>98</v>
      </c>
      <c r="AT919" s="40" t="s">
        <v>98</v>
      </c>
      <c r="AU919">
        <v>0</v>
      </c>
      <c r="AV919" s="18">
        <v>1</v>
      </c>
      <c r="AW919">
        <v>0</v>
      </c>
      <c r="AX919" s="18">
        <v>1</v>
      </c>
      <c r="AY919" s="18" t="s">
        <v>5</v>
      </c>
      <c r="AZ919">
        <v>0</v>
      </c>
      <c r="BA919">
        <v>1</v>
      </c>
      <c r="BB919">
        <v>0</v>
      </c>
      <c r="BC919">
        <v>0</v>
      </c>
      <c r="BD919">
        <v>0</v>
      </c>
      <c r="BE919">
        <v>0</v>
      </c>
      <c r="BF919" s="18">
        <v>0</v>
      </c>
      <c r="BG919">
        <v>0</v>
      </c>
      <c r="BH919">
        <v>1</v>
      </c>
      <c r="BI919" s="18">
        <v>0</v>
      </c>
      <c r="BJ919">
        <v>1178</v>
      </c>
      <c r="BK919">
        <v>148</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3961</v>
      </c>
      <c r="D920" s="12">
        <v>8.02</v>
      </c>
      <c r="E920" s="14">
        <f t="shared" si="227"/>
        <v>0.53368823822991185</v>
      </c>
      <c r="F920" s="7">
        <v>15.0275</v>
      </c>
      <c r="G920" s="7">
        <f t="shared" si="219"/>
        <v>7.4863117617700876</v>
      </c>
      <c r="H920" s="16">
        <f t="shared" si="220"/>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1"/>
        <v>1442</v>
      </c>
      <c r="V920" s="9">
        <f t="shared" si="222"/>
        <v>8</v>
      </c>
      <c r="W920" s="7">
        <v>11.4421</v>
      </c>
      <c r="X920" s="7">
        <f t="shared" si="228"/>
        <v>26.0227</v>
      </c>
      <c r="Y920" s="9">
        <v>1</v>
      </c>
      <c r="Z920" s="9">
        <v>0</v>
      </c>
      <c r="AA920" s="9">
        <v>1</v>
      </c>
      <c r="AB920" s="9">
        <v>0</v>
      </c>
      <c r="AC920" s="9">
        <v>0</v>
      </c>
      <c r="AD920" s="9">
        <v>0</v>
      </c>
      <c r="AE920" s="8">
        <v>1</v>
      </c>
      <c r="AF920" s="9">
        <v>0</v>
      </c>
      <c r="AG920" s="30">
        <v>0</v>
      </c>
      <c r="AH920" s="9">
        <v>1</v>
      </c>
      <c r="AI920" s="30">
        <v>0</v>
      </c>
      <c r="AJ920" s="21">
        <v>2005</v>
      </c>
      <c r="AK920" s="33">
        <f t="shared" si="229"/>
        <v>2.4850000000000011E-2</v>
      </c>
      <c r="AL920" s="33">
        <f t="shared" si="229"/>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v>0</v>
      </c>
      <c r="BF920" s="18">
        <v>0</v>
      </c>
      <c r="BG920">
        <v>0</v>
      </c>
      <c r="BH920">
        <v>1</v>
      </c>
      <c r="BI920" s="18">
        <v>0</v>
      </c>
      <c r="BJ920">
        <v>1178</v>
      </c>
      <c r="BK920">
        <v>148</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3961</v>
      </c>
      <c r="D921" s="12">
        <v>12.61</v>
      </c>
      <c r="E921" s="14">
        <f t="shared" si="227"/>
        <v>1.0845912355395002</v>
      </c>
      <c r="F921" s="7">
        <v>11.6265</v>
      </c>
      <c r="G921" s="7">
        <f t="shared" si="219"/>
        <v>11.525408764460499</v>
      </c>
      <c r="H921" s="16">
        <f t="shared" si="220"/>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1"/>
        <v>1442</v>
      </c>
      <c r="V921" s="9">
        <f t="shared" si="222"/>
        <v>8</v>
      </c>
      <c r="W921" s="7">
        <v>11.4421</v>
      </c>
      <c r="X921" s="7">
        <f t="shared" si="228"/>
        <v>26.0227</v>
      </c>
      <c r="Y921" s="9">
        <v>1</v>
      </c>
      <c r="Z921" s="9">
        <v>0</v>
      </c>
      <c r="AA921" s="9">
        <v>1</v>
      </c>
      <c r="AB921" s="9">
        <v>0</v>
      </c>
      <c r="AC921" s="9">
        <v>0</v>
      </c>
      <c r="AD921" s="9">
        <v>0</v>
      </c>
      <c r="AE921" s="8">
        <v>1</v>
      </c>
      <c r="AF921" s="9">
        <v>0</v>
      </c>
      <c r="AG921" s="30">
        <v>0</v>
      </c>
      <c r="AH921" s="9">
        <v>1</v>
      </c>
      <c r="AI921" s="30">
        <v>0</v>
      </c>
      <c r="AJ921" s="21">
        <v>2005</v>
      </c>
      <c r="AK921" s="33">
        <f t="shared" si="229"/>
        <v>2.4850000000000011E-2</v>
      </c>
      <c r="AL921" s="33">
        <f t="shared" si="229"/>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v>0</v>
      </c>
      <c r="BF921" s="18">
        <v>0</v>
      </c>
      <c r="BG921">
        <v>0</v>
      </c>
      <c r="BH921">
        <v>1</v>
      </c>
      <c r="BI921" s="18">
        <v>0</v>
      </c>
      <c r="BJ921">
        <v>1178</v>
      </c>
      <c r="BK921">
        <v>148</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3961</v>
      </c>
      <c r="D922" s="12">
        <v>7.89</v>
      </c>
      <c r="E922" s="14">
        <f t="shared" si="227"/>
        <v>0.7504708277055947</v>
      </c>
      <c r="F922" s="7">
        <v>10.513400000000001</v>
      </c>
      <c r="G922" s="7">
        <f t="shared" si="219"/>
        <v>7.139529172294405</v>
      </c>
      <c r="H922" s="16">
        <f t="shared" si="220"/>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1"/>
        <v>1007</v>
      </c>
      <c r="V922" s="9">
        <f t="shared" si="222"/>
        <v>8</v>
      </c>
      <c r="W922" s="7">
        <v>12.0837</v>
      </c>
      <c r="X922" s="7">
        <f t="shared" si="228"/>
        <v>21.452300000000001</v>
      </c>
      <c r="Y922" s="9">
        <v>1</v>
      </c>
      <c r="Z922" s="9">
        <v>0</v>
      </c>
      <c r="AA922" s="9">
        <v>1</v>
      </c>
      <c r="AB922" s="9">
        <v>0</v>
      </c>
      <c r="AC922" s="9">
        <v>0</v>
      </c>
      <c r="AD922" s="9">
        <v>0</v>
      </c>
      <c r="AE922" s="8">
        <v>1</v>
      </c>
      <c r="AF922" s="9">
        <v>0</v>
      </c>
      <c r="AG922" s="30">
        <v>0</v>
      </c>
      <c r="AH922" s="9">
        <v>1</v>
      </c>
      <c r="AI922" s="30">
        <v>0</v>
      </c>
      <c r="AJ922" s="21">
        <v>2005</v>
      </c>
      <c r="AK922" s="33">
        <f t="shared" si="229"/>
        <v>2.4600000000000011E-2</v>
      </c>
      <c r="AL922" s="33">
        <f t="shared" si="229"/>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v>0</v>
      </c>
      <c r="BF922" s="18">
        <v>0</v>
      </c>
      <c r="BG922">
        <v>0</v>
      </c>
      <c r="BH922">
        <v>1</v>
      </c>
      <c r="BI922" s="18">
        <v>0</v>
      </c>
      <c r="BJ922">
        <v>1178</v>
      </c>
      <c r="BK922">
        <v>148</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3961</v>
      </c>
      <c r="D923" s="12">
        <v>14.47</v>
      </c>
      <c r="E923" s="14">
        <f t="shared" si="227"/>
        <v>1.7882742597261359</v>
      </c>
      <c r="F923" s="7">
        <v>8.0915999999999997</v>
      </c>
      <c r="G923" s="7">
        <f t="shared" si="219"/>
        <v>12.681725740273865</v>
      </c>
      <c r="H923" s="16">
        <f t="shared" si="220"/>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1"/>
        <v>1007</v>
      </c>
      <c r="V923" s="9">
        <f t="shared" si="222"/>
        <v>8</v>
      </c>
      <c r="W923" s="7">
        <v>12.0837</v>
      </c>
      <c r="X923" s="7">
        <f t="shared" si="228"/>
        <v>21.452300000000001</v>
      </c>
      <c r="Y923" s="9">
        <v>1</v>
      </c>
      <c r="Z923" s="9">
        <v>0</v>
      </c>
      <c r="AA923" s="9">
        <v>1</v>
      </c>
      <c r="AB923" s="9">
        <v>0</v>
      </c>
      <c r="AC923" s="9">
        <v>0</v>
      </c>
      <c r="AD923" s="9">
        <v>0</v>
      </c>
      <c r="AE923" s="8">
        <v>1</v>
      </c>
      <c r="AF923" s="9">
        <v>0</v>
      </c>
      <c r="AG923" s="30">
        <v>0</v>
      </c>
      <c r="AH923" s="9">
        <v>1</v>
      </c>
      <c r="AI923" s="30">
        <v>0</v>
      </c>
      <c r="AJ923" s="21">
        <v>2005</v>
      </c>
      <c r="AK923" s="33">
        <f t="shared" si="229"/>
        <v>2.4600000000000011E-2</v>
      </c>
      <c r="AL923" s="33">
        <f t="shared" si="229"/>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v>0</v>
      </c>
      <c r="BF923" s="18">
        <v>0</v>
      </c>
      <c r="BG923">
        <v>0</v>
      </c>
      <c r="BH923">
        <v>1</v>
      </c>
      <c r="BI923" s="18">
        <v>0</v>
      </c>
      <c r="BJ923">
        <v>1178</v>
      </c>
      <c r="BK923">
        <v>148</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3961</v>
      </c>
      <c r="D924" s="12">
        <v>7.89</v>
      </c>
      <c r="E924" s="14">
        <f t="shared" si="227"/>
        <v>0.7504708277055947</v>
      </c>
      <c r="F924" s="7">
        <v>10.513400000000001</v>
      </c>
      <c r="G924" s="7">
        <f t="shared" si="219"/>
        <v>7.139529172294405</v>
      </c>
      <c r="H924" s="16">
        <f t="shared" si="220"/>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1"/>
        <v>1007</v>
      </c>
      <c r="V924" s="9">
        <f t="shared" si="222"/>
        <v>8</v>
      </c>
      <c r="W924" s="7">
        <v>12.0837</v>
      </c>
      <c r="X924" s="7">
        <f t="shared" si="228"/>
        <v>21.452300000000001</v>
      </c>
      <c r="Y924" s="9">
        <v>1</v>
      </c>
      <c r="Z924" s="9">
        <v>0</v>
      </c>
      <c r="AA924" s="9">
        <v>1</v>
      </c>
      <c r="AB924" s="9">
        <v>0</v>
      </c>
      <c r="AC924" s="9">
        <v>0</v>
      </c>
      <c r="AD924" s="9">
        <v>0</v>
      </c>
      <c r="AE924" s="8">
        <v>1</v>
      </c>
      <c r="AF924" s="9">
        <v>0</v>
      </c>
      <c r="AG924" s="30">
        <v>0</v>
      </c>
      <c r="AH924" s="9">
        <v>1</v>
      </c>
      <c r="AI924" s="30">
        <v>0</v>
      </c>
      <c r="AJ924" s="21">
        <v>2005</v>
      </c>
      <c r="AK924" s="33">
        <f t="shared" si="229"/>
        <v>2.4600000000000011E-2</v>
      </c>
      <c r="AL924" s="33">
        <f t="shared" si="229"/>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v>0</v>
      </c>
      <c r="BF924" s="18">
        <v>0</v>
      </c>
      <c r="BG924">
        <v>0</v>
      </c>
      <c r="BH924">
        <v>1</v>
      </c>
      <c r="BI924" s="18">
        <v>0</v>
      </c>
      <c r="BJ924">
        <v>1178</v>
      </c>
      <c r="BK924">
        <v>148</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3961</v>
      </c>
      <c r="D925" s="12">
        <v>21.5</v>
      </c>
      <c r="E925" s="14">
        <f t="shared" si="227"/>
        <v>4.4340867843590166</v>
      </c>
      <c r="F925" s="7">
        <v>4.8487999999999998</v>
      </c>
      <c r="G925" s="7">
        <f t="shared" si="219"/>
        <v>17.065913215640983</v>
      </c>
      <c r="H925" s="16">
        <f t="shared" si="220"/>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1"/>
        <v>1007</v>
      </c>
      <c r="V925" s="9">
        <f t="shared" si="222"/>
        <v>8</v>
      </c>
      <c r="W925" s="7">
        <v>12.0837</v>
      </c>
      <c r="X925" s="7">
        <f t="shared" si="228"/>
        <v>21.452300000000001</v>
      </c>
      <c r="Y925" s="9">
        <v>1</v>
      </c>
      <c r="Z925" s="9">
        <v>0</v>
      </c>
      <c r="AA925" s="9">
        <v>1</v>
      </c>
      <c r="AB925" s="9">
        <v>0</v>
      </c>
      <c r="AC925" s="9">
        <v>0</v>
      </c>
      <c r="AD925" s="9">
        <v>0</v>
      </c>
      <c r="AE925" s="8">
        <v>1</v>
      </c>
      <c r="AF925" s="9">
        <v>0</v>
      </c>
      <c r="AG925" s="30">
        <v>0</v>
      </c>
      <c r="AH925" s="9">
        <v>1</v>
      </c>
      <c r="AI925" s="30">
        <v>0</v>
      </c>
      <c r="AJ925" s="21">
        <v>2005</v>
      </c>
      <c r="AK925" s="33">
        <f t="shared" si="229"/>
        <v>2.4600000000000011E-2</v>
      </c>
      <c r="AL925" s="33">
        <f t="shared" si="229"/>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v>0</v>
      </c>
      <c r="BF925" s="18">
        <v>0</v>
      </c>
      <c r="BG925">
        <v>0</v>
      </c>
      <c r="BH925">
        <v>1</v>
      </c>
      <c r="BI925" s="18">
        <v>0</v>
      </c>
      <c r="BJ925">
        <v>1178</v>
      </c>
      <c r="BK925">
        <v>148</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3962</v>
      </c>
      <c r="D926" s="12">
        <v>7.3</v>
      </c>
      <c r="E926" s="14">
        <f t="shared" si="227"/>
        <v>0.74940971152859048</v>
      </c>
      <c r="F926" s="7">
        <v>9.7409999999999997</v>
      </c>
      <c r="G926" s="7">
        <f t="shared" si="219"/>
        <v>6.5505902884714091</v>
      </c>
      <c r="H926" s="16">
        <f t="shared" si="220"/>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1"/>
        <v>673</v>
      </c>
      <c r="V926" s="9">
        <f t="shared" si="22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0">1-AK926-AL926-AN926</f>
        <v>0.64500000000000002</v>
      </c>
      <c r="AN926" s="43">
        <v>0.33300000000000002</v>
      </c>
      <c r="AO926" s="42">
        <v>1</v>
      </c>
      <c r="AP926" s="18">
        <v>0</v>
      </c>
      <c r="AQ926">
        <v>1</v>
      </c>
      <c r="AR926" s="40">
        <f t="shared" ref="AR926:AR969" si="231">1-AQ926</f>
        <v>0</v>
      </c>
      <c r="AS926" s="39">
        <f t="shared" ref="AS926:AS937" si="232">1-AT926</f>
        <v>0.59799999999999998</v>
      </c>
      <c r="AT926" s="40">
        <v>0.40200000000000002</v>
      </c>
      <c r="AU926">
        <v>0</v>
      </c>
      <c r="AV926" s="18">
        <v>1</v>
      </c>
      <c r="AW926">
        <v>0</v>
      </c>
      <c r="AX926" s="18">
        <v>1</v>
      </c>
      <c r="AY926" s="18" t="s">
        <v>5</v>
      </c>
      <c r="AZ926">
        <v>0</v>
      </c>
      <c r="BA926">
        <v>1</v>
      </c>
      <c r="BB926">
        <v>0</v>
      </c>
      <c r="BC926">
        <v>0</v>
      </c>
      <c r="BD926">
        <v>0</v>
      </c>
      <c r="BE926">
        <v>0</v>
      </c>
      <c r="BF926" s="18">
        <v>0</v>
      </c>
      <c r="BG926">
        <v>0</v>
      </c>
      <c r="BH926">
        <v>1</v>
      </c>
      <c r="BI926" s="18">
        <v>0</v>
      </c>
      <c r="BJ926">
        <v>1462</v>
      </c>
      <c r="BK926">
        <v>176</v>
      </c>
      <c r="BL926" s="93">
        <f t="shared" ref="BL926:BL937" si="233">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3962</v>
      </c>
      <c r="D927" s="12">
        <v>7.4</v>
      </c>
      <c r="E927" s="14">
        <f t="shared" si="227"/>
        <v>0.78748536767053312</v>
      </c>
      <c r="F927" s="7">
        <v>9.3970000000000002</v>
      </c>
      <c r="G927" s="7">
        <f t="shared" si="219"/>
        <v>6.612514632329467</v>
      </c>
      <c r="H927" s="16">
        <f t="shared" si="220"/>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1"/>
        <v>612</v>
      </c>
      <c r="V927" s="9">
        <f t="shared" si="22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0"/>
        <v>0.64500000000000002</v>
      </c>
      <c r="AN927" s="43">
        <v>0.33300000000000002</v>
      </c>
      <c r="AO927" s="42">
        <v>1</v>
      </c>
      <c r="AP927" s="18">
        <v>0</v>
      </c>
      <c r="AQ927">
        <v>0</v>
      </c>
      <c r="AR927" s="40">
        <f t="shared" si="231"/>
        <v>1</v>
      </c>
      <c r="AS927" s="39">
        <f t="shared" si="232"/>
        <v>0.59799999999999998</v>
      </c>
      <c r="AT927" s="40">
        <v>0.40200000000000002</v>
      </c>
      <c r="AU927">
        <v>0</v>
      </c>
      <c r="AV927" s="18">
        <v>1</v>
      </c>
      <c r="AW927">
        <v>0</v>
      </c>
      <c r="AX927" s="18">
        <v>1</v>
      </c>
      <c r="AY927" s="18" t="s">
        <v>5</v>
      </c>
      <c r="AZ927">
        <v>0</v>
      </c>
      <c r="BA927">
        <v>1</v>
      </c>
      <c r="BB927">
        <v>0</v>
      </c>
      <c r="BC927">
        <v>0</v>
      </c>
      <c r="BD927">
        <v>0</v>
      </c>
      <c r="BE927">
        <v>0</v>
      </c>
      <c r="BF927" s="18">
        <v>0</v>
      </c>
      <c r="BG927">
        <v>0</v>
      </c>
      <c r="BH927">
        <v>1</v>
      </c>
      <c r="BI927" s="18">
        <v>0</v>
      </c>
      <c r="BJ927">
        <v>1462</v>
      </c>
      <c r="BK927">
        <v>176</v>
      </c>
      <c r="BL927" s="93">
        <f t="shared" si="233"/>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3962</v>
      </c>
      <c r="D928" s="12">
        <v>7.4</v>
      </c>
      <c r="E928" s="14">
        <f t="shared" si="227"/>
        <v>0.79715609178067448</v>
      </c>
      <c r="F928" s="7">
        <v>9.2829999999999995</v>
      </c>
      <c r="G928" s="7">
        <f t="shared" si="219"/>
        <v>6.6028439082193255</v>
      </c>
      <c r="H928" s="16">
        <f t="shared" si="220"/>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1"/>
        <v>609</v>
      </c>
      <c r="V928" s="9">
        <f t="shared" si="22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0"/>
        <v>0.64500000000000002</v>
      </c>
      <c r="AN928" s="43">
        <v>0.33300000000000002</v>
      </c>
      <c r="AO928" s="42">
        <v>1</v>
      </c>
      <c r="AP928" s="18">
        <v>0</v>
      </c>
      <c r="AQ928">
        <v>1</v>
      </c>
      <c r="AR928" s="40">
        <f t="shared" si="231"/>
        <v>0</v>
      </c>
      <c r="AS928" s="39">
        <f t="shared" si="232"/>
        <v>0.59799999999999998</v>
      </c>
      <c r="AT928" s="40">
        <v>0.40200000000000002</v>
      </c>
      <c r="AU928">
        <v>0</v>
      </c>
      <c r="AV928" s="18">
        <v>1</v>
      </c>
      <c r="AW928">
        <v>0</v>
      </c>
      <c r="AX928" s="18">
        <v>1</v>
      </c>
      <c r="AY928" s="18" t="s">
        <v>5</v>
      </c>
      <c r="AZ928">
        <v>0</v>
      </c>
      <c r="BA928">
        <v>1</v>
      </c>
      <c r="BB928">
        <v>0</v>
      </c>
      <c r="BC928">
        <v>0</v>
      </c>
      <c r="BD928">
        <v>0</v>
      </c>
      <c r="BE928">
        <v>0</v>
      </c>
      <c r="BF928" s="18">
        <v>0</v>
      </c>
      <c r="BG928">
        <v>0</v>
      </c>
      <c r="BH928">
        <v>1</v>
      </c>
      <c r="BI928" s="18">
        <v>0</v>
      </c>
      <c r="BJ928">
        <v>1462</v>
      </c>
      <c r="BK928">
        <v>176</v>
      </c>
      <c r="BL928" s="93">
        <f t="shared" si="233"/>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3962</v>
      </c>
      <c r="D929" s="12">
        <v>6.9</v>
      </c>
      <c r="E929" s="14">
        <f t="shared" si="227"/>
        <v>0.78695255474452552</v>
      </c>
      <c r="F929" s="7">
        <v>8.7680000000000007</v>
      </c>
      <c r="G929" s="7">
        <f t="shared" si="219"/>
        <v>6.1130474452554751</v>
      </c>
      <c r="H929" s="16">
        <f t="shared" si="220"/>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1"/>
        <v>605</v>
      </c>
      <c r="V929" s="9">
        <f t="shared" si="22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0"/>
        <v>0.64500000000000002</v>
      </c>
      <c r="AN929" s="43">
        <v>0.33300000000000002</v>
      </c>
      <c r="AO929" s="42">
        <v>1</v>
      </c>
      <c r="AP929" s="18">
        <v>0</v>
      </c>
      <c r="AQ929">
        <v>0</v>
      </c>
      <c r="AR929" s="40">
        <f t="shared" si="231"/>
        <v>1</v>
      </c>
      <c r="AS929" s="39">
        <f t="shared" si="232"/>
        <v>0.59799999999999998</v>
      </c>
      <c r="AT929" s="40">
        <v>0.40200000000000002</v>
      </c>
      <c r="AU929">
        <v>0</v>
      </c>
      <c r="AV929" s="18">
        <v>1</v>
      </c>
      <c r="AW929">
        <v>0</v>
      </c>
      <c r="AX929" s="18">
        <v>1</v>
      </c>
      <c r="AY929" s="18" t="s">
        <v>5</v>
      </c>
      <c r="AZ929">
        <v>0</v>
      </c>
      <c r="BA929">
        <v>1</v>
      </c>
      <c r="BB929">
        <v>0</v>
      </c>
      <c r="BC929">
        <v>0</v>
      </c>
      <c r="BD929">
        <v>0</v>
      </c>
      <c r="BE929">
        <v>0</v>
      </c>
      <c r="BF929" s="18">
        <v>0</v>
      </c>
      <c r="BG929">
        <v>0</v>
      </c>
      <c r="BH929">
        <v>1</v>
      </c>
      <c r="BI929" s="18">
        <v>0</v>
      </c>
      <c r="BJ929">
        <v>1462</v>
      </c>
      <c r="BK929">
        <v>176</v>
      </c>
      <c r="BL929" s="93">
        <f t="shared" si="233"/>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3962</v>
      </c>
      <c r="D930" s="12">
        <v>6.4</v>
      </c>
      <c r="E930" s="14">
        <f t="shared" si="227"/>
        <v>1.0718472617651984</v>
      </c>
      <c r="F930" s="7">
        <v>5.9710000000000001</v>
      </c>
      <c r="G930" s="7">
        <f t="shared" si="219"/>
        <v>5.3281527382348024</v>
      </c>
      <c r="H930" s="16">
        <f t="shared" si="220"/>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1"/>
        <v>411</v>
      </c>
      <c r="V930" s="9">
        <f t="shared" si="22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0"/>
        <v>0.64500000000000002</v>
      </c>
      <c r="AN930" s="43">
        <v>0.33300000000000002</v>
      </c>
      <c r="AO930" s="42">
        <v>1</v>
      </c>
      <c r="AP930" s="18">
        <v>0</v>
      </c>
      <c r="AQ930">
        <v>1</v>
      </c>
      <c r="AR930" s="40">
        <f t="shared" si="231"/>
        <v>0</v>
      </c>
      <c r="AS930" s="39">
        <f t="shared" si="232"/>
        <v>0.59799999999999998</v>
      </c>
      <c r="AT930" s="40">
        <v>0.40200000000000002</v>
      </c>
      <c r="AU930">
        <v>0</v>
      </c>
      <c r="AV930" s="18">
        <v>1</v>
      </c>
      <c r="AW930">
        <v>0</v>
      </c>
      <c r="AX930" s="18">
        <v>1</v>
      </c>
      <c r="AY930" s="18" t="s">
        <v>5</v>
      </c>
      <c r="AZ930">
        <v>0</v>
      </c>
      <c r="BA930">
        <v>1</v>
      </c>
      <c r="BB930">
        <v>0</v>
      </c>
      <c r="BC930">
        <v>0</v>
      </c>
      <c r="BD930">
        <v>0</v>
      </c>
      <c r="BE930">
        <v>0</v>
      </c>
      <c r="BF930" s="18">
        <v>0</v>
      </c>
      <c r="BG930">
        <v>0</v>
      </c>
      <c r="BH930">
        <v>1</v>
      </c>
      <c r="BI930" s="18">
        <v>0</v>
      </c>
      <c r="BJ930">
        <v>1462</v>
      </c>
      <c r="BK930">
        <v>176</v>
      </c>
      <c r="BL930" s="93">
        <f t="shared" si="233"/>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3962</v>
      </c>
      <c r="D931" s="12">
        <v>8.52</v>
      </c>
      <c r="E931" s="14">
        <f t="shared" si="227"/>
        <v>1.0560237977193851</v>
      </c>
      <c r="F931" s="7">
        <v>8.0679999999999996</v>
      </c>
      <c r="G931" s="7">
        <f t="shared" si="219"/>
        <v>7.4639762022806142</v>
      </c>
      <c r="H931" s="16">
        <f t="shared" si="220"/>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1"/>
        <v>351</v>
      </c>
      <c r="V931" s="9">
        <f t="shared" si="22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0"/>
        <v>0.64500000000000002</v>
      </c>
      <c r="AN931" s="43">
        <v>0.33300000000000002</v>
      </c>
      <c r="AO931" s="42">
        <v>1</v>
      </c>
      <c r="AP931" s="18">
        <v>0</v>
      </c>
      <c r="AQ931">
        <v>0</v>
      </c>
      <c r="AR931" s="40">
        <f t="shared" si="231"/>
        <v>1</v>
      </c>
      <c r="AS931" s="39">
        <f t="shared" si="232"/>
        <v>0.59799999999999998</v>
      </c>
      <c r="AT931" s="40">
        <v>0.40200000000000002</v>
      </c>
      <c r="AU931">
        <v>0</v>
      </c>
      <c r="AV931" s="18">
        <v>1</v>
      </c>
      <c r="AW931">
        <v>0</v>
      </c>
      <c r="AX931" s="18">
        <v>1</v>
      </c>
      <c r="AY931" s="18" t="s">
        <v>5</v>
      </c>
      <c r="AZ931">
        <v>0</v>
      </c>
      <c r="BA931">
        <v>1</v>
      </c>
      <c r="BB931">
        <v>0</v>
      </c>
      <c r="BC931">
        <v>0</v>
      </c>
      <c r="BD931">
        <v>0</v>
      </c>
      <c r="BE931">
        <v>0</v>
      </c>
      <c r="BF931" s="18">
        <v>0</v>
      </c>
      <c r="BG931">
        <v>0</v>
      </c>
      <c r="BH931">
        <v>1</v>
      </c>
      <c r="BI931" s="18">
        <v>0</v>
      </c>
      <c r="BJ931">
        <v>1462</v>
      </c>
      <c r="BK931">
        <v>176</v>
      </c>
      <c r="BL931" s="93">
        <f t="shared" si="233"/>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3962</v>
      </c>
      <c r="D932" s="12">
        <v>6.66</v>
      </c>
      <c r="E932" s="14">
        <f t="shared" si="227"/>
        <v>1.1388508891928866</v>
      </c>
      <c r="F932" s="7">
        <v>5.8479999999999999</v>
      </c>
      <c r="G932" s="7">
        <f t="shared" si="219"/>
        <v>5.521149110807114</v>
      </c>
      <c r="H932" s="16">
        <f t="shared" si="220"/>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1"/>
        <v>406</v>
      </c>
      <c r="V932" s="9">
        <f t="shared" si="22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0"/>
        <v>0.64500000000000002</v>
      </c>
      <c r="AN932" s="43">
        <v>0.33300000000000002</v>
      </c>
      <c r="AO932" s="42">
        <v>1</v>
      </c>
      <c r="AP932" s="18">
        <v>0</v>
      </c>
      <c r="AQ932">
        <v>1</v>
      </c>
      <c r="AR932" s="40">
        <f t="shared" si="231"/>
        <v>0</v>
      </c>
      <c r="AS932" s="39">
        <f t="shared" si="232"/>
        <v>0.59799999999999998</v>
      </c>
      <c r="AT932" s="40">
        <v>0.40200000000000002</v>
      </c>
      <c r="AU932">
        <v>0</v>
      </c>
      <c r="AV932" s="18">
        <v>1</v>
      </c>
      <c r="AW932">
        <v>0</v>
      </c>
      <c r="AX932" s="18">
        <v>1</v>
      </c>
      <c r="AY932" s="18" t="s">
        <v>5</v>
      </c>
      <c r="AZ932">
        <v>0</v>
      </c>
      <c r="BA932">
        <v>1</v>
      </c>
      <c r="BB932">
        <v>0</v>
      </c>
      <c r="BC932">
        <v>0</v>
      </c>
      <c r="BD932">
        <v>0</v>
      </c>
      <c r="BE932">
        <v>0</v>
      </c>
      <c r="BF932" s="18">
        <v>0</v>
      </c>
      <c r="BG932">
        <v>0</v>
      </c>
      <c r="BH932">
        <v>1</v>
      </c>
      <c r="BI932" s="18">
        <v>0</v>
      </c>
      <c r="BJ932">
        <v>1462</v>
      </c>
      <c r="BK932">
        <v>176</v>
      </c>
      <c r="BL932" s="93">
        <f t="shared" si="233"/>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3962</v>
      </c>
      <c r="D933" s="12">
        <v>9.08</v>
      </c>
      <c r="E933" s="14">
        <f t="shared" si="227"/>
        <v>1.1167138113393187</v>
      </c>
      <c r="F933" s="7">
        <v>8.1310000000000002</v>
      </c>
      <c r="G933" s="7">
        <f t="shared" si="219"/>
        <v>7.9632861886606818</v>
      </c>
      <c r="H933" s="16">
        <f t="shared" si="220"/>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1"/>
        <v>346</v>
      </c>
      <c r="V933" s="9">
        <f t="shared" si="22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0"/>
        <v>0.64500000000000002</v>
      </c>
      <c r="AN933" s="43">
        <v>0.33300000000000002</v>
      </c>
      <c r="AO933" s="42">
        <v>1</v>
      </c>
      <c r="AP933" s="18">
        <v>0</v>
      </c>
      <c r="AQ933">
        <v>0</v>
      </c>
      <c r="AR933" s="40">
        <f t="shared" si="231"/>
        <v>1</v>
      </c>
      <c r="AS933" s="39">
        <f t="shared" si="232"/>
        <v>0.59799999999999998</v>
      </c>
      <c r="AT933" s="40">
        <v>0.40200000000000002</v>
      </c>
      <c r="AU933">
        <v>0</v>
      </c>
      <c r="AV933" s="18">
        <v>1</v>
      </c>
      <c r="AW933">
        <v>0</v>
      </c>
      <c r="AX933" s="18">
        <v>1</v>
      </c>
      <c r="AY933" s="18" t="s">
        <v>5</v>
      </c>
      <c r="AZ933">
        <v>0</v>
      </c>
      <c r="BA933">
        <v>1</v>
      </c>
      <c r="BB933">
        <v>0</v>
      </c>
      <c r="BC933">
        <v>0</v>
      </c>
      <c r="BD933">
        <v>0</v>
      </c>
      <c r="BE933">
        <v>0</v>
      </c>
      <c r="BF933" s="18">
        <v>0</v>
      </c>
      <c r="BG933">
        <v>0</v>
      </c>
      <c r="BH933">
        <v>1</v>
      </c>
      <c r="BI933" s="18">
        <v>0</v>
      </c>
      <c r="BJ933">
        <v>1462</v>
      </c>
      <c r="BK933">
        <v>176</v>
      </c>
      <c r="BL933" s="93">
        <f t="shared" si="233"/>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3962</v>
      </c>
      <c r="D934" s="12">
        <v>6.67</v>
      </c>
      <c r="E934" s="14">
        <f t="shared" si="227"/>
        <v>1.1575841721624436</v>
      </c>
      <c r="F934" s="7">
        <v>5.7619999999999996</v>
      </c>
      <c r="G934" s="7">
        <f t="shared" si="219"/>
        <v>5.5124158278375566</v>
      </c>
      <c r="H934" s="16">
        <f t="shared" si="220"/>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1"/>
        <v>403</v>
      </c>
      <c r="V934" s="9">
        <f t="shared" si="22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0"/>
        <v>0.64500000000000002</v>
      </c>
      <c r="AN934" s="43">
        <v>0.33300000000000002</v>
      </c>
      <c r="AO934" s="42">
        <v>1</v>
      </c>
      <c r="AP934" s="18">
        <v>0</v>
      </c>
      <c r="AQ934">
        <v>1</v>
      </c>
      <c r="AR934" s="40">
        <f t="shared" si="231"/>
        <v>0</v>
      </c>
      <c r="AS934" s="39">
        <f t="shared" si="232"/>
        <v>0.59799999999999998</v>
      </c>
      <c r="AT934" s="40">
        <v>0.40200000000000002</v>
      </c>
      <c r="AU934">
        <v>0</v>
      </c>
      <c r="AV934" s="18">
        <v>1</v>
      </c>
      <c r="AW934">
        <v>0</v>
      </c>
      <c r="AX934" s="18">
        <v>1</v>
      </c>
      <c r="AY934" s="18" t="s">
        <v>5</v>
      </c>
      <c r="AZ934">
        <v>0</v>
      </c>
      <c r="BA934">
        <v>1</v>
      </c>
      <c r="BB934">
        <v>0</v>
      </c>
      <c r="BC934">
        <v>0</v>
      </c>
      <c r="BD934">
        <v>0</v>
      </c>
      <c r="BE934">
        <v>0</v>
      </c>
      <c r="BF934" s="18">
        <v>0</v>
      </c>
      <c r="BG934">
        <v>0</v>
      </c>
      <c r="BH934">
        <v>1</v>
      </c>
      <c r="BI934" s="18">
        <v>0</v>
      </c>
      <c r="BJ934">
        <v>1462</v>
      </c>
      <c r="BK934">
        <v>176</v>
      </c>
      <c r="BL934" s="93">
        <f t="shared" si="233"/>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3962</v>
      </c>
      <c r="D935" s="12">
        <v>9.07</v>
      </c>
      <c r="E935" s="14">
        <f t="shared" si="227"/>
        <v>1.1211372064276885</v>
      </c>
      <c r="F935" s="7">
        <v>8.09</v>
      </c>
      <c r="G935" s="7">
        <f t="shared" si="219"/>
        <v>7.948862793572312</v>
      </c>
      <c r="H935" s="16">
        <f t="shared" si="220"/>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1"/>
        <v>343</v>
      </c>
      <c r="V935" s="9">
        <f t="shared" si="22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0"/>
        <v>0.64500000000000002</v>
      </c>
      <c r="AN935" s="43">
        <v>0.33300000000000002</v>
      </c>
      <c r="AO935" s="42">
        <v>1</v>
      </c>
      <c r="AP935" s="18">
        <v>0</v>
      </c>
      <c r="AQ935">
        <v>0</v>
      </c>
      <c r="AR935" s="40">
        <f t="shared" si="231"/>
        <v>1</v>
      </c>
      <c r="AS935" s="39">
        <f t="shared" si="232"/>
        <v>0.59799999999999998</v>
      </c>
      <c r="AT935" s="40">
        <v>0.40200000000000002</v>
      </c>
      <c r="AU935">
        <v>0</v>
      </c>
      <c r="AV935" s="18">
        <v>1</v>
      </c>
      <c r="AW935">
        <v>0</v>
      </c>
      <c r="AX935" s="18">
        <v>1</v>
      </c>
      <c r="AY935" s="18" t="s">
        <v>5</v>
      </c>
      <c r="AZ935">
        <v>0</v>
      </c>
      <c r="BA935">
        <v>1</v>
      </c>
      <c r="BB935">
        <v>0</v>
      </c>
      <c r="BC935">
        <v>0</v>
      </c>
      <c r="BD935">
        <v>0</v>
      </c>
      <c r="BE935">
        <v>0</v>
      </c>
      <c r="BF935" s="18">
        <v>0</v>
      </c>
      <c r="BG935">
        <v>0</v>
      </c>
      <c r="BH935">
        <v>1</v>
      </c>
      <c r="BI935" s="18">
        <v>0</v>
      </c>
      <c r="BJ935">
        <v>1462</v>
      </c>
      <c r="BK935">
        <v>176</v>
      </c>
      <c r="BL935" s="93">
        <f t="shared" si="233"/>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3962</v>
      </c>
      <c r="D936" s="12">
        <v>6.61</v>
      </c>
      <c r="E936" s="14">
        <f t="shared" si="227"/>
        <v>1.1598526057203018</v>
      </c>
      <c r="F936" s="7">
        <v>5.6989999999999998</v>
      </c>
      <c r="G936" s="7">
        <f t="shared" si="219"/>
        <v>5.4501473942796981</v>
      </c>
      <c r="H936" s="16">
        <f t="shared" si="220"/>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1"/>
        <v>399</v>
      </c>
      <c r="V936" s="9">
        <f t="shared" si="22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0"/>
        <v>0.64500000000000002</v>
      </c>
      <c r="AN936" s="43">
        <v>0.33300000000000002</v>
      </c>
      <c r="AO936" s="42">
        <v>1</v>
      </c>
      <c r="AP936" s="18">
        <v>0</v>
      </c>
      <c r="AQ936">
        <v>1</v>
      </c>
      <c r="AR936" s="40">
        <f t="shared" si="231"/>
        <v>0</v>
      </c>
      <c r="AS936" s="39">
        <f t="shared" si="232"/>
        <v>0.59799999999999998</v>
      </c>
      <c r="AT936" s="40">
        <v>0.40200000000000002</v>
      </c>
      <c r="AU936">
        <v>0</v>
      </c>
      <c r="AV936" s="18">
        <v>1</v>
      </c>
      <c r="AW936">
        <v>0</v>
      </c>
      <c r="AX936" s="18">
        <v>1</v>
      </c>
      <c r="AY936" s="18" t="s">
        <v>5</v>
      </c>
      <c r="AZ936">
        <v>0</v>
      </c>
      <c r="BA936">
        <v>1</v>
      </c>
      <c r="BB936">
        <v>0</v>
      </c>
      <c r="BC936">
        <v>0</v>
      </c>
      <c r="BD936">
        <v>0</v>
      </c>
      <c r="BE936">
        <v>0</v>
      </c>
      <c r="BF936" s="18">
        <v>0</v>
      </c>
      <c r="BG936">
        <v>0</v>
      </c>
      <c r="BH936">
        <v>1</v>
      </c>
      <c r="BI936" s="18">
        <v>0</v>
      </c>
      <c r="BJ936">
        <v>1462</v>
      </c>
      <c r="BK936">
        <v>176</v>
      </c>
      <c r="BL936" s="93">
        <f t="shared" si="233"/>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3962</v>
      </c>
      <c r="D937" s="12">
        <v>8.76</v>
      </c>
      <c r="E937" s="14">
        <f t="shared" si="227"/>
        <v>1.1546065638592329</v>
      </c>
      <c r="F937" s="7">
        <v>7.5869999999999997</v>
      </c>
      <c r="G937" s="7">
        <f t="shared" si="219"/>
        <v>7.6053934361407673</v>
      </c>
      <c r="H937" s="16">
        <f t="shared" si="220"/>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1"/>
        <v>339</v>
      </c>
      <c r="V937" s="9">
        <f t="shared" si="22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0"/>
        <v>0.64500000000000002</v>
      </c>
      <c r="AN937" s="43">
        <v>0.33300000000000002</v>
      </c>
      <c r="AO937" s="42">
        <v>1</v>
      </c>
      <c r="AP937" s="18">
        <v>0</v>
      </c>
      <c r="AQ937">
        <v>0</v>
      </c>
      <c r="AR937" s="40">
        <f t="shared" si="231"/>
        <v>1</v>
      </c>
      <c r="AS937" s="39">
        <f t="shared" si="232"/>
        <v>0.59799999999999998</v>
      </c>
      <c r="AT937" s="40">
        <v>0.40200000000000002</v>
      </c>
      <c r="AU937">
        <v>0</v>
      </c>
      <c r="AV937" s="18">
        <v>1</v>
      </c>
      <c r="AW937">
        <v>0</v>
      </c>
      <c r="AX937" s="18">
        <v>1</v>
      </c>
      <c r="AY937" s="18" t="s">
        <v>5</v>
      </c>
      <c r="AZ937">
        <v>0</v>
      </c>
      <c r="BA937">
        <v>1</v>
      </c>
      <c r="BB937">
        <v>0</v>
      </c>
      <c r="BC937">
        <v>0</v>
      </c>
      <c r="BD937">
        <v>0</v>
      </c>
      <c r="BE937">
        <v>0</v>
      </c>
      <c r="BF937" s="18">
        <v>0</v>
      </c>
      <c r="BG937">
        <v>0</v>
      </c>
      <c r="BH937">
        <v>1</v>
      </c>
      <c r="BI937" s="18">
        <v>0</v>
      </c>
      <c r="BJ937">
        <v>1462</v>
      </c>
      <c r="BK937">
        <v>176</v>
      </c>
      <c r="BL937" s="93">
        <f t="shared" si="233"/>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3971</v>
      </c>
      <c r="D938" s="12">
        <v>9.44</v>
      </c>
      <c r="E938" s="14">
        <v>0.98</v>
      </c>
      <c r="F938" s="7">
        <f t="shared" ref="F938:F1001" si="234">D938/E938</f>
        <v>9.6326530612244898</v>
      </c>
      <c r="G938" s="7">
        <f t="shared" si="219"/>
        <v>8.4599999999999991</v>
      </c>
      <c r="H938" s="16">
        <f t="shared" si="220"/>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1"/>
        <v>4080</v>
      </c>
      <c r="V938" s="9">
        <f t="shared" si="222"/>
        <v>24</v>
      </c>
      <c r="W938" s="7">
        <v>13.131</v>
      </c>
      <c r="X938" s="7">
        <f t="shared" ref="X938:X996" si="235">BL938-W938-6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1"/>
        <v>0.47599999999999998</v>
      </c>
      <c r="AS938" t="s">
        <v>98</v>
      </c>
      <c r="AT938" s="40" t="s">
        <v>98</v>
      </c>
      <c r="AU938">
        <v>0</v>
      </c>
      <c r="AV938" s="18">
        <v>1</v>
      </c>
      <c r="AW938" t="s">
        <v>98</v>
      </c>
      <c r="AX938" s="18" t="s">
        <v>98</v>
      </c>
      <c r="AY938" s="18" t="s">
        <v>233</v>
      </c>
      <c r="AZ938">
        <v>1</v>
      </c>
      <c r="BA938">
        <v>0</v>
      </c>
      <c r="BB938">
        <v>0</v>
      </c>
      <c r="BC938">
        <v>0</v>
      </c>
      <c r="BD938">
        <v>0</v>
      </c>
      <c r="BE938">
        <v>0</v>
      </c>
      <c r="BF938" s="18">
        <v>0</v>
      </c>
      <c r="BG938">
        <v>1</v>
      </c>
      <c r="BH938">
        <v>0</v>
      </c>
      <c r="BI938" s="18">
        <v>0</v>
      </c>
      <c r="BJ938">
        <v>19368</v>
      </c>
      <c r="BK938">
        <v>20765</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3971</v>
      </c>
      <c r="D939" s="12">
        <v>8.1</v>
      </c>
      <c r="E939" s="14">
        <v>0.22</v>
      </c>
      <c r="F939" s="7">
        <f t="shared" si="234"/>
        <v>36.818181818181813</v>
      </c>
      <c r="G939" s="7">
        <f t="shared" si="219"/>
        <v>7.88</v>
      </c>
      <c r="H939" s="16">
        <f t="shared" si="220"/>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1"/>
        <v>62127</v>
      </c>
      <c r="V939" s="9">
        <f t="shared" si="222"/>
        <v>24</v>
      </c>
      <c r="W939" s="7">
        <v>13.154999999999999</v>
      </c>
      <c r="X939" s="7">
        <f t="shared" si="235"/>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1"/>
        <v>0.36699999999999999</v>
      </c>
      <c r="AS939" t="s">
        <v>98</v>
      </c>
      <c r="AT939" s="40" t="s">
        <v>98</v>
      </c>
      <c r="AU939">
        <v>0</v>
      </c>
      <c r="AV939" s="18">
        <v>1</v>
      </c>
      <c r="AW939" t="s">
        <v>98</v>
      </c>
      <c r="AX939" s="18" t="s">
        <v>98</v>
      </c>
      <c r="AY939" s="18" t="s">
        <v>233</v>
      </c>
      <c r="AZ939">
        <v>1</v>
      </c>
      <c r="BA939">
        <v>0</v>
      </c>
      <c r="BB939">
        <v>0</v>
      </c>
      <c r="BC939">
        <v>0</v>
      </c>
      <c r="BD939">
        <v>0</v>
      </c>
      <c r="BE939">
        <v>0</v>
      </c>
      <c r="BF939" s="18">
        <v>0</v>
      </c>
      <c r="BG939">
        <v>1</v>
      </c>
      <c r="BH939">
        <v>0</v>
      </c>
      <c r="BI939" s="18">
        <v>0</v>
      </c>
      <c r="BJ939">
        <v>19368</v>
      </c>
      <c r="BK939">
        <v>20765</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3971</v>
      </c>
      <c r="D940" s="12">
        <v>8.16</v>
      </c>
      <c r="E940" s="14">
        <v>0.21</v>
      </c>
      <c r="F940" s="7">
        <f t="shared" si="234"/>
        <v>38.857142857142861</v>
      </c>
      <c r="G940" s="7">
        <f t="shared" si="219"/>
        <v>7.95</v>
      </c>
      <c r="H940" s="16">
        <f t="shared" si="220"/>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1"/>
        <v>66210</v>
      </c>
      <c r="V940" s="9">
        <f t="shared" si="222"/>
        <v>24</v>
      </c>
      <c r="W940" s="7">
        <v>13.153</v>
      </c>
      <c r="X940" s="7">
        <f t="shared" si="235"/>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1"/>
        <v>0.48299999999999998</v>
      </c>
      <c r="AS940" t="s">
        <v>98</v>
      </c>
      <c r="AT940" s="40" t="s">
        <v>98</v>
      </c>
      <c r="AU940">
        <v>0</v>
      </c>
      <c r="AV940" s="18">
        <v>1</v>
      </c>
      <c r="AW940" t="s">
        <v>98</v>
      </c>
      <c r="AX940" s="18" t="s">
        <v>98</v>
      </c>
      <c r="AY940" s="18" t="s">
        <v>233</v>
      </c>
      <c r="AZ940">
        <v>1</v>
      </c>
      <c r="BA940">
        <v>0</v>
      </c>
      <c r="BB940">
        <v>0</v>
      </c>
      <c r="BC940">
        <v>0</v>
      </c>
      <c r="BD940">
        <v>0</v>
      </c>
      <c r="BE940">
        <v>0</v>
      </c>
      <c r="BF940" s="18">
        <v>0</v>
      </c>
      <c r="BG940">
        <v>1</v>
      </c>
      <c r="BH940">
        <v>0</v>
      </c>
      <c r="BI940" s="18">
        <v>0</v>
      </c>
      <c r="BJ940">
        <v>19368</v>
      </c>
      <c r="BK940">
        <v>20765</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3971</v>
      </c>
      <c r="D941" s="12">
        <v>9.26</v>
      </c>
      <c r="E941" s="14">
        <v>0.95</v>
      </c>
      <c r="F941" s="7">
        <f t="shared" si="234"/>
        <v>9.7473684210526326</v>
      </c>
      <c r="G941" s="7">
        <f t="shared" si="219"/>
        <v>8.31</v>
      </c>
      <c r="H941" s="16">
        <f t="shared" si="220"/>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1"/>
        <v>4080</v>
      </c>
      <c r="V941" s="9">
        <f t="shared" si="222"/>
        <v>24</v>
      </c>
      <c r="W941" s="7">
        <v>13.131</v>
      </c>
      <c r="X941" s="7">
        <f t="shared" si="235"/>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1"/>
        <v>0.47599999999999998</v>
      </c>
      <c r="AS941" t="s">
        <v>98</v>
      </c>
      <c r="AT941" s="40" t="s">
        <v>98</v>
      </c>
      <c r="AU941">
        <v>0</v>
      </c>
      <c r="AV941" s="18">
        <v>1</v>
      </c>
      <c r="AW941" t="s">
        <v>98</v>
      </c>
      <c r="AX941" s="18" t="s">
        <v>98</v>
      </c>
      <c r="AY941" s="18" t="s">
        <v>233</v>
      </c>
      <c r="AZ941">
        <v>1</v>
      </c>
      <c r="BA941">
        <v>0</v>
      </c>
      <c r="BB941">
        <v>0</v>
      </c>
      <c r="BC941">
        <v>0</v>
      </c>
      <c r="BD941">
        <v>0</v>
      </c>
      <c r="BE941">
        <v>0</v>
      </c>
      <c r="BF941" s="18">
        <v>0</v>
      </c>
      <c r="BG941">
        <v>1</v>
      </c>
      <c r="BH941">
        <v>0</v>
      </c>
      <c r="BI941" s="18">
        <v>0</v>
      </c>
      <c r="BJ941">
        <v>19368</v>
      </c>
      <c r="BK941">
        <v>20765</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3971</v>
      </c>
      <c r="D942" s="12">
        <v>8.08</v>
      </c>
      <c r="E942" s="14">
        <v>0.2</v>
      </c>
      <c r="F942" s="7">
        <f t="shared" si="234"/>
        <v>40.4</v>
      </c>
      <c r="G942" s="7">
        <f t="shared" si="219"/>
        <v>7.88</v>
      </c>
      <c r="H942" s="16">
        <f t="shared" si="220"/>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1"/>
        <v>62127</v>
      </c>
      <c r="V942" s="9">
        <f t="shared" si="222"/>
        <v>24</v>
      </c>
      <c r="W942" s="7">
        <v>13.154999999999999</v>
      </c>
      <c r="X942" s="7">
        <f t="shared" si="235"/>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1"/>
        <v>0.36699999999999999</v>
      </c>
      <c r="AS942" t="s">
        <v>98</v>
      </c>
      <c r="AT942" s="40" t="s">
        <v>98</v>
      </c>
      <c r="AU942">
        <v>0</v>
      </c>
      <c r="AV942" s="18">
        <v>1</v>
      </c>
      <c r="AW942" t="s">
        <v>98</v>
      </c>
      <c r="AX942" s="18" t="s">
        <v>98</v>
      </c>
      <c r="AY942" s="18" t="s">
        <v>233</v>
      </c>
      <c r="AZ942">
        <v>1</v>
      </c>
      <c r="BA942">
        <v>0</v>
      </c>
      <c r="BB942">
        <v>0</v>
      </c>
      <c r="BC942">
        <v>0</v>
      </c>
      <c r="BD942">
        <v>0</v>
      </c>
      <c r="BE942">
        <v>0</v>
      </c>
      <c r="BF942" s="18">
        <v>0</v>
      </c>
      <c r="BG942">
        <v>1</v>
      </c>
      <c r="BH942">
        <v>0</v>
      </c>
      <c r="BI942" s="18">
        <v>0</v>
      </c>
      <c r="BJ942">
        <v>19368</v>
      </c>
      <c r="BK942">
        <v>20765</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3971</v>
      </c>
      <c r="D943" s="12">
        <v>8.1199999999999992</v>
      </c>
      <c r="E943" s="14">
        <v>0.2</v>
      </c>
      <c r="F943" s="7">
        <f t="shared" si="234"/>
        <v>40.599999999999994</v>
      </c>
      <c r="G943" s="7">
        <f t="shared" si="219"/>
        <v>7.919999999999999</v>
      </c>
      <c r="H943" s="16">
        <f t="shared" si="220"/>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1"/>
        <v>66210</v>
      </c>
      <c r="V943" s="9">
        <f t="shared" si="222"/>
        <v>24</v>
      </c>
      <c r="W943" s="7">
        <v>13.153</v>
      </c>
      <c r="X943" s="7">
        <f t="shared" si="235"/>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1"/>
        <v>0.48299999999999998</v>
      </c>
      <c r="AS943" t="s">
        <v>98</v>
      </c>
      <c r="AT943" s="40" t="s">
        <v>98</v>
      </c>
      <c r="AU943">
        <v>0</v>
      </c>
      <c r="AV943" s="18">
        <v>1</v>
      </c>
      <c r="AW943" t="s">
        <v>98</v>
      </c>
      <c r="AX943" s="18" t="s">
        <v>98</v>
      </c>
      <c r="AY943" s="18" t="s">
        <v>233</v>
      </c>
      <c r="AZ943">
        <v>1</v>
      </c>
      <c r="BA943">
        <v>0</v>
      </c>
      <c r="BB943">
        <v>0</v>
      </c>
      <c r="BC943">
        <v>0</v>
      </c>
      <c r="BD943">
        <v>0</v>
      </c>
      <c r="BE943">
        <v>0</v>
      </c>
      <c r="BF943" s="18">
        <v>0</v>
      </c>
      <c r="BG943">
        <v>1</v>
      </c>
      <c r="BH943">
        <v>0</v>
      </c>
      <c r="BI943" s="18">
        <v>0</v>
      </c>
      <c r="BJ943">
        <v>19368</v>
      </c>
      <c r="BK943">
        <v>20765</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3971</v>
      </c>
      <c r="D944" s="12">
        <v>6.44</v>
      </c>
      <c r="E944" s="14">
        <v>1.19</v>
      </c>
      <c r="F944" s="7">
        <f t="shared" si="234"/>
        <v>5.4117647058823533</v>
      </c>
      <c r="G944" s="7">
        <f t="shared" si="219"/>
        <v>5.25</v>
      </c>
      <c r="H944" s="16">
        <f t="shared" si="220"/>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1"/>
        <v>3256</v>
      </c>
      <c r="V944" s="9">
        <f t="shared" si="222"/>
        <v>24</v>
      </c>
      <c r="W944" s="7">
        <v>13.131</v>
      </c>
      <c r="X944" s="7">
        <f t="shared" si="235"/>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1"/>
        <v>0.47599999999999998</v>
      </c>
      <c r="AS944" t="s">
        <v>98</v>
      </c>
      <c r="AT944" s="40" t="s">
        <v>98</v>
      </c>
      <c r="AU944">
        <v>0</v>
      </c>
      <c r="AV944" s="18">
        <v>1</v>
      </c>
      <c r="AW944" t="s">
        <v>98</v>
      </c>
      <c r="AX944" s="18" t="s">
        <v>98</v>
      </c>
      <c r="AY944" s="18" t="s">
        <v>233</v>
      </c>
      <c r="AZ944">
        <v>1</v>
      </c>
      <c r="BA944">
        <v>0</v>
      </c>
      <c r="BB944">
        <v>0</v>
      </c>
      <c r="BC944">
        <v>0</v>
      </c>
      <c r="BD944">
        <v>0</v>
      </c>
      <c r="BE944">
        <v>0</v>
      </c>
      <c r="BF944" s="18">
        <v>0</v>
      </c>
      <c r="BG944">
        <v>1</v>
      </c>
      <c r="BH944">
        <v>0</v>
      </c>
      <c r="BI944" s="18">
        <v>0</v>
      </c>
      <c r="BJ944">
        <v>19368</v>
      </c>
      <c r="BK944">
        <v>20765</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3971</v>
      </c>
      <c r="D945" s="12">
        <v>5.44</v>
      </c>
      <c r="E945" s="14">
        <v>0.27</v>
      </c>
      <c r="F945" s="7">
        <f t="shared" si="234"/>
        <v>20.148148148148149</v>
      </c>
      <c r="G945" s="7">
        <f t="shared" si="219"/>
        <v>5.17</v>
      </c>
      <c r="H945" s="16">
        <f t="shared" si="220"/>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1"/>
        <v>49404</v>
      </c>
      <c r="V945" s="9">
        <f t="shared" si="222"/>
        <v>24</v>
      </c>
      <c r="W945" s="7">
        <v>13.154999999999999</v>
      </c>
      <c r="X945" s="7">
        <f t="shared" si="235"/>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1"/>
        <v>0.36699999999999999</v>
      </c>
      <c r="AS945" t="s">
        <v>98</v>
      </c>
      <c r="AT945" s="40" t="s">
        <v>98</v>
      </c>
      <c r="AU945">
        <v>0</v>
      </c>
      <c r="AV945" s="18">
        <v>1</v>
      </c>
      <c r="AW945" t="s">
        <v>98</v>
      </c>
      <c r="AX945" s="18" t="s">
        <v>98</v>
      </c>
      <c r="AY945" s="18" t="s">
        <v>233</v>
      </c>
      <c r="AZ945">
        <v>1</v>
      </c>
      <c r="BA945">
        <v>0</v>
      </c>
      <c r="BB945">
        <v>0</v>
      </c>
      <c r="BC945">
        <v>0</v>
      </c>
      <c r="BD945">
        <v>0</v>
      </c>
      <c r="BE945">
        <v>0</v>
      </c>
      <c r="BF945" s="18">
        <v>0</v>
      </c>
      <c r="BG945">
        <v>1</v>
      </c>
      <c r="BH945">
        <v>0</v>
      </c>
      <c r="BI945" s="18">
        <v>0</v>
      </c>
      <c r="BJ945">
        <v>19368</v>
      </c>
      <c r="BK945">
        <v>20765</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3971</v>
      </c>
      <c r="D946" s="12">
        <v>5.42</v>
      </c>
      <c r="E946" s="14">
        <v>0.25</v>
      </c>
      <c r="F946" s="7">
        <f t="shared" si="234"/>
        <v>21.68</v>
      </c>
      <c r="G946" s="7">
        <f t="shared" si="219"/>
        <v>5.17</v>
      </c>
      <c r="H946" s="16">
        <f t="shared" si="220"/>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1"/>
        <v>52679</v>
      </c>
      <c r="V946" s="9">
        <f t="shared" si="222"/>
        <v>24</v>
      </c>
      <c r="W946" s="7">
        <v>13.153</v>
      </c>
      <c r="X946" s="7">
        <f t="shared" si="235"/>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1"/>
        <v>0.48299999999999998</v>
      </c>
      <c r="AS946" t="s">
        <v>98</v>
      </c>
      <c r="AT946" s="40" t="s">
        <v>98</v>
      </c>
      <c r="AU946">
        <v>0</v>
      </c>
      <c r="AV946" s="18">
        <v>1</v>
      </c>
      <c r="AW946" t="s">
        <v>98</v>
      </c>
      <c r="AX946" s="18" t="s">
        <v>98</v>
      </c>
      <c r="AY946" s="18" t="s">
        <v>233</v>
      </c>
      <c r="AZ946">
        <v>1</v>
      </c>
      <c r="BA946">
        <v>0</v>
      </c>
      <c r="BB946">
        <v>0</v>
      </c>
      <c r="BC946">
        <v>0</v>
      </c>
      <c r="BD946">
        <v>0</v>
      </c>
      <c r="BE946">
        <v>0</v>
      </c>
      <c r="BF946" s="18">
        <v>0</v>
      </c>
      <c r="BG946">
        <v>1</v>
      </c>
      <c r="BH946">
        <v>0</v>
      </c>
      <c r="BI946" s="18">
        <v>0</v>
      </c>
      <c r="BJ946">
        <v>19368</v>
      </c>
      <c r="BK946">
        <v>20765</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3971</v>
      </c>
      <c r="D947" s="12">
        <v>5.59</v>
      </c>
      <c r="E947" s="14">
        <v>1.3</v>
      </c>
      <c r="F947" s="7">
        <f t="shared" si="234"/>
        <v>4.3</v>
      </c>
      <c r="G947" s="7">
        <f t="shared" si="219"/>
        <v>4.29</v>
      </c>
      <c r="H947" s="16">
        <f t="shared" si="220"/>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1"/>
        <v>3089</v>
      </c>
      <c r="V947" s="9">
        <f t="shared" si="222"/>
        <v>24</v>
      </c>
      <c r="W947" s="7">
        <v>13.131</v>
      </c>
      <c r="X947" s="7">
        <f t="shared" si="235"/>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1"/>
        <v>0.47599999999999998</v>
      </c>
      <c r="AS947" t="s">
        <v>98</v>
      </c>
      <c r="AT947" s="40" t="s">
        <v>98</v>
      </c>
      <c r="AU947">
        <v>0</v>
      </c>
      <c r="AV947" s="18">
        <v>1</v>
      </c>
      <c r="AW947" t="s">
        <v>98</v>
      </c>
      <c r="AX947" s="18" t="s">
        <v>98</v>
      </c>
      <c r="AY947" s="18" t="s">
        <v>233</v>
      </c>
      <c r="AZ947">
        <v>1</v>
      </c>
      <c r="BA947">
        <v>0</v>
      </c>
      <c r="BB947">
        <v>0</v>
      </c>
      <c r="BC947">
        <v>0</v>
      </c>
      <c r="BD947">
        <v>0</v>
      </c>
      <c r="BE947">
        <v>0</v>
      </c>
      <c r="BF947" s="18">
        <v>0</v>
      </c>
      <c r="BG947">
        <v>1</v>
      </c>
      <c r="BH947">
        <v>0</v>
      </c>
      <c r="BI947" s="18">
        <v>0</v>
      </c>
      <c r="BJ947">
        <v>19368</v>
      </c>
      <c r="BK947">
        <v>20765</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3971</v>
      </c>
      <c r="D948" s="12">
        <v>4.37</v>
      </c>
      <c r="E948" s="14">
        <v>0.28999999999999998</v>
      </c>
      <c r="F948" s="7">
        <f t="shared" si="234"/>
        <v>15.068965517241381</v>
      </c>
      <c r="G948" s="7">
        <f t="shared" si="219"/>
        <v>4.08</v>
      </c>
      <c r="H948" s="16">
        <f t="shared" si="220"/>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1"/>
        <v>47316</v>
      </c>
      <c r="V948" s="9">
        <f t="shared" si="222"/>
        <v>24</v>
      </c>
      <c r="W948" s="7">
        <v>13.154999999999999</v>
      </c>
      <c r="X948" s="7">
        <f t="shared" si="235"/>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1"/>
        <v>0.36699999999999999</v>
      </c>
      <c r="AS948" t="s">
        <v>98</v>
      </c>
      <c r="AT948" s="40" t="s">
        <v>98</v>
      </c>
      <c r="AU948">
        <v>0</v>
      </c>
      <c r="AV948" s="18">
        <v>1</v>
      </c>
      <c r="AW948" t="s">
        <v>98</v>
      </c>
      <c r="AX948" s="18" t="s">
        <v>98</v>
      </c>
      <c r="AY948" s="18" t="s">
        <v>233</v>
      </c>
      <c r="AZ948">
        <v>1</v>
      </c>
      <c r="BA948">
        <v>0</v>
      </c>
      <c r="BB948">
        <v>0</v>
      </c>
      <c r="BC948">
        <v>0</v>
      </c>
      <c r="BD948">
        <v>0</v>
      </c>
      <c r="BE948">
        <v>0</v>
      </c>
      <c r="BF948" s="18">
        <v>0</v>
      </c>
      <c r="BG948">
        <v>1</v>
      </c>
      <c r="BH948">
        <v>0</v>
      </c>
      <c r="BI948" s="18">
        <v>0</v>
      </c>
      <c r="BJ948">
        <v>19368</v>
      </c>
      <c r="BK948">
        <v>20765</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3971</v>
      </c>
      <c r="D949" s="12">
        <v>4.43</v>
      </c>
      <c r="E949" s="14">
        <v>0.27</v>
      </c>
      <c r="F949" s="7">
        <f t="shared" si="234"/>
        <v>16.407407407407405</v>
      </c>
      <c r="G949" s="7">
        <f t="shared" si="219"/>
        <v>4.16</v>
      </c>
      <c r="H949" s="16">
        <f t="shared" si="220"/>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1"/>
        <v>50425</v>
      </c>
      <c r="V949" s="9">
        <f t="shared" si="222"/>
        <v>24</v>
      </c>
      <c r="W949" s="7">
        <v>13.153</v>
      </c>
      <c r="X949" s="7">
        <f t="shared" si="235"/>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1"/>
        <v>0.48299999999999998</v>
      </c>
      <c r="AS949" t="s">
        <v>98</v>
      </c>
      <c r="AT949" s="40" t="s">
        <v>98</v>
      </c>
      <c r="AU949">
        <v>0</v>
      </c>
      <c r="AV949" s="18">
        <v>1</v>
      </c>
      <c r="AW949" t="s">
        <v>98</v>
      </c>
      <c r="AX949" s="18" t="s">
        <v>98</v>
      </c>
      <c r="AY949" s="18" t="s">
        <v>233</v>
      </c>
      <c r="AZ949">
        <v>1</v>
      </c>
      <c r="BA949">
        <v>0</v>
      </c>
      <c r="BB949">
        <v>0</v>
      </c>
      <c r="BC949">
        <v>0</v>
      </c>
      <c r="BD949">
        <v>0</v>
      </c>
      <c r="BE949">
        <v>0</v>
      </c>
      <c r="BF949" s="18">
        <v>0</v>
      </c>
      <c r="BG949">
        <v>1</v>
      </c>
      <c r="BH949">
        <v>0</v>
      </c>
      <c r="BI949" s="18">
        <v>0</v>
      </c>
      <c r="BJ949">
        <v>19368</v>
      </c>
      <c r="BK949">
        <v>20765</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3971</v>
      </c>
      <c r="D950" s="12">
        <v>17.64</v>
      </c>
      <c r="E950" s="14">
        <v>5.52</v>
      </c>
      <c r="F950" s="7">
        <f t="shared" si="234"/>
        <v>3.1956521739130439</v>
      </c>
      <c r="G950" s="7">
        <f t="shared" si="219"/>
        <v>12.120000000000001</v>
      </c>
      <c r="H950" s="16">
        <f t="shared" si="220"/>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1"/>
        <v>3256</v>
      </c>
      <c r="V950" s="9">
        <f t="shared" si="222"/>
        <v>24</v>
      </c>
      <c r="W950" s="7">
        <v>13.131</v>
      </c>
      <c r="X950" s="7">
        <f t="shared" si="235"/>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1"/>
        <v>0.47599999999999998</v>
      </c>
      <c r="AS950" t="s">
        <v>98</v>
      </c>
      <c r="AT950" s="40" t="s">
        <v>98</v>
      </c>
      <c r="AU950">
        <v>0</v>
      </c>
      <c r="AV950" s="18">
        <v>1</v>
      </c>
      <c r="AW950" t="s">
        <v>98</v>
      </c>
      <c r="AX950" s="18" t="s">
        <v>98</v>
      </c>
      <c r="AY950" s="18" t="s">
        <v>233</v>
      </c>
      <c r="AZ950">
        <v>1</v>
      </c>
      <c r="BA950">
        <v>0</v>
      </c>
      <c r="BB950">
        <v>0</v>
      </c>
      <c r="BC950">
        <v>0</v>
      </c>
      <c r="BD950">
        <v>0</v>
      </c>
      <c r="BE950">
        <v>0</v>
      </c>
      <c r="BF950" s="18">
        <v>0</v>
      </c>
      <c r="BG950">
        <v>1</v>
      </c>
      <c r="BH950">
        <v>0</v>
      </c>
      <c r="BI950" s="18">
        <v>0</v>
      </c>
      <c r="BJ950">
        <v>19368</v>
      </c>
      <c r="BK950">
        <v>20765</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3971</v>
      </c>
      <c r="D951" s="12">
        <v>12.73</v>
      </c>
      <c r="E951" s="14">
        <v>1.18</v>
      </c>
      <c r="F951" s="7">
        <f t="shared" si="234"/>
        <v>10.788135593220339</v>
      </c>
      <c r="G951" s="7">
        <f t="shared" si="219"/>
        <v>11.55</v>
      </c>
      <c r="H951" s="16">
        <f t="shared" si="220"/>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1"/>
        <v>49404</v>
      </c>
      <c r="V951" s="9">
        <f t="shared" si="222"/>
        <v>24</v>
      </c>
      <c r="W951" s="7">
        <v>13.154999999999999</v>
      </c>
      <c r="X951" s="7">
        <f t="shared" si="235"/>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1"/>
        <v>0.36699999999999999</v>
      </c>
      <c r="AS951" t="s">
        <v>98</v>
      </c>
      <c r="AT951" s="40" t="s">
        <v>98</v>
      </c>
      <c r="AU951">
        <v>0</v>
      </c>
      <c r="AV951" s="18">
        <v>1</v>
      </c>
      <c r="AW951" t="s">
        <v>98</v>
      </c>
      <c r="AX951" s="18" t="s">
        <v>98</v>
      </c>
      <c r="AY951" s="18" t="s">
        <v>233</v>
      </c>
      <c r="AZ951">
        <v>1</v>
      </c>
      <c r="BA951">
        <v>0</v>
      </c>
      <c r="BB951">
        <v>0</v>
      </c>
      <c r="BC951">
        <v>0</v>
      </c>
      <c r="BD951">
        <v>0</v>
      </c>
      <c r="BE951">
        <v>0</v>
      </c>
      <c r="BF951" s="18">
        <v>0</v>
      </c>
      <c r="BG951">
        <v>1</v>
      </c>
      <c r="BH951">
        <v>0</v>
      </c>
      <c r="BI951" s="18">
        <v>0</v>
      </c>
      <c r="BJ951">
        <v>19368</v>
      </c>
      <c r="BK951">
        <v>20765</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3971</v>
      </c>
      <c r="D952" s="12">
        <v>11.27</v>
      </c>
      <c r="E952" s="14">
        <v>1.07</v>
      </c>
      <c r="F952" s="7">
        <f t="shared" si="234"/>
        <v>10.532710280373831</v>
      </c>
      <c r="G952" s="7">
        <f t="shared" si="219"/>
        <v>10.199999999999999</v>
      </c>
      <c r="H952" s="16">
        <f t="shared" si="220"/>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1"/>
        <v>52679</v>
      </c>
      <c r="V952" s="9">
        <f t="shared" si="222"/>
        <v>24</v>
      </c>
      <c r="W952" s="7">
        <v>13.153</v>
      </c>
      <c r="X952" s="7">
        <f t="shared" si="235"/>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1"/>
        <v>0.48299999999999998</v>
      </c>
      <c r="AS952" t="s">
        <v>98</v>
      </c>
      <c r="AT952" s="40" t="s">
        <v>98</v>
      </c>
      <c r="AU952">
        <v>0</v>
      </c>
      <c r="AV952" s="18">
        <v>1</v>
      </c>
      <c r="AW952" t="s">
        <v>98</v>
      </c>
      <c r="AX952" s="18" t="s">
        <v>98</v>
      </c>
      <c r="AY952" s="18" t="s">
        <v>233</v>
      </c>
      <c r="AZ952">
        <v>1</v>
      </c>
      <c r="BA952">
        <v>0</v>
      </c>
      <c r="BB952">
        <v>0</v>
      </c>
      <c r="BC952">
        <v>0</v>
      </c>
      <c r="BD952">
        <v>0</v>
      </c>
      <c r="BE952">
        <v>0</v>
      </c>
      <c r="BF952" s="18">
        <v>0</v>
      </c>
      <c r="BG952">
        <v>1</v>
      </c>
      <c r="BH952">
        <v>0</v>
      </c>
      <c r="BI952" s="18">
        <v>0</v>
      </c>
      <c r="BJ952">
        <v>19368</v>
      </c>
      <c r="BK952">
        <v>20765</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3971</v>
      </c>
      <c r="D953" s="12">
        <v>21.23</v>
      </c>
      <c r="E953" s="14">
        <v>5.52</v>
      </c>
      <c r="F953" s="7">
        <f t="shared" si="234"/>
        <v>3.8460144927536235</v>
      </c>
      <c r="G953" s="7">
        <f t="shared" si="219"/>
        <v>15.71</v>
      </c>
      <c r="H953" s="16">
        <f t="shared" si="220"/>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1"/>
        <v>3089</v>
      </c>
      <c r="V953" s="9">
        <f t="shared" si="222"/>
        <v>24</v>
      </c>
      <c r="W953" s="7">
        <v>13.131</v>
      </c>
      <c r="X953" s="7">
        <f t="shared" si="235"/>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1"/>
        <v>0.47599999999999998</v>
      </c>
      <c r="AS953" t="s">
        <v>98</v>
      </c>
      <c r="AT953" s="40" t="s">
        <v>98</v>
      </c>
      <c r="AU953">
        <v>0</v>
      </c>
      <c r="AV953" s="18">
        <v>1</v>
      </c>
      <c r="AW953" t="s">
        <v>98</v>
      </c>
      <c r="AX953" s="18" t="s">
        <v>98</v>
      </c>
      <c r="AY953" s="18" t="s">
        <v>233</v>
      </c>
      <c r="AZ953">
        <v>1</v>
      </c>
      <c r="BA953">
        <v>0</v>
      </c>
      <c r="BB953">
        <v>0</v>
      </c>
      <c r="BC953">
        <v>0</v>
      </c>
      <c r="BD953">
        <v>0</v>
      </c>
      <c r="BE953">
        <v>0</v>
      </c>
      <c r="BF953" s="18">
        <v>0</v>
      </c>
      <c r="BG953">
        <v>1</v>
      </c>
      <c r="BH953">
        <v>0</v>
      </c>
      <c r="BI953" s="18">
        <v>0</v>
      </c>
      <c r="BJ953">
        <v>19368</v>
      </c>
      <c r="BK953">
        <v>20765</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3971</v>
      </c>
      <c r="D954" s="12">
        <v>11.81</v>
      </c>
      <c r="E954" s="14">
        <v>1.63</v>
      </c>
      <c r="F954" s="7">
        <f t="shared" si="234"/>
        <v>7.2453987730061353</v>
      </c>
      <c r="G954" s="7">
        <f t="shared" si="219"/>
        <v>10.18</v>
      </c>
      <c r="H954" s="16">
        <f t="shared" si="220"/>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1"/>
        <v>47316</v>
      </c>
      <c r="V954" s="9">
        <f t="shared" si="222"/>
        <v>24</v>
      </c>
      <c r="W954" s="7">
        <v>13.154999999999999</v>
      </c>
      <c r="X954" s="7">
        <f t="shared" si="235"/>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1"/>
        <v>0.36699999999999999</v>
      </c>
      <c r="AS954" t="s">
        <v>98</v>
      </c>
      <c r="AT954" s="40" t="s">
        <v>98</v>
      </c>
      <c r="AU954">
        <v>0</v>
      </c>
      <c r="AV954" s="18">
        <v>1</v>
      </c>
      <c r="AW954" t="s">
        <v>98</v>
      </c>
      <c r="AX954" s="18" t="s">
        <v>98</v>
      </c>
      <c r="AY954" s="18" t="s">
        <v>233</v>
      </c>
      <c r="AZ954">
        <v>1</v>
      </c>
      <c r="BA954">
        <v>0</v>
      </c>
      <c r="BB954">
        <v>0</v>
      </c>
      <c r="BC954">
        <v>0</v>
      </c>
      <c r="BD954">
        <v>0</v>
      </c>
      <c r="BE954">
        <v>0</v>
      </c>
      <c r="BF954" s="18">
        <v>0</v>
      </c>
      <c r="BG954">
        <v>1</v>
      </c>
      <c r="BH954">
        <v>0</v>
      </c>
      <c r="BI954" s="18">
        <v>0</v>
      </c>
      <c r="BJ954">
        <v>19368</v>
      </c>
      <c r="BK954">
        <v>20765</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3971</v>
      </c>
      <c r="D955" s="12">
        <v>9.99</v>
      </c>
      <c r="E955" s="14">
        <v>1.46</v>
      </c>
      <c r="F955" s="7">
        <f t="shared" si="234"/>
        <v>6.8424657534246576</v>
      </c>
      <c r="G955" s="7">
        <f t="shared" si="219"/>
        <v>8.5300000000000011</v>
      </c>
      <c r="H955" s="16">
        <f t="shared" si="220"/>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1"/>
        <v>50425</v>
      </c>
      <c r="V955" s="9">
        <f t="shared" si="222"/>
        <v>24</v>
      </c>
      <c r="W955" s="7">
        <v>13.153</v>
      </c>
      <c r="X955" s="7">
        <f t="shared" si="235"/>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1"/>
        <v>0.48299999999999998</v>
      </c>
      <c r="AS955" t="s">
        <v>98</v>
      </c>
      <c r="AT955" s="40" t="s">
        <v>98</v>
      </c>
      <c r="AU955">
        <v>0</v>
      </c>
      <c r="AV955" s="18">
        <v>1</v>
      </c>
      <c r="AW955" t="s">
        <v>98</v>
      </c>
      <c r="AX955" s="18" t="s">
        <v>98</v>
      </c>
      <c r="AY955" s="18" t="s">
        <v>233</v>
      </c>
      <c r="AZ955">
        <v>1</v>
      </c>
      <c r="BA955">
        <v>0</v>
      </c>
      <c r="BB955">
        <v>0</v>
      </c>
      <c r="BC955">
        <v>0</v>
      </c>
      <c r="BD955">
        <v>0</v>
      </c>
      <c r="BE955">
        <v>0</v>
      </c>
      <c r="BF955" s="18">
        <v>0</v>
      </c>
      <c r="BG955">
        <v>1</v>
      </c>
      <c r="BH955">
        <v>0</v>
      </c>
      <c r="BI955" s="18">
        <v>0</v>
      </c>
      <c r="BJ955">
        <v>19368</v>
      </c>
      <c r="BK955">
        <v>20765</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3971</v>
      </c>
      <c r="D956" s="12">
        <v>5.94</v>
      </c>
      <c r="E956" s="14">
        <v>1.23</v>
      </c>
      <c r="F956" s="7">
        <f t="shared" si="234"/>
        <v>4.8292682926829276</v>
      </c>
      <c r="G956" s="7">
        <f t="shared" si="219"/>
        <v>4.7100000000000009</v>
      </c>
      <c r="H956" s="16">
        <f t="shared" si="220"/>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1"/>
        <v>3216</v>
      </c>
      <c r="V956" s="9">
        <f t="shared" si="222"/>
        <v>24</v>
      </c>
      <c r="W956" s="7">
        <v>13.131</v>
      </c>
      <c r="X956" s="7">
        <f t="shared" si="235"/>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1"/>
        <v>0.47599999999999998</v>
      </c>
      <c r="AS956" t="s">
        <v>98</v>
      </c>
      <c r="AT956" s="40" t="s">
        <v>98</v>
      </c>
      <c r="AU956">
        <v>0</v>
      </c>
      <c r="AV956" s="18">
        <v>1</v>
      </c>
      <c r="AW956" t="s">
        <v>98</v>
      </c>
      <c r="AX956" s="18" t="s">
        <v>98</v>
      </c>
      <c r="AY956" s="18" t="s">
        <v>233</v>
      </c>
      <c r="AZ956">
        <v>1</v>
      </c>
      <c r="BA956">
        <v>0</v>
      </c>
      <c r="BB956">
        <v>0</v>
      </c>
      <c r="BC956">
        <v>0</v>
      </c>
      <c r="BD956">
        <v>0</v>
      </c>
      <c r="BE956">
        <v>0</v>
      </c>
      <c r="BF956" s="18">
        <v>0</v>
      </c>
      <c r="BG956">
        <v>1</v>
      </c>
      <c r="BH956">
        <v>0</v>
      </c>
      <c r="BI956" s="18">
        <v>0</v>
      </c>
      <c r="BJ956">
        <v>19368</v>
      </c>
      <c r="BK956">
        <v>20765</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3971</v>
      </c>
      <c r="D957" s="12">
        <v>5.25</v>
      </c>
      <c r="E957" s="14">
        <v>2.7</v>
      </c>
      <c r="F957" s="7">
        <f t="shared" si="234"/>
        <v>1.9444444444444444</v>
      </c>
      <c r="G957" s="7">
        <f t="shared" si="219"/>
        <v>2.5499999999999998</v>
      </c>
      <c r="H957" s="16">
        <f t="shared" si="220"/>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1"/>
        <v>49179</v>
      </c>
      <c r="V957" s="9">
        <f t="shared" si="222"/>
        <v>24</v>
      </c>
      <c r="W957" s="7">
        <v>13.154999999999999</v>
      </c>
      <c r="X957" s="7">
        <f t="shared" si="235"/>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1"/>
        <v>0.36699999999999999</v>
      </c>
      <c r="AS957" t="s">
        <v>98</v>
      </c>
      <c r="AT957" s="40" t="s">
        <v>98</v>
      </c>
      <c r="AU957">
        <v>0</v>
      </c>
      <c r="AV957" s="18">
        <v>1</v>
      </c>
      <c r="AW957" t="s">
        <v>98</v>
      </c>
      <c r="AX957" s="18" t="s">
        <v>98</v>
      </c>
      <c r="AY957" s="18" t="s">
        <v>233</v>
      </c>
      <c r="AZ957">
        <v>1</v>
      </c>
      <c r="BA957">
        <v>0</v>
      </c>
      <c r="BB957">
        <v>0</v>
      </c>
      <c r="BC957">
        <v>0</v>
      </c>
      <c r="BD957">
        <v>0</v>
      </c>
      <c r="BE957">
        <v>0</v>
      </c>
      <c r="BF957" s="18">
        <v>0</v>
      </c>
      <c r="BG957">
        <v>1</v>
      </c>
      <c r="BH957">
        <v>0</v>
      </c>
      <c r="BI957" s="18">
        <v>0</v>
      </c>
      <c r="BJ957">
        <v>19368</v>
      </c>
      <c r="BK957">
        <v>20765</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3971</v>
      </c>
      <c r="D958" s="12">
        <v>5.23</v>
      </c>
      <c r="E958" s="14">
        <v>2.5</v>
      </c>
      <c r="F958" s="7">
        <f t="shared" si="234"/>
        <v>2.0920000000000001</v>
      </c>
      <c r="G958" s="7">
        <f t="shared" si="219"/>
        <v>2.7300000000000004</v>
      </c>
      <c r="H958" s="16">
        <f t="shared" si="220"/>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1"/>
        <v>52414</v>
      </c>
      <c r="V958" s="9">
        <f t="shared" si="222"/>
        <v>24</v>
      </c>
      <c r="W958" s="7">
        <v>13.153</v>
      </c>
      <c r="X958" s="7">
        <f t="shared" si="235"/>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1"/>
        <v>0.48299999999999998</v>
      </c>
      <c r="AS958" t="s">
        <v>98</v>
      </c>
      <c r="AT958" s="40" t="s">
        <v>98</v>
      </c>
      <c r="AU958">
        <v>0</v>
      </c>
      <c r="AV958" s="18">
        <v>1</v>
      </c>
      <c r="AW958" t="s">
        <v>98</v>
      </c>
      <c r="AX958" s="18" t="s">
        <v>98</v>
      </c>
      <c r="AY958" s="18" t="s">
        <v>233</v>
      </c>
      <c r="AZ958">
        <v>1</v>
      </c>
      <c r="BA958">
        <v>0</v>
      </c>
      <c r="BB958">
        <v>0</v>
      </c>
      <c r="BC958">
        <v>0</v>
      </c>
      <c r="BD958">
        <v>0</v>
      </c>
      <c r="BE958">
        <v>0</v>
      </c>
      <c r="BF958" s="18">
        <v>0</v>
      </c>
      <c r="BG958">
        <v>1</v>
      </c>
      <c r="BH958">
        <v>0</v>
      </c>
      <c r="BI958" s="18">
        <v>0</v>
      </c>
      <c r="BJ958">
        <v>19368</v>
      </c>
      <c r="BK958">
        <v>20765</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3971</v>
      </c>
      <c r="D959" s="12">
        <v>5.29</v>
      </c>
      <c r="E959" s="14">
        <v>1.34</v>
      </c>
      <c r="F959" s="7">
        <f t="shared" si="234"/>
        <v>3.9477611940298507</v>
      </c>
      <c r="G959" s="7">
        <f t="shared" si="219"/>
        <v>3.95</v>
      </c>
      <c r="H959" s="16">
        <f t="shared" si="220"/>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1"/>
        <v>3049</v>
      </c>
      <c r="V959" s="9">
        <f t="shared" si="222"/>
        <v>24</v>
      </c>
      <c r="W959" s="7">
        <v>13.131</v>
      </c>
      <c r="X959" s="7">
        <f t="shared" si="235"/>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1"/>
        <v>0.47599999999999998</v>
      </c>
      <c r="AS959" t="s">
        <v>98</v>
      </c>
      <c r="AT959" s="40" t="s">
        <v>98</v>
      </c>
      <c r="AU959">
        <v>0</v>
      </c>
      <c r="AV959" s="18">
        <v>1</v>
      </c>
      <c r="AW959" t="s">
        <v>98</v>
      </c>
      <c r="AX959" s="18" t="s">
        <v>98</v>
      </c>
      <c r="AY959" s="18" t="s">
        <v>233</v>
      </c>
      <c r="AZ959">
        <v>1</v>
      </c>
      <c r="BA959">
        <v>0</v>
      </c>
      <c r="BB959">
        <v>0</v>
      </c>
      <c r="BC959">
        <v>0</v>
      </c>
      <c r="BD959">
        <v>0</v>
      </c>
      <c r="BE959">
        <v>0</v>
      </c>
      <c r="BF959" s="18">
        <v>0</v>
      </c>
      <c r="BG959">
        <v>1</v>
      </c>
      <c r="BH959">
        <v>0</v>
      </c>
      <c r="BI959" s="18">
        <v>0</v>
      </c>
      <c r="BJ959">
        <v>19368</v>
      </c>
      <c r="BK959">
        <v>20765</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3971</v>
      </c>
      <c r="D960" s="12">
        <v>4.28</v>
      </c>
      <c r="E960" s="14">
        <v>2.9</v>
      </c>
      <c r="F960" s="7">
        <f t="shared" si="234"/>
        <v>1.4758620689655173</v>
      </c>
      <c r="G960" s="7">
        <f t="shared" si="219"/>
        <v>1.3800000000000003</v>
      </c>
      <c r="H960" s="16">
        <f t="shared" si="220"/>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1"/>
        <v>47123</v>
      </c>
      <c r="V960" s="9">
        <f t="shared" si="222"/>
        <v>24</v>
      </c>
      <c r="W960" s="7">
        <v>13.154999999999999</v>
      </c>
      <c r="X960" s="7">
        <f t="shared" si="235"/>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1"/>
        <v>0.36699999999999999</v>
      </c>
      <c r="AS960" t="s">
        <v>98</v>
      </c>
      <c r="AT960" s="40" t="s">
        <v>98</v>
      </c>
      <c r="AU960">
        <v>0</v>
      </c>
      <c r="AV960" s="18">
        <v>1</v>
      </c>
      <c r="AW960" t="s">
        <v>98</v>
      </c>
      <c r="AX960" s="18" t="s">
        <v>98</v>
      </c>
      <c r="AY960" s="18" t="s">
        <v>233</v>
      </c>
      <c r="AZ960">
        <v>1</v>
      </c>
      <c r="BA960">
        <v>0</v>
      </c>
      <c r="BB960">
        <v>0</v>
      </c>
      <c r="BC960">
        <v>0</v>
      </c>
      <c r="BD960">
        <v>0</v>
      </c>
      <c r="BE960">
        <v>0</v>
      </c>
      <c r="BF960" s="18">
        <v>0</v>
      </c>
      <c r="BG960">
        <v>1</v>
      </c>
      <c r="BH960">
        <v>0</v>
      </c>
      <c r="BI960" s="18">
        <v>0</v>
      </c>
      <c r="BJ960">
        <v>19368</v>
      </c>
      <c r="BK960">
        <v>20765</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3971</v>
      </c>
      <c r="D961" s="12">
        <v>4.25</v>
      </c>
      <c r="E961" s="14">
        <v>2.7</v>
      </c>
      <c r="F961" s="7">
        <f t="shared" si="234"/>
        <v>1.574074074074074</v>
      </c>
      <c r="G961" s="7">
        <f t="shared" si="219"/>
        <v>1.5499999999999998</v>
      </c>
      <c r="H961" s="16">
        <f t="shared" si="220"/>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1"/>
        <v>50192</v>
      </c>
      <c r="V961" s="9">
        <f t="shared" si="222"/>
        <v>24</v>
      </c>
      <c r="W961" s="7">
        <v>13.153</v>
      </c>
      <c r="X961" s="7">
        <f t="shared" si="235"/>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1"/>
        <v>0.48299999999999998</v>
      </c>
      <c r="AS961" t="s">
        <v>98</v>
      </c>
      <c r="AT961" s="40" t="s">
        <v>98</v>
      </c>
      <c r="AU961">
        <v>0</v>
      </c>
      <c r="AV961" s="18">
        <v>1</v>
      </c>
      <c r="AW961" t="s">
        <v>98</v>
      </c>
      <c r="AX961" s="18" t="s">
        <v>98</v>
      </c>
      <c r="AY961" s="18" t="s">
        <v>233</v>
      </c>
      <c r="AZ961">
        <v>1</v>
      </c>
      <c r="BA961">
        <v>0</v>
      </c>
      <c r="BB961">
        <v>0</v>
      </c>
      <c r="BC961">
        <v>0</v>
      </c>
      <c r="BD961">
        <v>0</v>
      </c>
      <c r="BE961">
        <v>0</v>
      </c>
      <c r="BF961" s="18">
        <v>0</v>
      </c>
      <c r="BG961">
        <v>1</v>
      </c>
      <c r="BH961">
        <v>0</v>
      </c>
      <c r="BI961" s="18">
        <v>0</v>
      </c>
      <c r="BJ961">
        <v>19368</v>
      </c>
      <c r="BK961">
        <v>20765</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3979</v>
      </c>
      <c r="D962" s="12">
        <v>6.4</v>
      </c>
      <c r="E962" s="14">
        <v>1</v>
      </c>
      <c r="F962" s="7">
        <f t="shared" si="234"/>
        <v>6.4</v>
      </c>
      <c r="G962" s="7">
        <f t="shared" ref="G962:G1025" si="236">D962-E962</f>
        <v>5.4</v>
      </c>
      <c r="H962" s="16">
        <f t="shared" ref="H962:H1025" si="237">D962+E962</f>
        <v>7.4</v>
      </c>
      <c r="I962" s="11">
        <f t="shared" si="223"/>
        <v>0.26973742357178704</v>
      </c>
      <c r="J962" s="33">
        <f t="shared" si="224"/>
        <v>4.2146472433091726E-2</v>
      </c>
      <c r="K962" s="33">
        <f t="shared" si="225"/>
        <v>23.726778120933318</v>
      </c>
      <c r="L962" s="8">
        <v>0</v>
      </c>
      <c r="M962" s="9">
        <v>1</v>
      </c>
      <c r="N962" s="8">
        <v>1</v>
      </c>
      <c r="O962" s="9">
        <v>0</v>
      </c>
      <c r="P962" s="9">
        <v>0</v>
      </c>
      <c r="Q962" s="9">
        <v>0</v>
      </c>
      <c r="R962" s="9">
        <v>0</v>
      </c>
      <c r="S962" s="8">
        <v>526</v>
      </c>
      <c r="T962" s="9">
        <v>3</v>
      </c>
      <c r="U962" s="9">
        <f t="shared" ref="U962:U1025" si="238">S962-T962-1</f>
        <v>522</v>
      </c>
      <c r="V962" s="9">
        <f t="shared" ref="V962:V1025" si="239">COUNTIF(B:B,B962)</f>
        <v>8</v>
      </c>
      <c r="W962" s="7">
        <v>11.6</v>
      </c>
      <c r="X962" s="7">
        <f t="shared" si="235"/>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1"/>
        <v>0</v>
      </c>
      <c r="AS962">
        <v>0.45400000000000001</v>
      </c>
      <c r="AT962" s="40">
        <f t="shared" ref="AT962:AT976" si="240">1-AS962</f>
        <v>0.54600000000000004</v>
      </c>
      <c r="AU962">
        <v>0</v>
      </c>
      <c r="AV962" s="18">
        <v>1</v>
      </c>
      <c r="AW962">
        <v>0</v>
      </c>
      <c r="AX962" s="18">
        <v>1</v>
      </c>
      <c r="AY962" s="18" t="s">
        <v>19</v>
      </c>
      <c r="AZ962">
        <v>0</v>
      </c>
      <c r="BA962">
        <v>0</v>
      </c>
      <c r="BB962">
        <v>0</v>
      </c>
      <c r="BC962">
        <v>0</v>
      </c>
      <c r="BD962">
        <v>0</v>
      </c>
      <c r="BE962">
        <v>0</v>
      </c>
      <c r="BF962" s="18">
        <v>1</v>
      </c>
      <c r="BG962">
        <v>0</v>
      </c>
      <c r="BH962">
        <v>1</v>
      </c>
      <c r="BI962" s="18">
        <v>0</v>
      </c>
      <c r="BJ962">
        <v>925</v>
      </c>
      <c r="BK962" t="s">
        <v>98</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3979</v>
      </c>
      <c r="D963" s="12">
        <v>5.8</v>
      </c>
      <c r="E963" s="14">
        <v>1.2</v>
      </c>
      <c r="F963" s="7">
        <f t="shared" si="234"/>
        <v>4.833333333333333</v>
      </c>
      <c r="G963" s="7">
        <f t="shared" si="236"/>
        <v>4.5999999999999996</v>
      </c>
      <c r="H963" s="16">
        <f t="shared" si="237"/>
        <v>7</v>
      </c>
      <c r="I963" s="11">
        <f t="shared" si="223"/>
        <v>0.20948049241473998</v>
      </c>
      <c r="J963" s="33">
        <f t="shared" si="224"/>
        <v>4.3340791534084135E-2</v>
      </c>
      <c r="K963" s="33">
        <f t="shared" si="225"/>
        <v>23.07295193752007</v>
      </c>
      <c r="L963" s="8">
        <v>0</v>
      </c>
      <c r="M963" s="9">
        <v>1</v>
      </c>
      <c r="N963" s="8">
        <v>1</v>
      </c>
      <c r="O963" s="9">
        <v>0</v>
      </c>
      <c r="P963" s="9">
        <v>0</v>
      </c>
      <c r="Q963" s="9">
        <v>0</v>
      </c>
      <c r="R963" s="9">
        <v>0</v>
      </c>
      <c r="S963" s="8">
        <v>515</v>
      </c>
      <c r="T963" s="9">
        <v>5</v>
      </c>
      <c r="U963" s="9">
        <f t="shared" si="238"/>
        <v>509</v>
      </c>
      <c r="V963" s="9">
        <f t="shared" si="239"/>
        <v>8</v>
      </c>
      <c r="W963" s="7">
        <v>11.6</v>
      </c>
      <c r="X963" s="7">
        <f t="shared" si="235"/>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1"/>
        <v>0</v>
      </c>
      <c r="AS963">
        <v>0.45400000000000001</v>
      </c>
      <c r="AT963" s="40">
        <f t="shared" si="240"/>
        <v>0.54600000000000004</v>
      </c>
      <c r="AU963">
        <v>0</v>
      </c>
      <c r="AV963" s="18">
        <v>1</v>
      </c>
      <c r="AW963">
        <v>0</v>
      </c>
      <c r="AX963" s="18">
        <v>1</v>
      </c>
      <c r="AY963" s="18" t="s">
        <v>19</v>
      </c>
      <c r="AZ963">
        <v>0</v>
      </c>
      <c r="BA963">
        <v>0</v>
      </c>
      <c r="BB963">
        <v>0</v>
      </c>
      <c r="BC963">
        <v>0</v>
      </c>
      <c r="BD963">
        <v>0</v>
      </c>
      <c r="BE963">
        <v>0</v>
      </c>
      <c r="BF963" s="18">
        <v>1</v>
      </c>
      <c r="BG963">
        <v>0</v>
      </c>
      <c r="BH963">
        <v>1</v>
      </c>
      <c r="BI963" s="18">
        <v>0</v>
      </c>
      <c r="BJ963">
        <v>925</v>
      </c>
      <c r="BK963" t="s">
        <v>98</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3979</v>
      </c>
      <c r="D964" s="12">
        <v>8.8000000000000007</v>
      </c>
      <c r="E964" s="14">
        <v>1.6</v>
      </c>
      <c r="F964" s="7">
        <f t="shared" si="234"/>
        <v>5.5</v>
      </c>
      <c r="G964" s="7">
        <f t="shared" si="236"/>
        <v>7.2000000000000011</v>
      </c>
      <c r="H964" s="16">
        <f t="shared" si="237"/>
        <v>10.4</v>
      </c>
      <c r="I964" s="11">
        <f t="shared" si="223"/>
        <v>0.2368468497303001</v>
      </c>
      <c r="J964" s="33">
        <f t="shared" si="224"/>
        <v>4.306306358732729E-2</v>
      </c>
      <c r="K964" s="33">
        <f t="shared" si="225"/>
        <v>23.221757039466244</v>
      </c>
      <c r="L964" s="8">
        <v>0</v>
      </c>
      <c r="M964" s="9">
        <v>1</v>
      </c>
      <c r="N964" s="8">
        <v>1</v>
      </c>
      <c r="O964" s="9">
        <v>0</v>
      </c>
      <c r="P964" s="9">
        <v>0</v>
      </c>
      <c r="Q964" s="9">
        <v>0</v>
      </c>
      <c r="R964" s="9">
        <v>0</v>
      </c>
      <c r="S964" s="8">
        <v>515</v>
      </c>
      <c r="T964" s="9">
        <v>5</v>
      </c>
      <c r="U964" s="9">
        <f t="shared" si="238"/>
        <v>509</v>
      </c>
      <c r="V964" s="9">
        <f t="shared" si="239"/>
        <v>8</v>
      </c>
      <c r="W964" s="7">
        <v>11.6</v>
      </c>
      <c r="X964" s="7">
        <f t="shared" si="235"/>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1"/>
        <v>0</v>
      </c>
      <c r="AS964">
        <v>0.45400000000000001</v>
      </c>
      <c r="AT964" s="40">
        <f t="shared" si="240"/>
        <v>0.54600000000000004</v>
      </c>
      <c r="AU964">
        <v>0</v>
      </c>
      <c r="AV964" s="18">
        <v>1</v>
      </c>
      <c r="AW964">
        <v>0</v>
      </c>
      <c r="AX964" s="18">
        <v>1</v>
      </c>
      <c r="AY964" s="18" t="s">
        <v>19</v>
      </c>
      <c r="AZ964">
        <v>0</v>
      </c>
      <c r="BA964">
        <v>0</v>
      </c>
      <c r="BB964">
        <v>0</v>
      </c>
      <c r="BC964">
        <v>0</v>
      </c>
      <c r="BD964">
        <v>0</v>
      </c>
      <c r="BE964">
        <v>0</v>
      </c>
      <c r="BF964" s="18">
        <v>1</v>
      </c>
      <c r="BG964">
        <v>0</v>
      </c>
      <c r="BH964">
        <v>1</v>
      </c>
      <c r="BI964" s="18">
        <v>0</v>
      </c>
      <c r="BJ964">
        <v>925</v>
      </c>
      <c r="BK964" t="s">
        <v>98</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3979</v>
      </c>
      <c r="D965" s="12">
        <v>8.1999999999999993</v>
      </c>
      <c r="E965" s="14">
        <v>2</v>
      </c>
      <c r="F965" s="7">
        <f t="shared" si="234"/>
        <v>4.0999999999999996</v>
      </c>
      <c r="G965" s="7">
        <f t="shared" si="236"/>
        <v>6.1999999999999993</v>
      </c>
      <c r="H965" s="16">
        <f t="shared" si="237"/>
        <v>10.199999999999999</v>
      </c>
      <c r="I965" s="11">
        <f t="shared" si="223"/>
        <v>0.18017670483805717</v>
      </c>
      <c r="J965" s="33">
        <f t="shared" si="224"/>
        <v>4.3945537765379801E-2</v>
      </c>
      <c r="K965" s="33">
        <f t="shared" si="225"/>
        <v>22.755438910291314</v>
      </c>
      <c r="L965" s="8">
        <v>0</v>
      </c>
      <c r="M965" s="9">
        <v>1</v>
      </c>
      <c r="N965" s="8">
        <v>1</v>
      </c>
      <c r="O965" s="9">
        <v>0</v>
      </c>
      <c r="P965" s="9">
        <v>0</v>
      </c>
      <c r="Q965" s="9">
        <v>0</v>
      </c>
      <c r="R965" s="9">
        <v>0</v>
      </c>
      <c r="S965" s="8">
        <v>515</v>
      </c>
      <c r="T965" s="9">
        <v>13</v>
      </c>
      <c r="U965" s="9">
        <f t="shared" si="238"/>
        <v>501</v>
      </c>
      <c r="V965" s="9">
        <f t="shared" si="239"/>
        <v>8</v>
      </c>
      <c r="W965" s="7">
        <v>11.6</v>
      </c>
      <c r="X965" s="7">
        <f t="shared" si="235"/>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1"/>
        <v>0</v>
      </c>
      <c r="AS965">
        <v>0.45400000000000001</v>
      </c>
      <c r="AT965" s="40">
        <f t="shared" si="240"/>
        <v>0.54600000000000004</v>
      </c>
      <c r="AU965">
        <v>0</v>
      </c>
      <c r="AV965" s="18">
        <v>1</v>
      </c>
      <c r="AW965">
        <v>0</v>
      </c>
      <c r="AX965" s="18">
        <v>1</v>
      </c>
      <c r="AY965" s="18" t="s">
        <v>19</v>
      </c>
      <c r="AZ965">
        <v>0</v>
      </c>
      <c r="BA965">
        <v>0</v>
      </c>
      <c r="BB965">
        <v>0</v>
      </c>
      <c r="BC965">
        <v>0</v>
      </c>
      <c r="BD965">
        <v>0</v>
      </c>
      <c r="BE965">
        <v>0</v>
      </c>
      <c r="BF965" s="18">
        <v>1</v>
      </c>
      <c r="BG965">
        <v>0</v>
      </c>
      <c r="BH965">
        <v>1</v>
      </c>
      <c r="BI965" s="18">
        <v>0</v>
      </c>
      <c r="BJ965">
        <v>925</v>
      </c>
      <c r="BK965" t="s">
        <v>98</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3979</v>
      </c>
      <c r="D966" s="12">
        <v>7.4</v>
      </c>
      <c r="E966" s="14">
        <v>0.8</v>
      </c>
      <c r="F966" s="7">
        <f t="shared" si="234"/>
        <v>9.25</v>
      </c>
      <c r="G966" s="7">
        <f t="shared" si="236"/>
        <v>6.6000000000000005</v>
      </c>
      <c r="H966" s="16">
        <f t="shared" si="237"/>
        <v>8.2000000000000011</v>
      </c>
      <c r="I966" s="11">
        <f t="shared" si="223"/>
        <v>0.37527207837150228</v>
      </c>
      <c r="J966" s="33">
        <f t="shared" si="224"/>
        <v>4.0569954418540784E-2</v>
      </c>
      <c r="K966" s="33">
        <f t="shared" si="225"/>
        <v>24.64878293141469</v>
      </c>
      <c r="L966" s="8">
        <v>0</v>
      </c>
      <c r="M966" s="9">
        <v>1</v>
      </c>
      <c r="N966" s="8">
        <v>1</v>
      </c>
      <c r="O966" s="9">
        <v>0</v>
      </c>
      <c r="P966" s="9">
        <v>0</v>
      </c>
      <c r="Q966" s="9">
        <v>0</v>
      </c>
      <c r="R966" s="9">
        <v>0</v>
      </c>
      <c r="S966" s="8">
        <v>526</v>
      </c>
      <c r="T966" s="9">
        <v>3</v>
      </c>
      <c r="U966" s="9">
        <f t="shared" si="238"/>
        <v>522</v>
      </c>
      <c r="V966" s="9">
        <f t="shared" si="239"/>
        <v>8</v>
      </c>
      <c r="W966" s="7">
        <v>11.6</v>
      </c>
      <c r="X966" s="7">
        <f t="shared" si="235"/>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1"/>
        <v>0</v>
      </c>
      <c r="AS966">
        <v>0.45400000000000001</v>
      </c>
      <c r="AT966" s="40">
        <f t="shared" si="240"/>
        <v>0.54600000000000004</v>
      </c>
      <c r="AU966">
        <v>0</v>
      </c>
      <c r="AV966" s="18">
        <v>1</v>
      </c>
      <c r="AW966">
        <v>0</v>
      </c>
      <c r="AX966" s="18">
        <v>1</v>
      </c>
      <c r="AY966" s="18" t="s">
        <v>19</v>
      </c>
      <c r="AZ966">
        <v>0</v>
      </c>
      <c r="BA966">
        <v>0</v>
      </c>
      <c r="BB966">
        <v>0</v>
      </c>
      <c r="BC966">
        <v>0</v>
      </c>
      <c r="BD966">
        <v>0</v>
      </c>
      <c r="BE966">
        <v>0</v>
      </c>
      <c r="BF966" s="18">
        <v>1</v>
      </c>
      <c r="BG966">
        <v>0</v>
      </c>
      <c r="BH966">
        <v>1</v>
      </c>
      <c r="BI966" s="18">
        <v>0</v>
      </c>
      <c r="BJ966">
        <v>925</v>
      </c>
      <c r="BK966" t="s">
        <v>98</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3979</v>
      </c>
      <c r="D967" s="12">
        <v>7.1</v>
      </c>
      <c r="E967" s="14">
        <v>0.9</v>
      </c>
      <c r="F967" s="7">
        <f t="shared" si="234"/>
        <v>7.8888888888888884</v>
      </c>
      <c r="G967" s="7">
        <f t="shared" si="236"/>
        <v>6.1999999999999993</v>
      </c>
      <c r="H967" s="16">
        <f t="shared" si="237"/>
        <v>8</v>
      </c>
      <c r="I967" s="11">
        <f t="shared" si="223"/>
        <v>0.33007193484128955</v>
      </c>
      <c r="J967" s="33">
        <f t="shared" si="224"/>
        <v>4.1840104416501489E-2</v>
      </c>
      <c r="K967" s="33">
        <f t="shared" si="225"/>
        <v>23.900513967302768</v>
      </c>
      <c r="L967" s="8">
        <v>0</v>
      </c>
      <c r="M967" s="9">
        <v>1</v>
      </c>
      <c r="N967" s="8">
        <v>1</v>
      </c>
      <c r="O967" s="9">
        <v>0</v>
      </c>
      <c r="P967" s="9">
        <v>0</v>
      </c>
      <c r="Q967" s="9">
        <v>0</v>
      </c>
      <c r="R967" s="9">
        <v>0</v>
      </c>
      <c r="S967" s="8">
        <v>515</v>
      </c>
      <c r="T967" s="9">
        <v>5</v>
      </c>
      <c r="U967" s="9">
        <f t="shared" si="238"/>
        <v>509</v>
      </c>
      <c r="V967" s="9">
        <f t="shared" si="239"/>
        <v>8</v>
      </c>
      <c r="W967" s="7">
        <v>11.6</v>
      </c>
      <c r="X967" s="7">
        <f t="shared" si="235"/>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1"/>
        <v>0</v>
      </c>
      <c r="AS967">
        <v>0.45400000000000001</v>
      </c>
      <c r="AT967" s="40">
        <f t="shared" si="240"/>
        <v>0.54600000000000004</v>
      </c>
      <c r="AU967">
        <v>0</v>
      </c>
      <c r="AV967" s="18">
        <v>1</v>
      </c>
      <c r="AW967">
        <v>0</v>
      </c>
      <c r="AX967" s="18">
        <v>1</v>
      </c>
      <c r="AY967" s="18" t="s">
        <v>19</v>
      </c>
      <c r="AZ967">
        <v>0</v>
      </c>
      <c r="BA967">
        <v>0</v>
      </c>
      <c r="BB967">
        <v>0</v>
      </c>
      <c r="BC967">
        <v>0</v>
      </c>
      <c r="BD967">
        <v>0</v>
      </c>
      <c r="BE967">
        <v>0</v>
      </c>
      <c r="BF967" s="18">
        <v>1</v>
      </c>
      <c r="BG967">
        <v>0</v>
      </c>
      <c r="BH967">
        <v>1</v>
      </c>
      <c r="BI967" s="18">
        <v>0</v>
      </c>
      <c r="BJ967">
        <v>925</v>
      </c>
      <c r="BK967" t="s">
        <v>98</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3979</v>
      </c>
      <c r="D968" s="12">
        <v>8.4</v>
      </c>
      <c r="E968" s="14">
        <v>1.3</v>
      </c>
      <c r="F968" s="7">
        <f t="shared" si="234"/>
        <v>6.4615384615384617</v>
      </c>
      <c r="G968" s="7">
        <f t="shared" si="236"/>
        <v>7.1000000000000005</v>
      </c>
      <c r="H968" s="16">
        <f t="shared" si="237"/>
        <v>9.7000000000000011</v>
      </c>
      <c r="I968" s="11">
        <f t="shared" ref="I968:I1031" si="241">IFERROR(F968/SQRT(F968^2+U968), "X")</f>
        <v>0.27735463364540874</v>
      </c>
      <c r="J968" s="33">
        <f t="shared" ref="J968:J1031" si="242">IFERROR(SQRT((1-I968^2)/U968), "X")</f>
        <v>4.2923931397503737E-2</v>
      </c>
      <c r="K968" s="33">
        <f t="shared" ref="K968:K1031" si="243">IFERROR(1/J968, "X")</f>
        <v>23.297027262935089</v>
      </c>
      <c r="L968" s="8">
        <v>0</v>
      </c>
      <c r="M968" s="9">
        <v>1</v>
      </c>
      <c r="N968" s="8">
        <v>1</v>
      </c>
      <c r="O968" s="9">
        <v>0</v>
      </c>
      <c r="P968" s="9">
        <v>0</v>
      </c>
      <c r="Q968" s="9">
        <v>0</v>
      </c>
      <c r="R968" s="9">
        <v>0</v>
      </c>
      <c r="S968" s="8">
        <v>515</v>
      </c>
      <c r="T968" s="9">
        <v>13</v>
      </c>
      <c r="U968" s="9">
        <f t="shared" si="238"/>
        <v>501</v>
      </c>
      <c r="V968" s="9">
        <f t="shared" si="239"/>
        <v>8</v>
      </c>
      <c r="W968" s="7">
        <v>11.6</v>
      </c>
      <c r="X968" s="7">
        <f t="shared" si="235"/>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1"/>
        <v>0</v>
      </c>
      <c r="AS968">
        <v>0.45400000000000001</v>
      </c>
      <c r="AT968" s="40">
        <f t="shared" si="240"/>
        <v>0.54600000000000004</v>
      </c>
      <c r="AU968">
        <v>0</v>
      </c>
      <c r="AV968" s="18">
        <v>1</v>
      </c>
      <c r="AW968">
        <v>0</v>
      </c>
      <c r="AX968" s="18">
        <v>1</v>
      </c>
      <c r="AY968" s="18" t="s">
        <v>19</v>
      </c>
      <c r="AZ968">
        <v>0</v>
      </c>
      <c r="BA968">
        <v>0</v>
      </c>
      <c r="BB968">
        <v>0</v>
      </c>
      <c r="BC968">
        <v>0</v>
      </c>
      <c r="BD968">
        <v>0</v>
      </c>
      <c r="BE968">
        <v>0</v>
      </c>
      <c r="BF968" s="18">
        <v>1</v>
      </c>
      <c r="BG968">
        <v>0</v>
      </c>
      <c r="BH968">
        <v>1</v>
      </c>
      <c r="BI968" s="18">
        <v>0</v>
      </c>
      <c r="BJ968">
        <v>925</v>
      </c>
      <c r="BK968" t="s">
        <v>98</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3979</v>
      </c>
      <c r="D969" s="12">
        <v>8.8000000000000007</v>
      </c>
      <c r="E969" s="14">
        <v>1.5</v>
      </c>
      <c r="F969" s="7">
        <f t="shared" si="234"/>
        <v>5.8666666666666671</v>
      </c>
      <c r="G969" s="7">
        <f t="shared" si="236"/>
        <v>7.3000000000000007</v>
      </c>
      <c r="H969" s="16">
        <f t="shared" si="237"/>
        <v>10.3</v>
      </c>
      <c r="I969" s="11">
        <f t="shared" si="241"/>
        <v>0.25353914385959897</v>
      </c>
      <c r="J969" s="33">
        <f t="shared" si="242"/>
        <v>4.3216899521522557E-2</v>
      </c>
      <c r="K969" s="33">
        <f t="shared" si="243"/>
        <v>23.139096304259112</v>
      </c>
      <c r="L969" s="8">
        <v>0</v>
      </c>
      <c r="M969" s="9">
        <v>1</v>
      </c>
      <c r="N969" s="8">
        <v>1</v>
      </c>
      <c r="O969" s="9">
        <v>0</v>
      </c>
      <c r="P969" s="9">
        <v>0</v>
      </c>
      <c r="Q969" s="9">
        <v>0</v>
      </c>
      <c r="R969" s="9">
        <v>0</v>
      </c>
      <c r="S969" s="8">
        <v>515</v>
      </c>
      <c r="T969" s="9">
        <v>13</v>
      </c>
      <c r="U969" s="9">
        <f t="shared" si="238"/>
        <v>501</v>
      </c>
      <c r="V969" s="9">
        <f t="shared" si="239"/>
        <v>8</v>
      </c>
      <c r="W969" s="7">
        <v>11.6</v>
      </c>
      <c r="X969" s="7">
        <f t="shared" si="235"/>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1"/>
        <v>0</v>
      </c>
      <c r="AS969">
        <v>0.45400000000000001</v>
      </c>
      <c r="AT969" s="40">
        <f t="shared" si="240"/>
        <v>0.54600000000000004</v>
      </c>
      <c r="AU969">
        <v>0</v>
      </c>
      <c r="AV969" s="18">
        <v>1</v>
      </c>
      <c r="AW969">
        <v>0</v>
      </c>
      <c r="AX969" s="18">
        <v>1</v>
      </c>
      <c r="AY969" s="18" t="s">
        <v>19</v>
      </c>
      <c r="AZ969">
        <v>0</v>
      </c>
      <c r="BA969">
        <v>0</v>
      </c>
      <c r="BB969">
        <v>0</v>
      </c>
      <c r="BC969">
        <v>0</v>
      </c>
      <c r="BD969">
        <v>0</v>
      </c>
      <c r="BE969">
        <v>0</v>
      </c>
      <c r="BF969" s="18">
        <v>1</v>
      </c>
      <c r="BG969">
        <v>0</v>
      </c>
      <c r="BH969">
        <v>1</v>
      </c>
      <c r="BI969" s="18">
        <v>0</v>
      </c>
      <c r="BJ969">
        <v>925</v>
      </c>
      <c r="BK969" t="s">
        <v>98</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3993</v>
      </c>
      <c r="D970" s="12">
        <v>21.4</v>
      </c>
      <c r="E970" s="14">
        <v>12</v>
      </c>
      <c r="F970" s="7">
        <f t="shared" si="234"/>
        <v>1.7833333333333332</v>
      </c>
      <c r="G970" s="7">
        <f t="shared" si="236"/>
        <v>9.3999999999999986</v>
      </c>
      <c r="H970" s="16">
        <f t="shared" si="237"/>
        <v>33.4</v>
      </c>
      <c r="I970" s="11">
        <f t="shared" si="241"/>
        <v>4.1007761425582795E-2</v>
      </c>
      <c r="J970" s="33">
        <f t="shared" si="242"/>
        <v>2.299500640686886E-2</v>
      </c>
      <c r="K970" s="33">
        <f t="shared" si="243"/>
        <v>43.487702604044024</v>
      </c>
      <c r="L970" s="8">
        <v>1</v>
      </c>
      <c r="M970" s="9">
        <v>0</v>
      </c>
      <c r="N970" s="8">
        <v>0</v>
      </c>
      <c r="O970" s="9">
        <v>0</v>
      </c>
      <c r="P970" s="9">
        <v>1</v>
      </c>
      <c r="Q970" s="9">
        <v>0</v>
      </c>
      <c r="R970" s="9">
        <v>0</v>
      </c>
      <c r="S970" s="8">
        <v>1900</v>
      </c>
      <c r="T970" s="9">
        <v>11</v>
      </c>
      <c r="U970" s="9">
        <f t="shared" si="238"/>
        <v>1888</v>
      </c>
      <c r="V970" s="9">
        <f t="shared" si="239"/>
        <v>7</v>
      </c>
      <c r="W970" s="7">
        <v>4.6900000000000004</v>
      </c>
      <c r="X970" s="7">
        <f t="shared" si="235"/>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4">0.57</f>
        <v>0.56999999999999995</v>
      </c>
      <c r="AL970" s="33">
        <v>0.25</v>
      </c>
      <c r="AM970" s="33">
        <v>0.17</v>
      </c>
      <c r="AN970" s="43">
        <v>0.01</v>
      </c>
      <c r="AO970" s="42">
        <v>0</v>
      </c>
      <c r="AP970" s="18">
        <v>1</v>
      </c>
      <c r="AQ970">
        <v>0.55000000000000004</v>
      </c>
      <c r="AR970" s="40">
        <v>0.45</v>
      </c>
      <c r="AS970">
        <v>1</v>
      </c>
      <c r="AT970" s="40">
        <f t="shared" si="240"/>
        <v>0</v>
      </c>
      <c r="AU970">
        <v>0</v>
      </c>
      <c r="AV970" s="18">
        <v>1</v>
      </c>
      <c r="AW970">
        <v>0.85</v>
      </c>
      <c r="AX970" s="18">
        <v>0.15</v>
      </c>
      <c r="AY970" s="18" t="s">
        <v>535</v>
      </c>
      <c r="AZ970">
        <v>0</v>
      </c>
      <c r="BA970">
        <v>0</v>
      </c>
      <c r="BB970">
        <v>0</v>
      </c>
      <c r="BC970">
        <v>0</v>
      </c>
      <c r="BD970">
        <v>0</v>
      </c>
      <c r="BE970">
        <v>0</v>
      </c>
      <c r="BF970" s="18">
        <v>1</v>
      </c>
      <c r="BG970">
        <v>0</v>
      </c>
      <c r="BH970">
        <v>0</v>
      </c>
      <c r="BI970" s="18">
        <v>1</v>
      </c>
      <c r="BJ970" t="s">
        <v>98</v>
      </c>
      <c r="BK970">
        <v>28</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3993</v>
      </c>
      <c r="D971" s="12">
        <v>6</v>
      </c>
      <c r="E971" s="14">
        <v>1</v>
      </c>
      <c r="F971" s="7">
        <f t="shared" si="234"/>
        <v>6</v>
      </c>
      <c r="G971" s="7">
        <f t="shared" si="236"/>
        <v>5</v>
      </c>
      <c r="H971" s="16">
        <f t="shared" si="237"/>
        <v>7</v>
      </c>
      <c r="I971" s="11">
        <f t="shared" si="241"/>
        <v>0.13678822577626595</v>
      </c>
      <c r="J971" s="33">
        <f t="shared" si="242"/>
        <v>2.2798037629377661E-2</v>
      </c>
      <c r="K971" s="33">
        <f t="shared" si="243"/>
        <v>43.863424398922618</v>
      </c>
      <c r="L971" s="8">
        <v>1</v>
      </c>
      <c r="M971" s="9">
        <v>0</v>
      </c>
      <c r="N971" s="8">
        <v>0</v>
      </c>
      <c r="O971" s="9">
        <v>0</v>
      </c>
      <c r="P971" s="9">
        <v>1</v>
      </c>
      <c r="Q971" s="9">
        <v>0</v>
      </c>
      <c r="R971" s="9">
        <v>0</v>
      </c>
      <c r="S971" s="8">
        <v>1900</v>
      </c>
      <c r="T971" s="9">
        <v>11</v>
      </c>
      <c r="U971" s="9">
        <f t="shared" si="238"/>
        <v>1888</v>
      </c>
      <c r="V971" s="9">
        <f t="shared" si="239"/>
        <v>7</v>
      </c>
      <c r="W971" s="7">
        <v>4.6900000000000004</v>
      </c>
      <c r="X971" s="7">
        <f t="shared" si="235"/>
        <v>28.330000000000005</v>
      </c>
      <c r="Y971" s="9">
        <v>1</v>
      </c>
      <c r="Z971" s="9">
        <v>0</v>
      </c>
      <c r="AA971" s="9">
        <v>0</v>
      </c>
      <c r="AB971" s="9">
        <v>0</v>
      </c>
      <c r="AC971" s="9">
        <v>1</v>
      </c>
      <c r="AD971" s="9">
        <v>0</v>
      </c>
      <c r="AE971" s="8">
        <v>0</v>
      </c>
      <c r="AF971" s="9">
        <v>1</v>
      </c>
      <c r="AG971" s="30">
        <v>0</v>
      </c>
      <c r="AH971" s="9">
        <v>1</v>
      </c>
      <c r="AI971" s="30">
        <v>0</v>
      </c>
      <c r="AJ971" s="21">
        <v>2005</v>
      </c>
      <c r="AK971" s="7">
        <f t="shared" si="244"/>
        <v>0.56999999999999995</v>
      </c>
      <c r="AL971" s="33">
        <v>0.25</v>
      </c>
      <c r="AM971" s="33">
        <v>0.17</v>
      </c>
      <c r="AN971" s="43">
        <v>0.01</v>
      </c>
      <c r="AO971" s="42">
        <v>0</v>
      </c>
      <c r="AP971" s="18">
        <v>1</v>
      </c>
      <c r="AQ971">
        <v>0.55000000000000004</v>
      </c>
      <c r="AR971" s="40">
        <v>0.45</v>
      </c>
      <c r="AS971">
        <v>1</v>
      </c>
      <c r="AT971" s="40">
        <f t="shared" si="240"/>
        <v>0</v>
      </c>
      <c r="AU971">
        <v>0</v>
      </c>
      <c r="AV971" s="18">
        <v>1</v>
      </c>
      <c r="AW971">
        <v>0.85</v>
      </c>
      <c r="AX971" s="18">
        <v>0.15</v>
      </c>
      <c r="AY971" s="18" t="s">
        <v>535</v>
      </c>
      <c r="AZ971">
        <v>0</v>
      </c>
      <c r="BA971">
        <v>0</v>
      </c>
      <c r="BB971">
        <v>0</v>
      </c>
      <c r="BC971">
        <v>0</v>
      </c>
      <c r="BD971">
        <v>0</v>
      </c>
      <c r="BE971">
        <v>0</v>
      </c>
      <c r="BF971" s="18">
        <v>1</v>
      </c>
      <c r="BG971">
        <v>0</v>
      </c>
      <c r="BH971">
        <v>0</v>
      </c>
      <c r="BI971" s="18">
        <v>1</v>
      </c>
      <c r="BJ971" t="s">
        <v>98</v>
      </c>
      <c r="BK971">
        <v>28</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3993</v>
      </c>
      <c r="D972" s="12">
        <v>-4.0999999999999996</v>
      </c>
      <c r="E972" s="14">
        <v>1.2</v>
      </c>
      <c r="F972" s="7">
        <f t="shared" si="234"/>
        <v>-3.4166666666666665</v>
      </c>
      <c r="G972" s="7">
        <f t="shared" si="236"/>
        <v>-5.3</v>
      </c>
      <c r="H972" s="16">
        <f t="shared" si="237"/>
        <v>-2.8999999999999995</v>
      </c>
      <c r="I972" s="11">
        <f t="shared" si="241"/>
        <v>-6.316691593984583E-2</v>
      </c>
      <c r="J972" s="33">
        <f t="shared" si="242"/>
        <v>1.8487877836052439E-2</v>
      </c>
      <c r="K972" s="33">
        <f t="shared" si="243"/>
        <v>54.089496310384618</v>
      </c>
      <c r="L972" s="8">
        <v>1</v>
      </c>
      <c r="M972" s="9">
        <v>0</v>
      </c>
      <c r="N972" s="8">
        <v>0</v>
      </c>
      <c r="O972" s="9">
        <v>0</v>
      </c>
      <c r="P972" s="9">
        <v>1</v>
      </c>
      <c r="Q972" s="9">
        <v>0</v>
      </c>
      <c r="R972" s="9">
        <v>0</v>
      </c>
      <c r="S972" s="8">
        <v>2926</v>
      </c>
      <c r="T972" s="9">
        <v>11</v>
      </c>
      <c r="U972" s="9">
        <f t="shared" si="238"/>
        <v>2914</v>
      </c>
      <c r="V972" s="9">
        <f t="shared" si="239"/>
        <v>7</v>
      </c>
      <c r="W972" s="7">
        <v>4.6900000000000004</v>
      </c>
      <c r="X972" s="7">
        <f t="shared" si="235"/>
        <v>28.330000000000005</v>
      </c>
      <c r="Y972" s="9">
        <v>1</v>
      </c>
      <c r="Z972" s="9">
        <v>0</v>
      </c>
      <c r="AA972" s="9">
        <v>0</v>
      </c>
      <c r="AB972" s="9">
        <v>0</v>
      </c>
      <c r="AC972" s="9">
        <v>1</v>
      </c>
      <c r="AD972" s="9">
        <v>0</v>
      </c>
      <c r="AE972" s="8">
        <v>0</v>
      </c>
      <c r="AF972" s="9">
        <v>1</v>
      </c>
      <c r="AG972" s="30">
        <v>0</v>
      </c>
      <c r="AH972" s="9">
        <v>1</v>
      </c>
      <c r="AI972" s="30">
        <v>0</v>
      </c>
      <c r="AJ972" s="21">
        <v>2005</v>
      </c>
      <c r="AK972" s="7">
        <f t="shared" si="244"/>
        <v>0.56999999999999995</v>
      </c>
      <c r="AL972" s="33">
        <v>0.25</v>
      </c>
      <c r="AM972" s="33">
        <v>0.17</v>
      </c>
      <c r="AN972" s="43">
        <v>0.01</v>
      </c>
      <c r="AO972" s="42">
        <v>0</v>
      </c>
      <c r="AP972" s="18">
        <v>1</v>
      </c>
      <c r="AQ972">
        <v>0.55000000000000004</v>
      </c>
      <c r="AR972" s="40">
        <v>0.45</v>
      </c>
      <c r="AS972">
        <v>1</v>
      </c>
      <c r="AT972" s="40">
        <f t="shared" si="240"/>
        <v>0</v>
      </c>
      <c r="AU972">
        <v>0</v>
      </c>
      <c r="AV972" s="18">
        <v>1</v>
      </c>
      <c r="AW972">
        <v>0.85</v>
      </c>
      <c r="AX972" s="18">
        <v>0.15</v>
      </c>
      <c r="AY972" s="18" t="s">
        <v>535</v>
      </c>
      <c r="AZ972">
        <v>0</v>
      </c>
      <c r="BA972">
        <v>0</v>
      </c>
      <c r="BB972">
        <v>0</v>
      </c>
      <c r="BC972">
        <v>0</v>
      </c>
      <c r="BD972">
        <v>0</v>
      </c>
      <c r="BE972">
        <v>0</v>
      </c>
      <c r="BF972" s="18">
        <v>1</v>
      </c>
      <c r="BG972">
        <v>0</v>
      </c>
      <c r="BH972">
        <v>0</v>
      </c>
      <c r="BI972" s="18">
        <v>1</v>
      </c>
      <c r="BJ972" t="s">
        <v>98</v>
      </c>
      <c r="BK972">
        <v>28</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3993</v>
      </c>
      <c r="D973" s="12">
        <v>20</v>
      </c>
      <c r="E973" s="14">
        <v>9</v>
      </c>
      <c r="F973" s="7">
        <f t="shared" si="234"/>
        <v>2.2222222222222223</v>
      </c>
      <c r="G973" s="7">
        <f t="shared" si="236"/>
        <v>11</v>
      </c>
      <c r="H973" s="16">
        <f t="shared" si="237"/>
        <v>29</v>
      </c>
      <c r="I973" s="11">
        <f t="shared" si="241"/>
        <v>6.9582582319649325E-2</v>
      </c>
      <c r="J973" s="33">
        <f t="shared" si="242"/>
        <v>3.1312162043842191E-2</v>
      </c>
      <c r="K973" s="33">
        <f t="shared" si="243"/>
        <v>31.93647243521016</v>
      </c>
      <c r="L973" s="8">
        <v>1</v>
      </c>
      <c r="M973" s="9">
        <v>0</v>
      </c>
      <c r="N973" s="8">
        <v>0</v>
      </c>
      <c r="O973" s="9">
        <v>0</v>
      </c>
      <c r="P973" s="9">
        <v>1</v>
      </c>
      <c r="Q973" s="9">
        <v>0</v>
      </c>
      <c r="R973" s="9">
        <v>0</v>
      </c>
      <c r="S973" s="8">
        <v>1027</v>
      </c>
      <c r="T973" s="9">
        <v>11</v>
      </c>
      <c r="U973" s="9">
        <f t="shared" si="238"/>
        <v>1015</v>
      </c>
      <c r="V973" s="9">
        <f t="shared" si="239"/>
        <v>7</v>
      </c>
      <c r="W973" s="7">
        <v>4.6900000000000004</v>
      </c>
      <c r="X973" s="7">
        <f t="shared" si="235"/>
        <v>28.330000000000005</v>
      </c>
      <c r="Y973" s="9">
        <v>1</v>
      </c>
      <c r="Z973" s="9">
        <v>0</v>
      </c>
      <c r="AA973" s="9">
        <v>0</v>
      </c>
      <c r="AB973" s="9">
        <v>0</v>
      </c>
      <c r="AC973" s="9">
        <v>1</v>
      </c>
      <c r="AD973" s="9">
        <v>0</v>
      </c>
      <c r="AE973" s="8">
        <v>0</v>
      </c>
      <c r="AF973" s="9">
        <v>1</v>
      </c>
      <c r="AG973" s="30">
        <v>0</v>
      </c>
      <c r="AH973" s="9">
        <v>1</v>
      </c>
      <c r="AI973" s="30">
        <v>0</v>
      </c>
      <c r="AJ973" s="21">
        <v>2005</v>
      </c>
      <c r="AK973" s="7">
        <f t="shared" si="244"/>
        <v>0.56999999999999995</v>
      </c>
      <c r="AL973" s="33">
        <v>0.25</v>
      </c>
      <c r="AM973" s="33">
        <v>0.17</v>
      </c>
      <c r="AN973" s="43">
        <v>0.01</v>
      </c>
      <c r="AO973" s="42">
        <v>0</v>
      </c>
      <c r="AP973" s="18">
        <v>1</v>
      </c>
      <c r="AQ973">
        <v>0.55000000000000004</v>
      </c>
      <c r="AR973" s="40">
        <v>0.45</v>
      </c>
      <c r="AS973">
        <v>1</v>
      </c>
      <c r="AT973" s="40">
        <f t="shared" si="240"/>
        <v>0</v>
      </c>
      <c r="AU973">
        <v>0</v>
      </c>
      <c r="AV973" s="18">
        <v>1</v>
      </c>
      <c r="AW973">
        <v>0.85</v>
      </c>
      <c r="AX973" s="18">
        <v>0.15</v>
      </c>
      <c r="AY973" s="18" t="s">
        <v>535</v>
      </c>
      <c r="AZ973">
        <v>0</v>
      </c>
      <c r="BA973">
        <v>0</v>
      </c>
      <c r="BB973">
        <v>0</v>
      </c>
      <c r="BC973">
        <v>0</v>
      </c>
      <c r="BD973">
        <v>0</v>
      </c>
      <c r="BE973">
        <v>0</v>
      </c>
      <c r="BF973" s="18">
        <v>1</v>
      </c>
      <c r="BG973">
        <v>0</v>
      </c>
      <c r="BH973">
        <v>0</v>
      </c>
      <c r="BI973" s="18">
        <v>1</v>
      </c>
      <c r="BJ973" t="s">
        <v>98</v>
      </c>
      <c r="BK973">
        <v>28</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3993</v>
      </c>
      <c r="D974" s="12">
        <v>20.399999999999999</v>
      </c>
      <c r="E974" s="14">
        <v>9</v>
      </c>
      <c r="F974" s="7">
        <f t="shared" si="234"/>
        <v>2.2666666666666666</v>
      </c>
      <c r="G974" s="7">
        <f t="shared" si="236"/>
        <v>11.399999999999999</v>
      </c>
      <c r="H974" s="16">
        <f t="shared" si="237"/>
        <v>29.4</v>
      </c>
      <c r="I974" s="11">
        <f t="shared" si="241"/>
        <v>7.1889318935879881E-2</v>
      </c>
      <c r="J974" s="33">
        <f t="shared" si="242"/>
        <v>3.171587600112348E-2</v>
      </c>
      <c r="K974" s="33">
        <f t="shared" si="243"/>
        <v>31.529950488032451</v>
      </c>
      <c r="L974" s="8">
        <v>1</v>
      </c>
      <c r="M974" s="9">
        <v>0</v>
      </c>
      <c r="N974" s="8">
        <v>0</v>
      </c>
      <c r="O974" s="9">
        <v>0</v>
      </c>
      <c r="P974" s="9">
        <v>1</v>
      </c>
      <c r="Q974" s="9">
        <v>0</v>
      </c>
      <c r="R974" s="9">
        <v>0</v>
      </c>
      <c r="S974" s="8">
        <v>1001</v>
      </c>
      <c r="T974" s="9">
        <v>11</v>
      </c>
      <c r="U974" s="9">
        <f t="shared" si="238"/>
        <v>989</v>
      </c>
      <c r="V974" s="9">
        <f t="shared" si="239"/>
        <v>7</v>
      </c>
      <c r="W974" s="7">
        <v>4.6900000000000004</v>
      </c>
      <c r="X974" s="7">
        <f t="shared" si="235"/>
        <v>28.330000000000005</v>
      </c>
      <c r="Y974" s="9">
        <v>1</v>
      </c>
      <c r="Z974" s="9">
        <v>0</v>
      </c>
      <c r="AA974" s="9">
        <v>0</v>
      </c>
      <c r="AB974" s="9">
        <v>0</v>
      </c>
      <c r="AC974" s="9">
        <v>1</v>
      </c>
      <c r="AD974" s="9">
        <v>0</v>
      </c>
      <c r="AE974" s="8">
        <v>0</v>
      </c>
      <c r="AF974" s="9">
        <v>1</v>
      </c>
      <c r="AG974" s="30">
        <v>0</v>
      </c>
      <c r="AH974" s="9">
        <v>1</v>
      </c>
      <c r="AI974" s="30">
        <v>0</v>
      </c>
      <c r="AJ974" s="21">
        <v>2005</v>
      </c>
      <c r="AK974" s="7">
        <f t="shared" si="244"/>
        <v>0.56999999999999995</v>
      </c>
      <c r="AL974" s="33">
        <v>0.25</v>
      </c>
      <c r="AM974" s="33">
        <v>0.17</v>
      </c>
      <c r="AN974" s="43">
        <v>0.01</v>
      </c>
      <c r="AO974" s="42">
        <v>0</v>
      </c>
      <c r="AP974" s="18">
        <v>1</v>
      </c>
      <c r="AQ974">
        <v>0.55000000000000004</v>
      </c>
      <c r="AR974" s="40">
        <v>0.45</v>
      </c>
      <c r="AS974">
        <v>1</v>
      </c>
      <c r="AT974" s="40">
        <f t="shared" si="240"/>
        <v>0</v>
      </c>
      <c r="AU974">
        <v>0</v>
      </c>
      <c r="AV974" s="18">
        <v>1</v>
      </c>
      <c r="AW974">
        <v>0.85</v>
      </c>
      <c r="AX974" s="18">
        <v>0.15</v>
      </c>
      <c r="AY974" s="18" t="s">
        <v>535</v>
      </c>
      <c r="AZ974">
        <v>0</v>
      </c>
      <c r="BA974">
        <v>0</v>
      </c>
      <c r="BB974">
        <v>0</v>
      </c>
      <c r="BC974">
        <v>0</v>
      </c>
      <c r="BD974">
        <v>0</v>
      </c>
      <c r="BE974">
        <v>0</v>
      </c>
      <c r="BF974" s="18">
        <v>1</v>
      </c>
      <c r="BG974">
        <v>0</v>
      </c>
      <c r="BH974">
        <v>0</v>
      </c>
      <c r="BI974" s="18">
        <v>1</v>
      </c>
      <c r="BJ974" t="s">
        <v>98</v>
      </c>
      <c r="BK974">
        <v>28</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3993</v>
      </c>
      <c r="D975" s="12">
        <v>2.4</v>
      </c>
      <c r="E975" s="14">
        <v>14</v>
      </c>
      <c r="F975" s="7">
        <f t="shared" si="234"/>
        <v>0.17142857142857143</v>
      </c>
      <c r="G975" s="7">
        <f t="shared" si="236"/>
        <v>-11.6</v>
      </c>
      <c r="H975" s="16">
        <f t="shared" si="237"/>
        <v>16.399999999999999</v>
      </c>
      <c r="I975" s="11">
        <f t="shared" si="241"/>
        <v>7.8162312730669422E-3</v>
      </c>
      <c r="J975" s="33">
        <f t="shared" si="242"/>
        <v>4.5594682426223825E-2</v>
      </c>
      <c r="K975" s="33">
        <f t="shared" si="243"/>
        <v>21.932382172374755</v>
      </c>
      <c r="L975" s="8">
        <v>1</v>
      </c>
      <c r="M975" s="9">
        <v>0</v>
      </c>
      <c r="N975" s="8">
        <v>0</v>
      </c>
      <c r="O975" s="9">
        <v>0</v>
      </c>
      <c r="P975" s="9">
        <v>1</v>
      </c>
      <c r="Q975" s="9">
        <v>0</v>
      </c>
      <c r="R975" s="9">
        <v>0</v>
      </c>
      <c r="S975" s="8">
        <v>493</v>
      </c>
      <c r="T975" s="9">
        <v>11</v>
      </c>
      <c r="U975" s="9">
        <f t="shared" si="238"/>
        <v>481</v>
      </c>
      <c r="V975" s="9">
        <f t="shared" si="239"/>
        <v>7</v>
      </c>
      <c r="W975" s="7">
        <v>4.6900000000000004</v>
      </c>
      <c r="X975" s="7">
        <f t="shared" si="235"/>
        <v>28.330000000000005</v>
      </c>
      <c r="Y975" s="9">
        <v>1</v>
      </c>
      <c r="Z975" s="9">
        <v>0</v>
      </c>
      <c r="AA975" s="9">
        <v>0</v>
      </c>
      <c r="AB975" s="9">
        <v>0</v>
      </c>
      <c r="AC975" s="9">
        <v>1</v>
      </c>
      <c r="AD975" s="9">
        <v>0</v>
      </c>
      <c r="AE975" s="8">
        <v>0</v>
      </c>
      <c r="AF975" s="9">
        <v>1</v>
      </c>
      <c r="AG975" s="30">
        <v>0</v>
      </c>
      <c r="AH975" s="9">
        <v>1</v>
      </c>
      <c r="AI975" s="30">
        <v>0</v>
      </c>
      <c r="AJ975" s="21">
        <v>2005</v>
      </c>
      <c r="AK975" s="7">
        <f t="shared" si="244"/>
        <v>0.56999999999999995</v>
      </c>
      <c r="AL975" s="33">
        <v>0.25</v>
      </c>
      <c r="AM975" s="33">
        <v>0.17</v>
      </c>
      <c r="AN975" s="43">
        <v>0.01</v>
      </c>
      <c r="AO975" s="42">
        <v>0</v>
      </c>
      <c r="AP975" s="18">
        <v>1</v>
      </c>
      <c r="AQ975">
        <v>0.55000000000000004</v>
      </c>
      <c r="AR975" s="40">
        <v>0.45</v>
      </c>
      <c r="AS975">
        <v>1</v>
      </c>
      <c r="AT975" s="40">
        <f t="shared" si="240"/>
        <v>0</v>
      </c>
      <c r="AU975">
        <v>0</v>
      </c>
      <c r="AV975" s="18">
        <v>1</v>
      </c>
      <c r="AW975">
        <v>0.85</v>
      </c>
      <c r="AX975" s="18">
        <v>0.15</v>
      </c>
      <c r="AY975" s="18" t="s">
        <v>535</v>
      </c>
      <c r="AZ975">
        <v>0</v>
      </c>
      <c r="BA975">
        <v>0</v>
      </c>
      <c r="BB975">
        <v>0</v>
      </c>
      <c r="BC975">
        <v>0</v>
      </c>
      <c r="BD975">
        <v>0</v>
      </c>
      <c r="BE975">
        <v>0</v>
      </c>
      <c r="BF975" s="18">
        <v>1</v>
      </c>
      <c r="BG975">
        <v>0</v>
      </c>
      <c r="BH975">
        <v>0</v>
      </c>
      <c r="BI975" s="18">
        <v>1</v>
      </c>
      <c r="BJ975" t="s">
        <v>98</v>
      </c>
      <c r="BK975">
        <v>28</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3993</v>
      </c>
      <c r="D976" s="12">
        <v>21.6</v>
      </c>
      <c r="E976" s="14">
        <v>4</v>
      </c>
      <c r="F976" s="7">
        <f t="shared" si="234"/>
        <v>5.4</v>
      </c>
      <c r="G976" s="7">
        <f t="shared" si="236"/>
        <v>17.600000000000001</v>
      </c>
      <c r="H976" s="16">
        <f t="shared" si="237"/>
        <v>25.6</v>
      </c>
      <c r="I976" s="11">
        <f t="shared" si="241"/>
        <v>0.11316105469835643</v>
      </c>
      <c r="J976" s="33">
        <f t="shared" si="242"/>
        <v>2.0955750870066004E-2</v>
      </c>
      <c r="K976" s="33">
        <f t="shared" si="243"/>
        <v>47.7195976512795</v>
      </c>
      <c r="L976" s="8">
        <v>1</v>
      </c>
      <c r="M976" s="9">
        <v>0</v>
      </c>
      <c r="N976" s="8">
        <v>0</v>
      </c>
      <c r="O976" s="9">
        <v>0</v>
      </c>
      <c r="P976" s="9">
        <v>1</v>
      </c>
      <c r="Q976" s="9">
        <v>0</v>
      </c>
      <c r="R976" s="9">
        <v>0</v>
      </c>
      <c r="S976" s="8">
        <v>2260</v>
      </c>
      <c r="T976" s="9">
        <v>11</v>
      </c>
      <c r="U976" s="9">
        <f t="shared" si="238"/>
        <v>2248</v>
      </c>
      <c r="V976" s="9">
        <f t="shared" si="239"/>
        <v>7</v>
      </c>
      <c r="W976" s="7">
        <v>4.6900000000000004</v>
      </c>
      <c r="X976" s="7">
        <f t="shared" si="235"/>
        <v>28.330000000000005</v>
      </c>
      <c r="Y976" s="9">
        <v>1</v>
      </c>
      <c r="Z976" s="9">
        <v>0</v>
      </c>
      <c r="AA976" s="9">
        <v>0</v>
      </c>
      <c r="AB976" s="9">
        <v>0</v>
      </c>
      <c r="AC976" s="9">
        <v>1</v>
      </c>
      <c r="AD976" s="9">
        <v>0</v>
      </c>
      <c r="AE976" s="8">
        <v>0</v>
      </c>
      <c r="AF976" s="9">
        <v>1</v>
      </c>
      <c r="AG976" s="30">
        <v>0</v>
      </c>
      <c r="AH976" s="9">
        <v>1</v>
      </c>
      <c r="AI976" s="30">
        <v>0</v>
      </c>
      <c r="AJ976" s="21">
        <v>2005</v>
      </c>
      <c r="AK976" s="7">
        <f t="shared" si="244"/>
        <v>0.56999999999999995</v>
      </c>
      <c r="AL976" s="33">
        <v>0.25</v>
      </c>
      <c r="AM976" s="33">
        <v>0.17</v>
      </c>
      <c r="AN976" s="43">
        <v>0.01</v>
      </c>
      <c r="AO976" s="42">
        <v>0</v>
      </c>
      <c r="AP976" s="18">
        <v>1</v>
      </c>
      <c r="AQ976">
        <v>0.55000000000000004</v>
      </c>
      <c r="AR976" s="40">
        <v>0.45</v>
      </c>
      <c r="AS976">
        <v>1</v>
      </c>
      <c r="AT976" s="40">
        <f t="shared" si="240"/>
        <v>0</v>
      </c>
      <c r="AU976">
        <v>0</v>
      </c>
      <c r="AV976" s="18">
        <v>1</v>
      </c>
      <c r="AW976">
        <v>0.85</v>
      </c>
      <c r="AX976" s="18">
        <v>0.15</v>
      </c>
      <c r="AY976" s="18" t="s">
        <v>535</v>
      </c>
      <c r="AZ976">
        <v>0</v>
      </c>
      <c r="BA976">
        <v>0</v>
      </c>
      <c r="BB976">
        <v>0</v>
      </c>
      <c r="BC976">
        <v>0</v>
      </c>
      <c r="BD976">
        <v>0</v>
      </c>
      <c r="BE976">
        <v>0</v>
      </c>
      <c r="BF976" s="18">
        <v>1</v>
      </c>
      <c r="BG976">
        <v>0</v>
      </c>
      <c r="BH976">
        <v>0</v>
      </c>
      <c r="BI976" s="18">
        <v>1</v>
      </c>
      <c r="BJ976" t="s">
        <v>98</v>
      </c>
      <c r="BK976">
        <v>28</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4001</v>
      </c>
      <c r="D977" s="12">
        <v>9</v>
      </c>
      <c r="E977" s="14">
        <v>0.4</v>
      </c>
      <c r="F977" s="7">
        <f t="shared" si="234"/>
        <v>22.5</v>
      </c>
      <c r="G977" s="7">
        <f t="shared" si="236"/>
        <v>8.6</v>
      </c>
      <c r="H977" s="16">
        <f t="shared" si="237"/>
        <v>9.4</v>
      </c>
      <c r="I977" s="11">
        <f t="shared" si="241"/>
        <v>0.2075319928180912</v>
      </c>
      <c r="J977" s="33">
        <f t="shared" si="242"/>
        <v>9.2236441252484987E-3</v>
      </c>
      <c r="K977" s="33">
        <f t="shared" si="243"/>
        <v>108.41701895920215</v>
      </c>
      <c r="L977" s="8">
        <v>0</v>
      </c>
      <c r="M977" s="9">
        <v>1</v>
      </c>
      <c r="N977" s="8">
        <v>0</v>
      </c>
      <c r="O977" s="9">
        <v>0</v>
      </c>
      <c r="P977" s="9">
        <v>1</v>
      </c>
      <c r="Q977" s="9">
        <v>0</v>
      </c>
      <c r="R977" s="9">
        <v>0</v>
      </c>
      <c r="S977" s="8">
        <v>11271</v>
      </c>
      <c r="T977" s="9">
        <v>22</v>
      </c>
      <c r="U977" s="9">
        <f t="shared" si="238"/>
        <v>11248</v>
      </c>
      <c r="V977" s="9">
        <f t="shared" si="239"/>
        <v>20</v>
      </c>
      <c r="W977" s="7">
        <v>8.8800000000000008</v>
      </c>
      <c r="X977" s="7">
        <f t="shared" si="23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5">1-AQ977</f>
        <v>0.49</v>
      </c>
      <c r="AS977" t="s">
        <v>98</v>
      </c>
      <c r="AT977" s="40" t="s">
        <v>98</v>
      </c>
      <c r="AU977">
        <v>0</v>
      </c>
      <c r="AV977" s="18">
        <v>1</v>
      </c>
      <c r="AW977">
        <v>0.75</v>
      </c>
      <c r="AX977" s="18">
        <f t="shared" ref="AX977:AX986" si="246">1-AW977</f>
        <v>0.25</v>
      </c>
      <c r="AY977" s="18" t="s">
        <v>5</v>
      </c>
      <c r="AZ977">
        <v>0</v>
      </c>
      <c r="BA977">
        <v>1</v>
      </c>
      <c r="BB977">
        <v>0</v>
      </c>
      <c r="BC977">
        <v>0</v>
      </c>
      <c r="BD977">
        <v>0</v>
      </c>
      <c r="BE977">
        <v>0</v>
      </c>
      <c r="BF977" s="18">
        <v>0</v>
      </c>
      <c r="BG977">
        <v>0</v>
      </c>
      <c r="BH977">
        <v>1</v>
      </c>
      <c r="BI977" s="18">
        <v>0</v>
      </c>
      <c r="BJ977">
        <v>942</v>
      </c>
      <c r="BK977">
        <v>131</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4001</v>
      </c>
      <c r="D978" s="12">
        <v>20</v>
      </c>
      <c r="E978" s="14">
        <v>6</v>
      </c>
      <c r="F978" s="7">
        <f t="shared" si="234"/>
        <v>3.3333333333333335</v>
      </c>
      <c r="G978" s="7">
        <f t="shared" si="236"/>
        <v>14</v>
      </c>
      <c r="H978" s="16">
        <f t="shared" si="237"/>
        <v>26</v>
      </c>
      <c r="I978" s="11">
        <f t="shared" si="241"/>
        <v>3.1414249795253035E-2</v>
      </c>
      <c r="J978" s="33">
        <f t="shared" si="242"/>
        <v>9.4242749385759095E-3</v>
      </c>
      <c r="K978" s="33">
        <f t="shared" si="243"/>
        <v>106.10895867508601</v>
      </c>
      <c r="L978" s="8">
        <v>0</v>
      </c>
      <c r="M978" s="9">
        <v>1</v>
      </c>
      <c r="N978" s="8">
        <v>0</v>
      </c>
      <c r="O978" s="9">
        <v>0</v>
      </c>
      <c r="P978" s="9">
        <v>1</v>
      </c>
      <c r="Q978" s="9">
        <v>0</v>
      </c>
      <c r="R978" s="9">
        <v>0</v>
      </c>
      <c r="S978" s="8">
        <v>11271</v>
      </c>
      <c r="T978" s="9">
        <v>22</v>
      </c>
      <c r="U978" s="9">
        <f t="shared" si="238"/>
        <v>11248</v>
      </c>
      <c r="V978" s="9">
        <f t="shared" si="239"/>
        <v>20</v>
      </c>
      <c r="W978" s="7">
        <v>8.8800000000000008</v>
      </c>
      <c r="X978" s="7">
        <f t="shared" si="23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5"/>
        <v>0.49</v>
      </c>
      <c r="AS978" t="s">
        <v>98</v>
      </c>
      <c r="AT978" s="40" t="s">
        <v>98</v>
      </c>
      <c r="AU978">
        <v>0</v>
      </c>
      <c r="AV978" s="18">
        <v>1</v>
      </c>
      <c r="AW978">
        <v>0.75</v>
      </c>
      <c r="AX978" s="18">
        <f t="shared" si="246"/>
        <v>0.25</v>
      </c>
      <c r="AY978" s="18" t="s">
        <v>5</v>
      </c>
      <c r="AZ978">
        <v>0</v>
      </c>
      <c r="BA978">
        <v>1</v>
      </c>
      <c r="BB978">
        <v>0</v>
      </c>
      <c r="BC978">
        <v>0</v>
      </c>
      <c r="BD978">
        <v>0</v>
      </c>
      <c r="BE978">
        <v>0</v>
      </c>
      <c r="BF978" s="18">
        <v>0</v>
      </c>
      <c r="BG978">
        <v>0</v>
      </c>
      <c r="BH978">
        <v>1</v>
      </c>
      <c r="BI978" s="18">
        <v>0</v>
      </c>
      <c r="BJ978">
        <v>942</v>
      </c>
      <c r="BK978">
        <v>131</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4001</v>
      </c>
      <c r="D979" s="12">
        <v>9</v>
      </c>
      <c r="E979" s="14">
        <v>1</v>
      </c>
      <c r="F979" s="7">
        <f t="shared" si="234"/>
        <v>9</v>
      </c>
      <c r="G979" s="7">
        <f t="shared" si="236"/>
        <v>8</v>
      </c>
      <c r="H979" s="16">
        <f t="shared" si="237"/>
        <v>10</v>
      </c>
      <c r="I979" s="11">
        <f t="shared" si="241"/>
        <v>8.4556446044914232E-2</v>
      </c>
      <c r="J979" s="33">
        <f t="shared" si="242"/>
        <v>9.3951606716571358E-3</v>
      </c>
      <c r="K979" s="33">
        <f t="shared" si="243"/>
        <v>106.43777524920371</v>
      </c>
      <c r="L979" s="8">
        <v>0</v>
      </c>
      <c r="M979" s="9">
        <v>1</v>
      </c>
      <c r="N979" s="8">
        <v>0</v>
      </c>
      <c r="O979" s="9">
        <v>0</v>
      </c>
      <c r="P979" s="9">
        <v>1</v>
      </c>
      <c r="Q979" s="9">
        <v>0</v>
      </c>
      <c r="R979" s="9">
        <v>0</v>
      </c>
      <c r="S979" s="8">
        <v>11271</v>
      </c>
      <c r="T979" s="9">
        <v>22</v>
      </c>
      <c r="U979" s="9">
        <f t="shared" si="238"/>
        <v>11248</v>
      </c>
      <c r="V979" s="9">
        <f t="shared" si="239"/>
        <v>20</v>
      </c>
      <c r="W979" s="7">
        <v>8.8800000000000008</v>
      </c>
      <c r="X979" s="7">
        <f t="shared" si="23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5"/>
        <v>0.49</v>
      </c>
      <c r="AS979" t="s">
        <v>98</v>
      </c>
      <c r="AT979" s="40" t="s">
        <v>98</v>
      </c>
      <c r="AU979">
        <v>0</v>
      </c>
      <c r="AV979" s="18">
        <v>1</v>
      </c>
      <c r="AW979">
        <v>0.75</v>
      </c>
      <c r="AX979" s="18">
        <f t="shared" si="246"/>
        <v>0.25</v>
      </c>
      <c r="AY979" s="18" t="s">
        <v>5</v>
      </c>
      <c r="AZ979">
        <v>0</v>
      </c>
      <c r="BA979">
        <v>1</v>
      </c>
      <c r="BB979">
        <v>0</v>
      </c>
      <c r="BC979">
        <v>0</v>
      </c>
      <c r="BD979">
        <v>0</v>
      </c>
      <c r="BE979">
        <v>0</v>
      </c>
      <c r="BF979" s="18">
        <v>0</v>
      </c>
      <c r="BG979">
        <v>0</v>
      </c>
      <c r="BH979">
        <v>1</v>
      </c>
      <c r="BI979" s="18">
        <v>0</v>
      </c>
      <c r="BJ979">
        <v>942</v>
      </c>
      <c r="BK979">
        <v>131</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4001</v>
      </c>
      <c r="D980" s="12">
        <v>26</v>
      </c>
      <c r="E980" s="14">
        <v>9</v>
      </c>
      <c r="F980" s="7">
        <f t="shared" si="234"/>
        <v>2.8888888888888888</v>
      </c>
      <c r="G980" s="7">
        <f t="shared" si="236"/>
        <v>17</v>
      </c>
      <c r="H980" s="16">
        <f t="shared" si="237"/>
        <v>35</v>
      </c>
      <c r="I980" s="11">
        <f t="shared" si="241"/>
        <v>2.7229027320880107E-2</v>
      </c>
      <c r="J980" s="33">
        <f t="shared" si="242"/>
        <v>9.4254325341508061E-3</v>
      </c>
      <c r="K980" s="33">
        <f t="shared" si="243"/>
        <v>106.0959267786108</v>
      </c>
      <c r="L980" s="8">
        <v>0</v>
      </c>
      <c r="M980" s="9">
        <v>1</v>
      </c>
      <c r="N980" s="8">
        <v>0</v>
      </c>
      <c r="O980" s="9">
        <v>0</v>
      </c>
      <c r="P980" s="9">
        <v>1</v>
      </c>
      <c r="Q980" s="9">
        <v>0</v>
      </c>
      <c r="R980" s="9">
        <v>0</v>
      </c>
      <c r="S980" s="8">
        <v>11271</v>
      </c>
      <c r="T980" s="9">
        <v>22</v>
      </c>
      <c r="U980" s="9">
        <f t="shared" si="238"/>
        <v>11248</v>
      </c>
      <c r="V980" s="9">
        <f t="shared" si="239"/>
        <v>20</v>
      </c>
      <c r="W980" s="7">
        <v>8.8800000000000008</v>
      </c>
      <c r="X980" s="7">
        <f t="shared" si="23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5"/>
        <v>0.49</v>
      </c>
      <c r="AS980" t="s">
        <v>98</v>
      </c>
      <c r="AT980" s="40" t="s">
        <v>98</v>
      </c>
      <c r="AU980">
        <v>0</v>
      </c>
      <c r="AV980" s="18">
        <v>1</v>
      </c>
      <c r="AW980">
        <v>0.75</v>
      </c>
      <c r="AX980" s="18">
        <f t="shared" si="246"/>
        <v>0.25</v>
      </c>
      <c r="AY980" s="18" t="s">
        <v>5</v>
      </c>
      <c r="AZ980">
        <v>0</v>
      </c>
      <c r="BA980">
        <v>1</v>
      </c>
      <c r="BB980">
        <v>0</v>
      </c>
      <c r="BC980">
        <v>0</v>
      </c>
      <c r="BD980">
        <v>0</v>
      </c>
      <c r="BE980">
        <v>0</v>
      </c>
      <c r="BF980" s="18">
        <v>0</v>
      </c>
      <c r="BG980">
        <v>0</v>
      </c>
      <c r="BH980">
        <v>1</v>
      </c>
      <c r="BI980" s="18">
        <v>0</v>
      </c>
      <c r="BJ980">
        <v>942</v>
      </c>
      <c r="BK980">
        <v>131</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4001</v>
      </c>
      <c r="D981" s="12">
        <v>9</v>
      </c>
      <c r="E981" s="14">
        <v>1</v>
      </c>
      <c r="F981" s="7">
        <f t="shared" si="234"/>
        <v>9</v>
      </c>
      <c r="G981" s="7">
        <f t="shared" si="236"/>
        <v>8</v>
      </c>
      <c r="H981" s="16">
        <f t="shared" si="237"/>
        <v>10</v>
      </c>
      <c r="I981" s="11">
        <f t="shared" si="241"/>
        <v>0.10435527873593063</v>
      </c>
      <c r="J981" s="33">
        <f t="shared" si="242"/>
        <v>1.159503097065896E-2</v>
      </c>
      <c r="K981" s="33">
        <f t="shared" si="243"/>
        <v>86.24384035976135</v>
      </c>
      <c r="L981" s="8">
        <v>0</v>
      </c>
      <c r="M981" s="9">
        <v>1</v>
      </c>
      <c r="N981" s="8">
        <v>0</v>
      </c>
      <c r="O981" s="9">
        <v>0</v>
      </c>
      <c r="P981" s="9">
        <v>1</v>
      </c>
      <c r="Q981" s="9">
        <v>0</v>
      </c>
      <c r="R981" s="9">
        <v>0</v>
      </c>
      <c r="S981" s="8">
        <v>7380</v>
      </c>
      <c r="T981" s="9">
        <v>22</v>
      </c>
      <c r="U981" s="9">
        <f t="shared" si="238"/>
        <v>7357</v>
      </c>
      <c r="V981" s="9">
        <f t="shared" si="239"/>
        <v>20</v>
      </c>
      <c r="W981" s="7">
        <v>8.66</v>
      </c>
      <c r="X981" s="7">
        <f t="shared" si="23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5"/>
        <v>0.5</v>
      </c>
      <c r="AS981" t="s">
        <v>98</v>
      </c>
      <c r="AT981" s="40" t="s">
        <v>98</v>
      </c>
      <c r="AU981">
        <v>0</v>
      </c>
      <c r="AV981" s="18">
        <v>1</v>
      </c>
      <c r="AW981">
        <v>0.73</v>
      </c>
      <c r="AX981" s="18">
        <f t="shared" si="246"/>
        <v>0.27</v>
      </c>
      <c r="AY981" s="18" t="s">
        <v>5</v>
      </c>
      <c r="AZ981">
        <v>0</v>
      </c>
      <c r="BA981">
        <v>1</v>
      </c>
      <c r="BB981">
        <v>0</v>
      </c>
      <c r="BC981">
        <v>0</v>
      </c>
      <c r="BD981">
        <v>0</v>
      </c>
      <c r="BE981">
        <v>0</v>
      </c>
      <c r="BF981" s="18">
        <v>0</v>
      </c>
      <c r="BG981">
        <v>0</v>
      </c>
      <c r="BH981">
        <v>1</v>
      </c>
      <c r="BI981" s="18">
        <v>0</v>
      </c>
      <c r="BJ981">
        <v>942</v>
      </c>
      <c r="BK981">
        <v>131</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4001</v>
      </c>
      <c r="D982" s="12">
        <v>54</v>
      </c>
      <c r="E982" s="14">
        <v>111</v>
      </c>
      <c r="F982" s="7">
        <f t="shared" si="234"/>
        <v>0.48648648648648651</v>
      </c>
      <c r="G982" s="7">
        <f t="shared" si="236"/>
        <v>-57</v>
      </c>
      <c r="H982" s="16">
        <f t="shared" si="237"/>
        <v>165</v>
      </c>
      <c r="I982" s="11">
        <f t="shared" si="241"/>
        <v>5.6717021749372338E-3</v>
      </c>
      <c r="J982" s="33">
        <f t="shared" si="242"/>
        <v>1.1658498915148759E-2</v>
      </c>
      <c r="K982" s="33">
        <f t="shared" si="243"/>
        <v>85.774335725212893</v>
      </c>
      <c r="L982" s="8">
        <v>0</v>
      </c>
      <c r="M982" s="9">
        <v>1</v>
      </c>
      <c r="N982" s="8">
        <v>0</v>
      </c>
      <c r="O982" s="9">
        <v>0</v>
      </c>
      <c r="P982" s="9">
        <v>1</v>
      </c>
      <c r="Q982" s="9">
        <v>0</v>
      </c>
      <c r="R982" s="9">
        <v>0</v>
      </c>
      <c r="S982" s="8">
        <v>7380</v>
      </c>
      <c r="T982" s="9">
        <v>22</v>
      </c>
      <c r="U982" s="9">
        <f t="shared" si="238"/>
        <v>7357</v>
      </c>
      <c r="V982" s="9">
        <f t="shared" si="239"/>
        <v>20</v>
      </c>
      <c r="W982" s="7">
        <v>8.66</v>
      </c>
      <c r="X982" s="7">
        <f t="shared" si="23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5"/>
        <v>0.5</v>
      </c>
      <c r="AS982" t="s">
        <v>98</v>
      </c>
      <c r="AT982" s="40" t="s">
        <v>98</v>
      </c>
      <c r="AU982">
        <v>0</v>
      </c>
      <c r="AV982" s="18">
        <v>1</v>
      </c>
      <c r="AW982">
        <v>0.73</v>
      </c>
      <c r="AX982" s="18">
        <f t="shared" si="246"/>
        <v>0.27</v>
      </c>
      <c r="AY982" s="18" t="s">
        <v>5</v>
      </c>
      <c r="AZ982">
        <v>0</v>
      </c>
      <c r="BA982">
        <v>1</v>
      </c>
      <c r="BB982">
        <v>0</v>
      </c>
      <c r="BC982">
        <v>0</v>
      </c>
      <c r="BD982">
        <v>0</v>
      </c>
      <c r="BE982">
        <v>0</v>
      </c>
      <c r="BF982" s="18">
        <v>0</v>
      </c>
      <c r="BG982">
        <v>0</v>
      </c>
      <c r="BH982">
        <v>1</v>
      </c>
      <c r="BI982" s="18">
        <v>0</v>
      </c>
      <c r="BJ982">
        <v>942</v>
      </c>
      <c r="BK982">
        <v>131</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4001</v>
      </c>
      <c r="D983" s="12">
        <v>1</v>
      </c>
      <c r="E983" s="14">
        <v>2</v>
      </c>
      <c r="F983" s="7">
        <f t="shared" si="234"/>
        <v>0.5</v>
      </c>
      <c r="G983" s="7">
        <f t="shared" si="236"/>
        <v>-1</v>
      </c>
      <c r="H983" s="16">
        <f t="shared" si="237"/>
        <v>3</v>
      </c>
      <c r="I983" s="11">
        <f t="shared" si="241"/>
        <v>8.0391982232139066E-3</v>
      </c>
      <c r="J983" s="33">
        <f t="shared" si="242"/>
        <v>1.6078396446427813E-2</v>
      </c>
      <c r="K983" s="33">
        <f t="shared" si="243"/>
        <v>62.195257053894395</v>
      </c>
      <c r="L983" s="8">
        <v>0</v>
      </c>
      <c r="M983" s="9">
        <v>1</v>
      </c>
      <c r="N983" s="8">
        <v>0</v>
      </c>
      <c r="O983" s="9">
        <v>0</v>
      </c>
      <c r="P983" s="9">
        <v>1</v>
      </c>
      <c r="Q983" s="9">
        <v>0</v>
      </c>
      <c r="R983" s="9">
        <v>0</v>
      </c>
      <c r="S983" s="8">
        <v>3891</v>
      </c>
      <c r="T983" s="9">
        <v>22</v>
      </c>
      <c r="U983" s="9">
        <f t="shared" si="238"/>
        <v>3868</v>
      </c>
      <c r="V983" s="9">
        <f t="shared" si="239"/>
        <v>20</v>
      </c>
      <c r="W983" s="7">
        <v>9.2799999999999994</v>
      </c>
      <c r="X983" s="7">
        <f t="shared" si="23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5"/>
        <v>0.48</v>
      </c>
      <c r="AS983" t="s">
        <v>98</v>
      </c>
      <c r="AT983" s="40" t="s">
        <v>98</v>
      </c>
      <c r="AU983">
        <v>0</v>
      </c>
      <c r="AV983" s="18">
        <v>1</v>
      </c>
      <c r="AW983">
        <v>0.79</v>
      </c>
      <c r="AX983" s="18">
        <f t="shared" si="246"/>
        <v>0.20999999999999996</v>
      </c>
      <c r="AY983" s="18" t="s">
        <v>5</v>
      </c>
      <c r="AZ983">
        <v>0</v>
      </c>
      <c r="BA983">
        <v>1</v>
      </c>
      <c r="BB983">
        <v>0</v>
      </c>
      <c r="BC983">
        <v>0</v>
      </c>
      <c r="BD983">
        <v>0</v>
      </c>
      <c r="BE983">
        <v>0</v>
      </c>
      <c r="BF983" s="18">
        <v>0</v>
      </c>
      <c r="BG983">
        <v>0</v>
      </c>
      <c r="BH983">
        <v>1</v>
      </c>
      <c r="BI983" s="18">
        <v>0</v>
      </c>
      <c r="BJ983">
        <v>942</v>
      </c>
      <c r="BK983">
        <v>131</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4001</v>
      </c>
      <c r="D984" s="12">
        <v>4</v>
      </c>
      <c r="E984" s="14">
        <v>22</v>
      </c>
      <c r="F984" s="7">
        <f t="shared" si="234"/>
        <v>0.18181818181818182</v>
      </c>
      <c r="G984" s="7">
        <f t="shared" si="236"/>
        <v>-18</v>
      </c>
      <c r="H984" s="16">
        <f t="shared" si="237"/>
        <v>26</v>
      </c>
      <c r="I984" s="11">
        <f t="shared" si="241"/>
        <v>2.9234267865169308E-3</v>
      </c>
      <c r="J984" s="33">
        <f t="shared" si="242"/>
        <v>1.607884732584312E-2</v>
      </c>
      <c r="K984" s="33">
        <f t="shared" si="243"/>
        <v>62.193512988504196</v>
      </c>
      <c r="L984" s="8">
        <v>0</v>
      </c>
      <c r="M984" s="9">
        <v>1</v>
      </c>
      <c r="N984" s="8">
        <v>0</v>
      </c>
      <c r="O984" s="9">
        <v>0</v>
      </c>
      <c r="P984" s="9">
        <v>1</v>
      </c>
      <c r="Q984" s="9">
        <v>0</v>
      </c>
      <c r="R984" s="9">
        <v>0</v>
      </c>
      <c r="S984" s="8">
        <v>3891</v>
      </c>
      <c r="T984" s="9">
        <v>22</v>
      </c>
      <c r="U984" s="9">
        <f t="shared" si="238"/>
        <v>3868</v>
      </c>
      <c r="V984" s="9">
        <f t="shared" si="239"/>
        <v>20</v>
      </c>
      <c r="W984" s="7">
        <v>9.2799999999999994</v>
      </c>
      <c r="X984" s="7">
        <f t="shared" si="23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5"/>
        <v>0.48</v>
      </c>
      <c r="AS984" t="s">
        <v>98</v>
      </c>
      <c r="AT984" s="40" t="s">
        <v>98</v>
      </c>
      <c r="AU984">
        <v>0</v>
      </c>
      <c r="AV984" s="18">
        <v>1</v>
      </c>
      <c r="AW984">
        <v>0.79</v>
      </c>
      <c r="AX984" s="18">
        <f t="shared" si="246"/>
        <v>0.20999999999999996</v>
      </c>
      <c r="AY984" s="18" t="s">
        <v>5</v>
      </c>
      <c r="AZ984">
        <v>0</v>
      </c>
      <c r="BA984">
        <v>1</v>
      </c>
      <c r="BB984">
        <v>0</v>
      </c>
      <c r="BC984">
        <v>0</v>
      </c>
      <c r="BD984">
        <v>0</v>
      </c>
      <c r="BE984">
        <v>0</v>
      </c>
      <c r="BF984" s="18">
        <v>0</v>
      </c>
      <c r="BG984">
        <v>0</v>
      </c>
      <c r="BH984">
        <v>1</v>
      </c>
      <c r="BI984" s="18">
        <v>0</v>
      </c>
      <c r="BJ984">
        <v>942</v>
      </c>
      <c r="BK984">
        <v>131</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4001</v>
      </c>
      <c r="D985" s="12">
        <v>9</v>
      </c>
      <c r="E985" s="14">
        <v>1</v>
      </c>
      <c r="F985" s="7">
        <f t="shared" si="234"/>
        <v>9</v>
      </c>
      <c r="G985" s="7">
        <f t="shared" si="236"/>
        <v>8</v>
      </c>
      <c r="H985" s="16">
        <f t="shared" si="237"/>
        <v>10</v>
      </c>
      <c r="I985" s="11">
        <f t="shared" si="241"/>
        <v>8.4556446044914232E-2</v>
      </c>
      <c r="J985" s="33">
        <f t="shared" si="242"/>
        <v>9.3951606716571358E-3</v>
      </c>
      <c r="K985" s="33">
        <f t="shared" si="243"/>
        <v>106.43777524920371</v>
      </c>
      <c r="L985" s="8">
        <v>0</v>
      </c>
      <c r="M985" s="9">
        <v>1</v>
      </c>
      <c r="N985" s="8">
        <v>0</v>
      </c>
      <c r="O985" s="9">
        <v>0</v>
      </c>
      <c r="P985" s="9">
        <v>1</v>
      </c>
      <c r="Q985" s="9">
        <v>0</v>
      </c>
      <c r="R985" s="9">
        <v>0</v>
      </c>
      <c r="S985" s="8">
        <v>11271</v>
      </c>
      <c r="T985" s="9">
        <v>22</v>
      </c>
      <c r="U985" s="9">
        <f t="shared" si="238"/>
        <v>11248</v>
      </c>
      <c r="V985" s="9">
        <f t="shared" si="239"/>
        <v>20</v>
      </c>
      <c r="W985" s="7">
        <v>8.4600000000000009</v>
      </c>
      <c r="X985" s="7">
        <f t="shared" si="23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6"/>
        <v>0.25</v>
      </c>
      <c r="AY985" s="18" t="s">
        <v>5</v>
      </c>
      <c r="AZ985">
        <v>0</v>
      </c>
      <c r="BA985">
        <v>1</v>
      </c>
      <c r="BB985">
        <v>0</v>
      </c>
      <c r="BC985">
        <v>0</v>
      </c>
      <c r="BD985">
        <v>0</v>
      </c>
      <c r="BE985">
        <v>0</v>
      </c>
      <c r="BF985" s="18">
        <v>0</v>
      </c>
      <c r="BG985">
        <v>0</v>
      </c>
      <c r="BH985">
        <v>1</v>
      </c>
      <c r="BI985" s="18">
        <v>0</v>
      </c>
      <c r="BJ985">
        <v>942</v>
      </c>
      <c r="BK985">
        <v>131</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4001</v>
      </c>
      <c r="D986" s="12">
        <v>9</v>
      </c>
      <c r="E986" s="14">
        <v>1</v>
      </c>
      <c r="F986" s="7">
        <f t="shared" si="234"/>
        <v>9</v>
      </c>
      <c r="G986" s="7">
        <f t="shared" si="236"/>
        <v>8</v>
      </c>
      <c r="H986" s="16">
        <f t="shared" si="237"/>
        <v>10</v>
      </c>
      <c r="I986" s="11">
        <f t="shared" si="241"/>
        <v>8.4556446044914232E-2</v>
      </c>
      <c r="J986" s="33">
        <f t="shared" si="242"/>
        <v>9.3951606716571358E-3</v>
      </c>
      <c r="K986" s="33">
        <f t="shared" si="243"/>
        <v>106.43777524920371</v>
      </c>
      <c r="L986" s="8">
        <v>0</v>
      </c>
      <c r="M986" s="9">
        <v>1</v>
      </c>
      <c r="N986" s="8">
        <v>0</v>
      </c>
      <c r="O986" s="9">
        <v>0</v>
      </c>
      <c r="P986" s="9">
        <v>1</v>
      </c>
      <c r="Q986" s="9">
        <v>0</v>
      </c>
      <c r="R986" s="9">
        <v>0</v>
      </c>
      <c r="S986" s="8">
        <v>11271</v>
      </c>
      <c r="T986" s="9">
        <v>22</v>
      </c>
      <c r="U986" s="9">
        <f t="shared" si="238"/>
        <v>11248</v>
      </c>
      <c r="V986" s="9">
        <f t="shared" si="239"/>
        <v>20</v>
      </c>
      <c r="W986" s="7">
        <v>9.2899999999999991</v>
      </c>
      <c r="X986" s="7">
        <f t="shared" si="23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6"/>
        <v>0.25</v>
      </c>
      <c r="AY986" s="18" t="s">
        <v>5</v>
      </c>
      <c r="AZ986">
        <v>0</v>
      </c>
      <c r="BA986">
        <v>1</v>
      </c>
      <c r="BB986">
        <v>0</v>
      </c>
      <c r="BC986">
        <v>0</v>
      </c>
      <c r="BD986">
        <v>0</v>
      </c>
      <c r="BE986">
        <v>0</v>
      </c>
      <c r="BF986" s="18">
        <v>0</v>
      </c>
      <c r="BG986">
        <v>0</v>
      </c>
      <c r="BH986">
        <v>1</v>
      </c>
      <c r="BI986" s="18">
        <v>0</v>
      </c>
      <c r="BJ986">
        <v>942</v>
      </c>
      <c r="BK986">
        <v>131</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4001</v>
      </c>
      <c r="D987" s="12">
        <v>9</v>
      </c>
      <c r="E987" s="14">
        <v>1</v>
      </c>
      <c r="F987" s="7">
        <f t="shared" si="234"/>
        <v>9</v>
      </c>
      <c r="G987" s="7">
        <f t="shared" si="236"/>
        <v>8</v>
      </c>
      <c r="H987" s="16">
        <f t="shared" si="237"/>
        <v>10</v>
      </c>
      <c r="I987" s="11">
        <f t="shared" si="241"/>
        <v>8.4556446044914232E-2</v>
      </c>
      <c r="J987" s="33">
        <f t="shared" si="242"/>
        <v>9.3951606716571358E-3</v>
      </c>
      <c r="K987" s="33">
        <f t="shared" si="243"/>
        <v>106.43777524920371</v>
      </c>
      <c r="L987" s="8">
        <v>0</v>
      </c>
      <c r="M987" s="9">
        <v>1</v>
      </c>
      <c r="N987" s="8">
        <v>0</v>
      </c>
      <c r="O987" s="9">
        <v>0</v>
      </c>
      <c r="P987" s="9">
        <v>1</v>
      </c>
      <c r="Q987" s="9">
        <v>0</v>
      </c>
      <c r="R987" s="9">
        <v>0</v>
      </c>
      <c r="S987" s="8">
        <v>11271</v>
      </c>
      <c r="T987" s="9">
        <v>22</v>
      </c>
      <c r="U987" s="9">
        <f t="shared" si="238"/>
        <v>11248</v>
      </c>
      <c r="V987" s="9">
        <f t="shared" si="239"/>
        <v>20</v>
      </c>
      <c r="W987" s="7">
        <v>8.14</v>
      </c>
      <c r="X987" s="7">
        <f t="shared" si="23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v>0</v>
      </c>
      <c r="BF987" s="18">
        <v>0</v>
      </c>
      <c r="BG987">
        <v>0</v>
      </c>
      <c r="BH987">
        <v>1</v>
      </c>
      <c r="BI987" s="18">
        <v>0</v>
      </c>
      <c r="BJ987">
        <v>942</v>
      </c>
      <c r="BK987">
        <v>131</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4001</v>
      </c>
      <c r="D988" s="12">
        <v>8</v>
      </c>
      <c r="E988" s="14">
        <v>1</v>
      </c>
      <c r="F988" s="7">
        <f t="shared" si="234"/>
        <v>8</v>
      </c>
      <c r="G988" s="7">
        <f t="shared" si="236"/>
        <v>7</v>
      </c>
      <c r="H988" s="16">
        <f t="shared" si="237"/>
        <v>9</v>
      </c>
      <c r="I988" s="11">
        <f t="shared" si="241"/>
        <v>7.5217741444460154E-2</v>
      </c>
      <c r="J988" s="33">
        <f t="shared" si="242"/>
        <v>9.4022176805575192E-3</v>
      </c>
      <c r="K988" s="33">
        <f t="shared" si="243"/>
        <v>106.35788640246663</v>
      </c>
      <c r="L988" s="8">
        <v>0</v>
      </c>
      <c r="M988" s="9">
        <v>1</v>
      </c>
      <c r="N988" s="8">
        <v>0</v>
      </c>
      <c r="O988" s="9">
        <v>0</v>
      </c>
      <c r="P988" s="9">
        <v>1</v>
      </c>
      <c r="Q988" s="9">
        <v>0</v>
      </c>
      <c r="R988" s="9">
        <v>0</v>
      </c>
      <c r="S988" s="8">
        <v>11271</v>
      </c>
      <c r="T988" s="9">
        <v>22</v>
      </c>
      <c r="U988" s="9">
        <f t="shared" si="238"/>
        <v>11248</v>
      </c>
      <c r="V988" s="9">
        <f t="shared" si="239"/>
        <v>20</v>
      </c>
      <c r="W988" s="7">
        <v>11.09</v>
      </c>
      <c r="X988" s="7">
        <f t="shared" si="23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v>0</v>
      </c>
      <c r="BF988" s="18">
        <v>0</v>
      </c>
      <c r="BG988">
        <v>0</v>
      </c>
      <c r="BH988">
        <v>1</v>
      </c>
      <c r="BI988" s="18">
        <v>0</v>
      </c>
      <c r="BJ988">
        <v>942</v>
      </c>
      <c r="BK988">
        <v>131</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4001</v>
      </c>
      <c r="D989" s="12">
        <v>9</v>
      </c>
      <c r="E989" s="14">
        <v>1</v>
      </c>
      <c r="F989" s="7">
        <f t="shared" si="234"/>
        <v>9</v>
      </c>
      <c r="G989" s="7">
        <f t="shared" si="236"/>
        <v>8</v>
      </c>
      <c r="H989" s="16">
        <f t="shared" si="237"/>
        <v>10</v>
      </c>
      <c r="I989" s="11">
        <f t="shared" si="241"/>
        <v>8.4556446044914232E-2</v>
      </c>
      <c r="J989" s="33">
        <f t="shared" si="242"/>
        <v>9.3951606716571358E-3</v>
      </c>
      <c r="K989" s="33">
        <f t="shared" si="243"/>
        <v>106.43777524920371</v>
      </c>
      <c r="L989" s="8">
        <v>0</v>
      </c>
      <c r="M989" s="9">
        <v>1</v>
      </c>
      <c r="N989" s="8">
        <v>0</v>
      </c>
      <c r="O989" s="9">
        <v>0</v>
      </c>
      <c r="P989" s="9">
        <v>1</v>
      </c>
      <c r="Q989" s="9">
        <v>0</v>
      </c>
      <c r="R989" s="9">
        <v>0</v>
      </c>
      <c r="S989" s="8">
        <v>11271</v>
      </c>
      <c r="T989" s="9">
        <v>22</v>
      </c>
      <c r="U989" s="9">
        <f t="shared" si="238"/>
        <v>11248</v>
      </c>
      <c r="V989" s="9">
        <f t="shared" si="239"/>
        <v>20</v>
      </c>
      <c r="W989" s="7">
        <v>8.73</v>
      </c>
      <c r="X989" s="7">
        <f t="shared" si="23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v>0</v>
      </c>
      <c r="BF989" s="18">
        <v>0</v>
      </c>
      <c r="BG989">
        <v>0</v>
      </c>
      <c r="BH989">
        <v>1</v>
      </c>
      <c r="BI989" s="18">
        <v>0</v>
      </c>
      <c r="BJ989">
        <v>942</v>
      </c>
      <c r="BK989">
        <v>131</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4001</v>
      </c>
      <c r="D990" s="12">
        <v>9</v>
      </c>
      <c r="E990" s="14">
        <v>1</v>
      </c>
      <c r="F990" s="7">
        <f t="shared" si="234"/>
        <v>9</v>
      </c>
      <c r="G990" s="7">
        <f t="shared" si="236"/>
        <v>8</v>
      </c>
      <c r="H990" s="16">
        <f t="shared" si="237"/>
        <v>10</v>
      </c>
      <c r="I990" s="11">
        <f t="shared" si="241"/>
        <v>8.4556446044914232E-2</v>
      </c>
      <c r="J990" s="33">
        <f t="shared" si="242"/>
        <v>9.3951606716571358E-3</v>
      </c>
      <c r="K990" s="33">
        <f t="shared" si="243"/>
        <v>106.43777524920371</v>
      </c>
      <c r="L990" s="8">
        <v>0</v>
      </c>
      <c r="M990" s="9">
        <v>1</v>
      </c>
      <c r="N990" s="8">
        <v>0</v>
      </c>
      <c r="O990" s="9">
        <v>0</v>
      </c>
      <c r="P990" s="9">
        <v>1</v>
      </c>
      <c r="Q990" s="9">
        <v>0</v>
      </c>
      <c r="R990" s="9">
        <v>0</v>
      </c>
      <c r="S990" s="8">
        <v>11271</v>
      </c>
      <c r="T990" s="9">
        <v>22</v>
      </c>
      <c r="U990" s="9">
        <f t="shared" si="238"/>
        <v>11248</v>
      </c>
      <c r="V990" s="9">
        <f t="shared" si="239"/>
        <v>20</v>
      </c>
      <c r="W990" s="7">
        <v>9.24</v>
      </c>
      <c r="X990" s="7">
        <f t="shared" si="23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v>0</v>
      </c>
      <c r="BF990" s="18">
        <v>0</v>
      </c>
      <c r="BG990">
        <v>0</v>
      </c>
      <c r="BH990">
        <v>1</v>
      </c>
      <c r="BI990" s="18">
        <v>0</v>
      </c>
      <c r="BJ990">
        <v>942</v>
      </c>
      <c r="BK990">
        <v>131</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4001</v>
      </c>
      <c r="D991" s="12">
        <v>10</v>
      </c>
      <c r="E991" s="14">
        <v>5</v>
      </c>
      <c r="F991" s="7">
        <f t="shared" si="234"/>
        <v>2</v>
      </c>
      <c r="G991" s="7">
        <f t="shared" si="236"/>
        <v>5</v>
      </c>
      <c r="H991" s="16">
        <f t="shared" si="237"/>
        <v>15</v>
      </c>
      <c r="I991" s="11">
        <f t="shared" si="241"/>
        <v>1.8854504950126014E-2</v>
      </c>
      <c r="J991" s="33">
        <f t="shared" si="242"/>
        <v>9.4272524750630068E-3</v>
      </c>
      <c r="K991" s="33">
        <f t="shared" si="243"/>
        <v>106.07544484940895</v>
      </c>
      <c r="L991" s="8">
        <v>0</v>
      </c>
      <c r="M991" s="9">
        <v>1</v>
      </c>
      <c r="N991" s="8">
        <v>0</v>
      </c>
      <c r="O991" s="9">
        <v>0</v>
      </c>
      <c r="P991" s="9">
        <v>1</v>
      </c>
      <c r="Q991" s="9">
        <v>0</v>
      </c>
      <c r="R991" s="9">
        <v>0</v>
      </c>
      <c r="S991" s="8">
        <v>11271</v>
      </c>
      <c r="T991" s="9">
        <v>22</v>
      </c>
      <c r="U991" s="9">
        <f t="shared" si="238"/>
        <v>11248</v>
      </c>
      <c r="V991" s="9">
        <f t="shared" si="239"/>
        <v>20</v>
      </c>
      <c r="W991" s="7">
        <v>8.4600000000000009</v>
      </c>
      <c r="X991" s="7">
        <f t="shared" si="23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v>0</v>
      </c>
      <c r="BF991" s="18">
        <v>0</v>
      </c>
      <c r="BG991">
        <v>0</v>
      </c>
      <c r="BH991">
        <v>1</v>
      </c>
      <c r="BI991" s="18">
        <v>0</v>
      </c>
      <c r="BJ991">
        <v>942</v>
      </c>
      <c r="BK991">
        <v>131</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4001</v>
      </c>
      <c r="D992" s="12">
        <v>51</v>
      </c>
      <c r="E992" s="14">
        <v>23</v>
      </c>
      <c r="F992" s="7">
        <f t="shared" si="234"/>
        <v>2.2173913043478262</v>
      </c>
      <c r="G992" s="7">
        <f t="shared" si="236"/>
        <v>28</v>
      </c>
      <c r="H992" s="16">
        <f t="shared" si="237"/>
        <v>74</v>
      </c>
      <c r="I992" s="11">
        <f t="shared" si="241"/>
        <v>2.090305607850099E-2</v>
      </c>
      <c r="J992" s="33">
        <f t="shared" si="242"/>
        <v>9.4268684275592707E-3</v>
      </c>
      <c r="K992" s="33">
        <f t="shared" si="243"/>
        <v>106.07976632796942</v>
      </c>
      <c r="L992" s="8">
        <v>0</v>
      </c>
      <c r="M992" s="9">
        <v>1</v>
      </c>
      <c r="N992" s="8">
        <v>0</v>
      </c>
      <c r="O992" s="9">
        <v>0</v>
      </c>
      <c r="P992" s="9">
        <v>1</v>
      </c>
      <c r="Q992" s="9">
        <v>0</v>
      </c>
      <c r="R992" s="9">
        <v>0</v>
      </c>
      <c r="S992" s="8">
        <v>11271</v>
      </c>
      <c r="T992" s="9">
        <v>22</v>
      </c>
      <c r="U992" s="9">
        <f t="shared" si="238"/>
        <v>11248</v>
      </c>
      <c r="V992" s="9">
        <f t="shared" si="239"/>
        <v>20</v>
      </c>
      <c r="W992" s="7">
        <v>9.2899999999999991</v>
      </c>
      <c r="X992" s="7">
        <f t="shared" si="23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v>0</v>
      </c>
      <c r="BF992" s="18">
        <v>0</v>
      </c>
      <c r="BG992">
        <v>0</v>
      </c>
      <c r="BH992">
        <v>1</v>
      </c>
      <c r="BI992" s="18">
        <v>0</v>
      </c>
      <c r="BJ992">
        <v>942</v>
      </c>
      <c r="BK992">
        <v>131</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4001</v>
      </c>
      <c r="D993" s="12">
        <v>18</v>
      </c>
      <c r="E993" s="14">
        <v>7</v>
      </c>
      <c r="F993" s="7">
        <f t="shared" si="234"/>
        <v>2.5714285714285716</v>
      </c>
      <c r="G993" s="7">
        <f t="shared" si="236"/>
        <v>11</v>
      </c>
      <c r="H993" s="16">
        <f t="shared" si="237"/>
        <v>25</v>
      </c>
      <c r="I993" s="11">
        <f t="shared" si="241"/>
        <v>2.4238692921174167E-2</v>
      </c>
      <c r="J993" s="33">
        <f t="shared" si="242"/>
        <v>9.4261583582343975E-3</v>
      </c>
      <c r="K993" s="33">
        <f t="shared" si="243"/>
        <v>106.08775728093208</v>
      </c>
      <c r="L993" s="8">
        <v>0</v>
      </c>
      <c r="M993" s="9">
        <v>1</v>
      </c>
      <c r="N993" s="8">
        <v>0</v>
      </c>
      <c r="O993" s="9">
        <v>0</v>
      </c>
      <c r="P993" s="9">
        <v>1</v>
      </c>
      <c r="Q993" s="9">
        <v>0</v>
      </c>
      <c r="R993" s="9">
        <v>0</v>
      </c>
      <c r="S993" s="8">
        <v>11271</v>
      </c>
      <c r="T993" s="9">
        <v>22</v>
      </c>
      <c r="U993" s="9">
        <f t="shared" si="238"/>
        <v>11248</v>
      </c>
      <c r="V993" s="9">
        <f t="shared" si="239"/>
        <v>20</v>
      </c>
      <c r="W993" s="7">
        <v>8.14</v>
      </c>
      <c r="X993" s="7">
        <f t="shared" si="23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47">1-AQ993</f>
        <v>0.49</v>
      </c>
      <c r="AS993" t="s">
        <v>98</v>
      </c>
      <c r="AT993" s="40" t="s">
        <v>98</v>
      </c>
      <c r="AU993">
        <v>0</v>
      </c>
      <c r="AV993" s="18">
        <v>1</v>
      </c>
      <c r="AW993">
        <v>1</v>
      </c>
      <c r="AX993" s="18">
        <v>0</v>
      </c>
      <c r="AY993" s="18" t="s">
        <v>5</v>
      </c>
      <c r="AZ993">
        <v>0</v>
      </c>
      <c r="BA993">
        <v>1</v>
      </c>
      <c r="BB993">
        <v>0</v>
      </c>
      <c r="BC993">
        <v>0</v>
      </c>
      <c r="BD993">
        <v>0</v>
      </c>
      <c r="BE993">
        <v>0</v>
      </c>
      <c r="BF993" s="18">
        <v>0</v>
      </c>
      <c r="BG993">
        <v>0</v>
      </c>
      <c r="BH993">
        <v>1</v>
      </c>
      <c r="BI993" s="18">
        <v>0</v>
      </c>
      <c r="BJ993">
        <v>942</v>
      </c>
      <c r="BK993">
        <v>131</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4001</v>
      </c>
      <c r="D994" s="12">
        <v>14</v>
      </c>
      <c r="E994" s="14">
        <v>9</v>
      </c>
      <c r="F994" s="7">
        <f t="shared" si="234"/>
        <v>1.5555555555555556</v>
      </c>
      <c r="G994" s="7">
        <f t="shared" si="236"/>
        <v>5</v>
      </c>
      <c r="H994" s="16">
        <f t="shared" si="237"/>
        <v>23</v>
      </c>
      <c r="I994" s="11">
        <f t="shared" si="241"/>
        <v>1.4665644829398285E-2</v>
      </c>
      <c r="J994" s="33">
        <f t="shared" si="242"/>
        <v>9.4279145331846101E-3</v>
      </c>
      <c r="K994" s="33">
        <f t="shared" si="243"/>
        <v>106.06799589455069</v>
      </c>
      <c r="L994" s="8">
        <v>0</v>
      </c>
      <c r="M994" s="9">
        <v>1</v>
      </c>
      <c r="N994" s="8">
        <v>0</v>
      </c>
      <c r="O994" s="9">
        <v>0</v>
      </c>
      <c r="P994" s="9">
        <v>1</v>
      </c>
      <c r="Q994" s="9">
        <v>0</v>
      </c>
      <c r="R994" s="9">
        <v>0</v>
      </c>
      <c r="S994" s="8">
        <v>11271</v>
      </c>
      <c r="T994" s="9">
        <v>22</v>
      </c>
      <c r="U994" s="9">
        <f t="shared" si="238"/>
        <v>11248</v>
      </c>
      <c r="V994" s="9">
        <f t="shared" si="239"/>
        <v>20</v>
      </c>
      <c r="W994" s="7">
        <v>11.09</v>
      </c>
      <c r="X994" s="7">
        <f t="shared" si="23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47"/>
        <v>0.49</v>
      </c>
      <c r="AS994" t="s">
        <v>98</v>
      </c>
      <c r="AT994" s="40" t="s">
        <v>98</v>
      </c>
      <c r="AU994">
        <v>0</v>
      </c>
      <c r="AV994" s="18">
        <v>1</v>
      </c>
      <c r="AW994">
        <v>0</v>
      </c>
      <c r="AX994" s="18">
        <v>1</v>
      </c>
      <c r="AY994" s="18" t="s">
        <v>5</v>
      </c>
      <c r="AZ994">
        <v>0</v>
      </c>
      <c r="BA994">
        <v>1</v>
      </c>
      <c r="BB994">
        <v>0</v>
      </c>
      <c r="BC994">
        <v>0</v>
      </c>
      <c r="BD994">
        <v>0</v>
      </c>
      <c r="BE994">
        <v>0</v>
      </c>
      <c r="BF994" s="18">
        <v>0</v>
      </c>
      <c r="BG994">
        <v>0</v>
      </c>
      <c r="BH994">
        <v>1</v>
      </c>
      <c r="BI994" s="18">
        <v>0</v>
      </c>
      <c r="BJ994">
        <v>942</v>
      </c>
      <c r="BK994">
        <v>131</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4001</v>
      </c>
      <c r="D995" s="12">
        <v>12</v>
      </c>
      <c r="E995" s="14">
        <v>8</v>
      </c>
      <c r="F995" s="7">
        <f t="shared" si="234"/>
        <v>1.5</v>
      </c>
      <c r="G995" s="7">
        <f t="shared" si="236"/>
        <v>4</v>
      </c>
      <c r="H995" s="16">
        <f t="shared" si="237"/>
        <v>20</v>
      </c>
      <c r="I995" s="11">
        <f t="shared" si="241"/>
        <v>1.4141978491509553E-2</v>
      </c>
      <c r="J995" s="33">
        <f t="shared" si="242"/>
        <v>9.4279856610063675E-3</v>
      </c>
      <c r="K995" s="33">
        <f t="shared" si="243"/>
        <v>106.06719568273691</v>
      </c>
      <c r="L995" s="8">
        <v>0</v>
      </c>
      <c r="M995" s="9">
        <v>1</v>
      </c>
      <c r="N995" s="8">
        <v>0</v>
      </c>
      <c r="O995" s="9">
        <v>0</v>
      </c>
      <c r="P995" s="9">
        <v>1</v>
      </c>
      <c r="Q995" s="9">
        <v>0</v>
      </c>
      <c r="R995" s="9">
        <v>0</v>
      </c>
      <c r="S995" s="8">
        <v>11271</v>
      </c>
      <c r="T995" s="9">
        <v>22</v>
      </c>
      <c r="U995" s="9">
        <f t="shared" si="238"/>
        <v>11248</v>
      </c>
      <c r="V995" s="9">
        <f t="shared" si="239"/>
        <v>20</v>
      </c>
      <c r="W995" s="7">
        <v>8.73</v>
      </c>
      <c r="X995" s="7">
        <f t="shared" si="23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47"/>
        <v>0.49</v>
      </c>
      <c r="AS995" t="s">
        <v>98</v>
      </c>
      <c r="AT995" s="40" t="s">
        <v>98</v>
      </c>
      <c r="AU995">
        <v>0</v>
      </c>
      <c r="AV995" s="18">
        <v>1</v>
      </c>
      <c r="AW995">
        <v>0.75</v>
      </c>
      <c r="AX995" s="18">
        <f>1-AW995</f>
        <v>0.25</v>
      </c>
      <c r="AY995" s="18" t="s">
        <v>5</v>
      </c>
      <c r="AZ995">
        <v>0</v>
      </c>
      <c r="BA995">
        <v>1</v>
      </c>
      <c r="BB995">
        <v>0</v>
      </c>
      <c r="BC995">
        <v>0</v>
      </c>
      <c r="BD995">
        <v>0</v>
      </c>
      <c r="BE995">
        <v>0</v>
      </c>
      <c r="BF995" s="18">
        <v>0</v>
      </c>
      <c r="BG995">
        <v>0</v>
      </c>
      <c r="BH995">
        <v>1</v>
      </c>
      <c r="BI995" s="18">
        <v>0</v>
      </c>
      <c r="BJ995">
        <v>942</v>
      </c>
      <c r="BK995">
        <v>131</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4001</v>
      </c>
      <c r="D996" s="12">
        <v>37</v>
      </c>
      <c r="E996" s="14">
        <v>12</v>
      </c>
      <c r="F996" s="7">
        <f t="shared" si="234"/>
        <v>3.0833333333333335</v>
      </c>
      <c r="G996" s="7">
        <f t="shared" si="236"/>
        <v>25</v>
      </c>
      <c r="H996" s="16">
        <f t="shared" si="237"/>
        <v>49</v>
      </c>
      <c r="I996" s="11">
        <f t="shared" si="241"/>
        <v>2.906025134602834E-2</v>
      </c>
      <c r="J996" s="33">
        <f t="shared" si="242"/>
        <v>9.4249463824956775E-3</v>
      </c>
      <c r="K996" s="33">
        <f t="shared" si="243"/>
        <v>106.10139935196163</v>
      </c>
      <c r="L996" s="8">
        <v>0</v>
      </c>
      <c r="M996" s="9">
        <v>1</v>
      </c>
      <c r="N996" s="8">
        <v>0</v>
      </c>
      <c r="O996" s="9">
        <v>0</v>
      </c>
      <c r="P996" s="9">
        <v>1</v>
      </c>
      <c r="Q996" s="9">
        <v>0</v>
      </c>
      <c r="R996" s="9">
        <v>0</v>
      </c>
      <c r="S996" s="8">
        <v>11271</v>
      </c>
      <c r="T996" s="9">
        <v>22</v>
      </c>
      <c r="U996" s="9">
        <f t="shared" si="238"/>
        <v>11248</v>
      </c>
      <c r="V996" s="9">
        <f t="shared" si="239"/>
        <v>20</v>
      </c>
      <c r="W996" s="7">
        <v>9.24</v>
      </c>
      <c r="X996" s="7">
        <f t="shared" si="23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47"/>
        <v>0.51</v>
      </c>
      <c r="AS996" t="s">
        <v>98</v>
      </c>
      <c r="AT996" s="40" t="s">
        <v>98</v>
      </c>
      <c r="AU996">
        <v>0</v>
      </c>
      <c r="AV996" s="18">
        <v>1</v>
      </c>
      <c r="AW996">
        <v>0.76</v>
      </c>
      <c r="AX996" s="18">
        <f>1-AW996</f>
        <v>0.24</v>
      </c>
      <c r="AY996" s="18" t="s">
        <v>5</v>
      </c>
      <c r="AZ996">
        <v>0</v>
      </c>
      <c r="BA996">
        <v>1</v>
      </c>
      <c r="BB996">
        <v>0</v>
      </c>
      <c r="BC996">
        <v>0</v>
      </c>
      <c r="BD996">
        <v>0</v>
      </c>
      <c r="BE996">
        <v>0</v>
      </c>
      <c r="BF996" s="18">
        <v>0</v>
      </c>
      <c r="BG996">
        <v>0</v>
      </c>
      <c r="BH996">
        <v>1</v>
      </c>
      <c r="BI996" s="18">
        <v>0</v>
      </c>
      <c r="BJ996">
        <v>942</v>
      </c>
      <c r="BK996">
        <v>131</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4012</v>
      </c>
      <c r="D997" s="12">
        <v>6.08</v>
      </c>
      <c r="E997" s="14">
        <v>0.1</v>
      </c>
      <c r="F997" s="7">
        <f t="shared" si="234"/>
        <v>60.8</v>
      </c>
      <c r="G997" s="7">
        <f t="shared" si="236"/>
        <v>5.98</v>
      </c>
      <c r="H997" s="16">
        <f t="shared" si="237"/>
        <v>6.18</v>
      </c>
      <c r="I997" s="11">
        <f t="shared" si="241"/>
        <v>6.0981702242611277E-2</v>
      </c>
      <c r="J997" s="33">
        <f t="shared" si="242"/>
        <v>1.0029885237271593E-3</v>
      </c>
      <c r="K997" s="33">
        <f t="shared" si="243"/>
        <v>997.02038093511396</v>
      </c>
      <c r="L997" s="8">
        <v>0</v>
      </c>
      <c r="M997" s="9">
        <v>1</v>
      </c>
      <c r="N997" s="8">
        <v>0</v>
      </c>
      <c r="O997" s="9">
        <v>0</v>
      </c>
      <c r="P997" s="9">
        <v>0</v>
      </c>
      <c r="Q997" s="9">
        <v>1</v>
      </c>
      <c r="R997" s="9">
        <v>0</v>
      </c>
      <c r="S997" s="8">
        <v>990357</v>
      </c>
      <c r="T997" s="9">
        <v>3</v>
      </c>
      <c r="U997" s="9">
        <f t="shared" si="238"/>
        <v>990353</v>
      </c>
      <c r="V997" s="9">
        <f t="shared" si="239"/>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47"/>
        <v>0.33099999999999996</v>
      </c>
      <c r="AS997">
        <v>1</v>
      </c>
      <c r="AT997" s="40">
        <v>0</v>
      </c>
      <c r="AU997">
        <v>1</v>
      </c>
      <c r="AV997" s="18">
        <v>0</v>
      </c>
      <c r="AW997" t="s">
        <v>98</v>
      </c>
      <c r="AX997" s="18" t="s">
        <v>98</v>
      </c>
      <c r="AY997" s="18" t="s">
        <v>522</v>
      </c>
      <c r="AZ997">
        <v>1</v>
      </c>
      <c r="BA997">
        <v>0</v>
      </c>
      <c r="BB997">
        <v>0</v>
      </c>
      <c r="BC997">
        <v>0</v>
      </c>
      <c r="BD997">
        <v>0</v>
      </c>
      <c r="BE997">
        <v>0</v>
      </c>
      <c r="BF997" s="18">
        <v>0</v>
      </c>
      <c r="BG997">
        <v>1</v>
      </c>
      <c r="BH997">
        <v>0</v>
      </c>
      <c r="BI997" s="18">
        <v>0</v>
      </c>
      <c r="BJ997">
        <v>7294</v>
      </c>
      <c r="BK997">
        <v>760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4012</v>
      </c>
      <c r="D998" s="12">
        <v>7.19</v>
      </c>
      <c r="E998" s="14">
        <v>0.1</v>
      </c>
      <c r="F998" s="7">
        <f t="shared" si="234"/>
        <v>71.900000000000006</v>
      </c>
      <c r="G998" s="7">
        <f t="shared" si="236"/>
        <v>7.0900000000000007</v>
      </c>
      <c r="H998" s="16">
        <f t="shared" si="237"/>
        <v>7.29</v>
      </c>
      <c r="I998" s="11">
        <f t="shared" si="241"/>
        <v>5.9304085037547423E-2</v>
      </c>
      <c r="J998" s="33">
        <f t="shared" si="242"/>
        <v>8.248134219408542E-4</v>
      </c>
      <c r="K998" s="33">
        <f t="shared" si="243"/>
        <v>1212.3954016738928</v>
      </c>
      <c r="L998" s="8">
        <v>0</v>
      </c>
      <c r="M998" s="9">
        <v>1</v>
      </c>
      <c r="N998" s="8">
        <v>0</v>
      </c>
      <c r="O998" s="9">
        <v>0</v>
      </c>
      <c r="P998" s="9">
        <v>0</v>
      </c>
      <c r="Q998" s="9">
        <v>1</v>
      </c>
      <c r="R998" s="9">
        <v>0</v>
      </c>
      <c r="S998" s="8">
        <v>1464737</v>
      </c>
      <c r="T998" s="9">
        <v>3</v>
      </c>
      <c r="U998" s="9">
        <f t="shared" si="238"/>
        <v>1464733</v>
      </c>
      <c r="V998" s="9">
        <f t="shared" si="239"/>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47"/>
        <v>0.39900000000000002</v>
      </c>
      <c r="AS998">
        <v>1</v>
      </c>
      <c r="AT998" s="40">
        <v>0</v>
      </c>
      <c r="AU998">
        <v>1</v>
      </c>
      <c r="AV998" s="18">
        <v>0</v>
      </c>
      <c r="AW998" t="s">
        <v>98</v>
      </c>
      <c r="AX998" s="18" t="s">
        <v>98</v>
      </c>
      <c r="AY998" s="18" t="s">
        <v>522</v>
      </c>
      <c r="AZ998">
        <v>1</v>
      </c>
      <c r="BA998">
        <v>0</v>
      </c>
      <c r="BB998">
        <v>0</v>
      </c>
      <c r="BC998">
        <v>0</v>
      </c>
      <c r="BD998">
        <v>0</v>
      </c>
      <c r="BE998">
        <v>0</v>
      </c>
      <c r="BF998" s="18">
        <v>0</v>
      </c>
      <c r="BG998">
        <v>1</v>
      </c>
      <c r="BH998">
        <v>0</v>
      </c>
      <c r="BI998" s="18">
        <v>0</v>
      </c>
      <c r="BJ998">
        <v>10406</v>
      </c>
      <c r="BK998">
        <v>9300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4012</v>
      </c>
      <c r="D999" s="12">
        <v>7.3</v>
      </c>
      <c r="E999" s="14">
        <v>0.1</v>
      </c>
      <c r="F999" s="7">
        <f t="shared" si="234"/>
        <v>73</v>
      </c>
      <c r="G999" s="7">
        <f t="shared" si="236"/>
        <v>7.2</v>
      </c>
      <c r="H999" s="16">
        <f t="shared" si="237"/>
        <v>7.3999999999999995</v>
      </c>
      <c r="I999" s="11">
        <f t="shared" si="241"/>
        <v>5.1794508130782013E-2</v>
      </c>
      <c r="J999" s="33">
        <f t="shared" si="242"/>
        <v>7.0951381001071252E-4</v>
      </c>
      <c r="K999" s="33">
        <f t="shared" si="243"/>
        <v>1409.4158364372099</v>
      </c>
      <c r="L999" s="8">
        <v>0</v>
      </c>
      <c r="M999" s="9">
        <v>1</v>
      </c>
      <c r="N999" s="8">
        <v>0</v>
      </c>
      <c r="O999" s="9">
        <v>0</v>
      </c>
      <c r="P999" s="9">
        <v>0</v>
      </c>
      <c r="Q999" s="9">
        <v>1</v>
      </c>
      <c r="R999" s="9">
        <v>0</v>
      </c>
      <c r="S999" s="8">
        <v>1981128</v>
      </c>
      <c r="T999" s="9">
        <v>3</v>
      </c>
      <c r="U999" s="9">
        <f t="shared" si="238"/>
        <v>1981124</v>
      </c>
      <c r="V999" s="9">
        <f t="shared" si="239"/>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47"/>
        <v>0.42200000000000004</v>
      </c>
      <c r="AS999">
        <v>1</v>
      </c>
      <c r="AT999" s="40">
        <v>0</v>
      </c>
      <c r="AU999">
        <v>1</v>
      </c>
      <c r="AV999" s="18">
        <v>0</v>
      </c>
      <c r="AW999" t="s">
        <v>98</v>
      </c>
      <c r="AX999" s="18" t="s">
        <v>98</v>
      </c>
      <c r="AY999" s="18" t="s">
        <v>522</v>
      </c>
      <c r="AZ999">
        <v>1</v>
      </c>
      <c r="BA999">
        <v>0</v>
      </c>
      <c r="BB999">
        <v>0</v>
      </c>
      <c r="BC999">
        <v>0</v>
      </c>
      <c r="BD999">
        <v>0</v>
      </c>
      <c r="BE999">
        <v>0</v>
      </c>
      <c r="BF999" s="18">
        <v>0</v>
      </c>
      <c r="BG999">
        <v>1</v>
      </c>
      <c r="BH999">
        <v>0</v>
      </c>
      <c r="BI999" s="18">
        <v>0</v>
      </c>
      <c r="BJ999">
        <v>12511</v>
      </c>
      <c r="BK999">
        <v>9911</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4012</v>
      </c>
      <c r="D1000" s="12">
        <v>7.15</v>
      </c>
      <c r="E1000" s="14">
        <v>0.1</v>
      </c>
      <c r="F1000" s="7">
        <f t="shared" si="234"/>
        <v>71.5</v>
      </c>
      <c r="G1000" s="7">
        <f t="shared" si="236"/>
        <v>7.0500000000000007</v>
      </c>
      <c r="H1000" s="16">
        <f t="shared" si="237"/>
        <v>7.25</v>
      </c>
      <c r="I1000" s="11">
        <f t="shared" si="241"/>
        <v>4.9971389312554342E-2</v>
      </c>
      <c r="J1000" s="33">
        <f t="shared" si="242"/>
        <v>6.9890054982593491E-4</v>
      </c>
      <c r="K1000" s="33">
        <f t="shared" si="243"/>
        <v>1430.8187341518842</v>
      </c>
      <c r="L1000" s="8">
        <v>0</v>
      </c>
      <c r="M1000" s="9">
        <v>1</v>
      </c>
      <c r="N1000" s="8">
        <v>0</v>
      </c>
      <c r="O1000" s="9">
        <v>0</v>
      </c>
      <c r="P1000" s="9">
        <v>0</v>
      </c>
      <c r="Q1000" s="9">
        <v>1</v>
      </c>
      <c r="R1000" s="9">
        <v>0</v>
      </c>
      <c r="S1000" s="8">
        <v>2042134</v>
      </c>
      <c r="T1000" s="9">
        <v>3</v>
      </c>
      <c r="U1000" s="9">
        <f t="shared" si="238"/>
        <v>2042130</v>
      </c>
      <c r="V1000" s="9">
        <f t="shared" si="239"/>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47"/>
        <v>0.45199999999999996</v>
      </c>
      <c r="AS1000">
        <v>1</v>
      </c>
      <c r="AT1000" s="40">
        <v>0</v>
      </c>
      <c r="AU1000">
        <v>1</v>
      </c>
      <c r="AV1000" s="18">
        <v>0</v>
      </c>
      <c r="AW1000" t="s">
        <v>98</v>
      </c>
      <c r="AX1000" s="18" t="s">
        <v>98</v>
      </c>
      <c r="AY1000" s="18" t="s">
        <v>522</v>
      </c>
      <c r="AZ1000">
        <v>1</v>
      </c>
      <c r="BA1000">
        <v>0</v>
      </c>
      <c r="BB1000">
        <v>0</v>
      </c>
      <c r="BC1000">
        <v>0</v>
      </c>
      <c r="BD1000">
        <v>0</v>
      </c>
      <c r="BE1000">
        <v>0</v>
      </c>
      <c r="BF1000" s="18">
        <v>0</v>
      </c>
      <c r="BG1000">
        <v>1</v>
      </c>
      <c r="BH1000">
        <v>0</v>
      </c>
      <c r="BI1000" s="18">
        <v>0</v>
      </c>
      <c r="BJ1000">
        <v>13110</v>
      </c>
      <c r="BK1000">
        <v>11530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4012</v>
      </c>
      <c r="D1001" s="12">
        <v>7.06</v>
      </c>
      <c r="E1001" s="14">
        <v>0.1</v>
      </c>
      <c r="F1001" s="7">
        <f t="shared" si="234"/>
        <v>70.599999999999994</v>
      </c>
      <c r="G1001" s="7">
        <f t="shared" si="236"/>
        <v>6.96</v>
      </c>
      <c r="H1001" s="16">
        <f t="shared" si="237"/>
        <v>7.1599999999999993</v>
      </c>
      <c r="I1001" s="11">
        <f t="shared" si="241"/>
        <v>5.1087237728615377E-2</v>
      </c>
      <c r="J1001" s="33">
        <f t="shared" si="242"/>
        <v>7.2361526527783826E-4</v>
      </c>
      <c r="K1001" s="33">
        <f t="shared" si="243"/>
        <v>1381.9498399001318</v>
      </c>
      <c r="L1001" s="8">
        <v>0</v>
      </c>
      <c r="M1001" s="9">
        <v>1</v>
      </c>
      <c r="N1001" s="8">
        <v>0</v>
      </c>
      <c r="O1001" s="9">
        <v>0</v>
      </c>
      <c r="P1001" s="9">
        <v>0</v>
      </c>
      <c r="Q1001" s="9">
        <v>1</v>
      </c>
      <c r="R1001" s="9">
        <v>0</v>
      </c>
      <c r="S1001" s="8">
        <v>1904805</v>
      </c>
      <c r="T1001" s="9">
        <v>3</v>
      </c>
      <c r="U1001" s="9">
        <f t="shared" si="238"/>
        <v>1904801</v>
      </c>
      <c r="V1001" s="9">
        <f t="shared" si="239"/>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47"/>
        <v>0.47299999999999998</v>
      </c>
      <c r="AS1001">
        <v>1</v>
      </c>
      <c r="AT1001" s="40">
        <v>0</v>
      </c>
      <c r="AU1001">
        <v>1</v>
      </c>
      <c r="AV1001" s="18">
        <v>0</v>
      </c>
      <c r="AW1001" t="s">
        <v>98</v>
      </c>
      <c r="AX1001" s="18" t="s">
        <v>98</v>
      </c>
      <c r="AY1001" s="18" t="s">
        <v>522</v>
      </c>
      <c r="AZ1001">
        <v>1</v>
      </c>
      <c r="BA1001">
        <v>0</v>
      </c>
      <c r="BB1001">
        <v>0</v>
      </c>
      <c r="BC1001">
        <v>0</v>
      </c>
      <c r="BD1001">
        <v>0</v>
      </c>
      <c r="BE1001">
        <v>0</v>
      </c>
      <c r="BF1001" s="18">
        <v>0</v>
      </c>
      <c r="BG1001">
        <v>1</v>
      </c>
      <c r="BH1001">
        <v>0</v>
      </c>
      <c r="BI1001" s="18">
        <v>0</v>
      </c>
      <c r="BJ1001">
        <v>11965</v>
      </c>
      <c r="BK1001">
        <v>11021</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4012</v>
      </c>
      <c r="D1002" s="12">
        <v>4.78</v>
      </c>
      <c r="E1002" s="14">
        <v>0.1</v>
      </c>
      <c r="F1002" s="7">
        <f t="shared" ref="F1002:F1011" si="248">D1002/E1002</f>
        <v>47.8</v>
      </c>
      <c r="G1002" s="7">
        <f t="shared" si="236"/>
        <v>4.6800000000000006</v>
      </c>
      <c r="H1002" s="16">
        <f t="shared" si="237"/>
        <v>4.88</v>
      </c>
      <c r="I1002" s="11">
        <f t="shared" si="241"/>
        <v>4.7976933183397304E-2</v>
      </c>
      <c r="J1002" s="33">
        <f t="shared" si="242"/>
        <v>1.0037015310334165E-3</v>
      </c>
      <c r="K1002" s="33">
        <f t="shared" si="243"/>
        <v>996.31211976970349</v>
      </c>
      <c r="L1002" s="8">
        <v>0</v>
      </c>
      <c r="M1002" s="9">
        <v>1</v>
      </c>
      <c r="N1002" s="8">
        <v>0</v>
      </c>
      <c r="O1002" s="9">
        <v>0</v>
      </c>
      <c r="P1002" s="9">
        <v>0</v>
      </c>
      <c r="Q1002" s="9">
        <v>1</v>
      </c>
      <c r="R1002" s="9">
        <v>0</v>
      </c>
      <c r="S1002" s="8">
        <v>990357</v>
      </c>
      <c r="T1002" s="9">
        <v>3</v>
      </c>
      <c r="U1002" s="9">
        <f t="shared" si="238"/>
        <v>990353</v>
      </c>
      <c r="V1002" s="9">
        <f t="shared" si="239"/>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47"/>
        <v>0.33099999999999996</v>
      </c>
      <c r="AS1002">
        <v>1</v>
      </c>
      <c r="AT1002" s="40">
        <v>0</v>
      </c>
      <c r="AU1002">
        <v>1</v>
      </c>
      <c r="AV1002" s="18">
        <v>0</v>
      </c>
      <c r="AW1002" t="s">
        <v>98</v>
      </c>
      <c r="AX1002" s="18" t="s">
        <v>98</v>
      </c>
      <c r="AY1002" s="18" t="s">
        <v>522</v>
      </c>
      <c r="AZ1002">
        <v>1</v>
      </c>
      <c r="BA1002">
        <v>0</v>
      </c>
      <c r="BB1002">
        <v>0</v>
      </c>
      <c r="BC1002">
        <v>0</v>
      </c>
      <c r="BD1002">
        <v>0</v>
      </c>
      <c r="BE1002">
        <v>0</v>
      </c>
      <c r="BF1002" s="18">
        <v>0</v>
      </c>
      <c r="BG1002">
        <v>1</v>
      </c>
      <c r="BH1002">
        <v>0</v>
      </c>
      <c r="BI1002" s="18">
        <v>0</v>
      </c>
      <c r="BJ1002">
        <v>7294</v>
      </c>
      <c r="BK1002">
        <v>760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4012</v>
      </c>
      <c r="D1003" s="12">
        <v>5.8</v>
      </c>
      <c r="E1003" s="14">
        <v>0.1</v>
      </c>
      <c r="F1003" s="7">
        <f t="shared" si="248"/>
        <v>57.999999999999993</v>
      </c>
      <c r="G1003" s="7">
        <f t="shared" si="236"/>
        <v>5.7</v>
      </c>
      <c r="H1003" s="16">
        <f t="shared" si="237"/>
        <v>5.8999999999999995</v>
      </c>
      <c r="I1003" s="11">
        <f t="shared" si="241"/>
        <v>4.7868588094701701E-2</v>
      </c>
      <c r="J1003" s="33">
        <f t="shared" si="242"/>
        <v>8.2532048439140876E-4</v>
      </c>
      <c r="K1003" s="33">
        <f t="shared" si="243"/>
        <v>1211.6505271735741</v>
      </c>
      <c r="L1003" s="8">
        <v>0</v>
      </c>
      <c r="M1003" s="9">
        <v>1</v>
      </c>
      <c r="N1003" s="8">
        <v>0</v>
      </c>
      <c r="O1003" s="9">
        <v>0</v>
      </c>
      <c r="P1003" s="9">
        <v>0</v>
      </c>
      <c r="Q1003" s="9">
        <v>1</v>
      </c>
      <c r="R1003" s="9">
        <v>0</v>
      </c>
      <c r="S1003" s="8">
        <v>1464737</v>
      </c>
      <c r="T1003" s="9">
        <v>3</v>
      </c>
      <c r="U1003" s="9">
        <f t="shared" si="238"/>
        <v>1464733</v>
      </c>
      <c r="V1003" s="9">
        <f t="shared" si="239"/>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47"/>
        <v>0.39900000000000002</v>
      </c>
      <c r="AS1003">
        <v>1</v>
      </c>
      <c r="AT1003" s="40">
        <v>0</v>
      </c>
      <c r="AU1003">
        <v>1</v>
      </c>
      <c r="AV1003" s="18">
        <v>0</v>
      </c>
      <c r="AW1003" t="s">
        <v>98</v>
      </c>
      <c r="AX1003" s="18" t="s">
        <v>98</v>
      </c>
      <c r="AY1003" s="18" t="s">
        <v>522</v>
      </c>
      <c r="AZ1003">
        <v>1</v>
      </c>
      <c r="BA1003">
        <v>0</v>
      </c>
      <c r="BB1003">
        <v>0</v>
      </c>
      <c r="BC1003">
        <v>0</v>
      </c>
      <c r="BD1003">
        <v>0</v>
      </c>
      <c r="BE1003">
        <v>0</v>
      </c>
      <c r="BF1003" s="18">
        <v>0</v>
      </c>
      <c r="BG1003">
        <v>1</v>
      </c>
      <c r="BH1003">
        <v>0</v>
      </c>
      <c r="BI1003" s="18">
        <v>0</v>
      </c>
      <c r="BJ1003">
        <v>10406</v>
      </c>
      <c r="BK1003">
        <v>9300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4012</v>
      </c>
      <c r="D1004" s="12">
        <v>6.4</v>
      </c>
      <c r="E1004" s="14">
        <v>0.1</v>
      </c>
      <c r="F1004" s="7">
        <f t="shared" si="248"/>
        <v>64</v>
      </c>
      <c r="G1004" s="7">
        <f t="shared" si="236"/>
        <v>6.3000000000000007</v>
      </c>
      <c r="H1004" s="16">
        <f t="shared" si="237"/>
        <v>6.5</v>
      </c>
      <c r="I1004" s="11">
        <f t="shared" si="241"/>
        <v>4.5422983150308821E-2</v>
      </c>
      <c r="J1004" s="33">
        <f t="shared" si="242"/>
        <v>7.0973411172357533E-4</v>
      </c>
      <c r="K1004" s="33">
        <f t="shared" si="243"/>
        <v>1408.9783532758763</v>
      </c>
      <c r="L1004" s="8">
        <v>0</v>
      </c>
      <c r="M1004" s="9">
        <v>1</v>
      </c>
      <c r="N1004" s="8">
        <v>0</v>
      </c>
      <c r="O1004" s="9">
        <v>0</v>
      </c>
      <c r="P1004" s="9">
        <v>0</v>
      </c>
      <c r="Q1004" s="9">
        <v>1</v>
      </c>
      <c r="R1004" s="9">
        <v>0</v>
      </c>
      <c r="S1004" s="8">
        <v>1981128</v>
      </c>
      <c r="T1004" s="9">
        <v>3</v>
      </c>
      <c r="U1004" s="9">
        <f t="shared" si="238"/>
        <v>1981124</v>
      </c>
      <c r="V1004" s="9">
        <f t="shared" si="239"/>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47"/>
        <v>0.42200000000000004</v>
      </c>
      <c r="AS1004">
        <v>1</v>
      </c>
      <c r="AT1004" s="40">
        <v>0</v>
      </c>
      <c r="AU1004">
        <v>1</v>
      </c>
      <c r="AV1004" s="18">
        <v>0</v>
      </c>
      <c r="AW1004" t="s">
        <v>98</v>
      </c>
      <c r="AX1004" s="18" t="s">
        <v>98</v>
      </c>
      <c r="AY1004" s="18" t="s">
        <v>522</v>
      </c>
      <c r="AZ1004">
        <v>1</v>
      </c>
      <c r="BA1004">
        <v>0</v>
      </c>
      <c r="BB1004">
        <v>0</v>
      </c>
      <c r="BC1004">
        <v>0</v>
      </c>
      <c r="BD1004">
        <v>0</v>
      </c>
      <c r="BE1004">
        <v>0</v>
      </c>
      <c r="BF1004" s="18">
        <v>0</v>
      </c>
      <c r="BG1004">
        <v>1</v>
      </c>
      <c r="BH1004">
        <v>0</v>
      </c>
      <c r="BI1004" s="18">
        <v>0</v>
      </c>
      <c r="BJ1004">
        <v>12511</v>
      </c>
      <c r="BK1004">
        <v>9911</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4012</v>
      </c>
      <c r="D1005" s="12">
        <v>6.38</v>
      </c>
      <c r="E1005" s="14">
        <v>0.1</v>
      </c>
      <c r="F1005" s="7">
        <f t="shared" si="248"/>
        <v>63.8</v>
      </c>
      <c r="G1005" s="7">
        <f t="shared" si="236"/>
        <v>6.28</v>
      </c>
      <c r="H1005" s="16">
        <f t="shared" si="237"/>
        <v>6.4799999999999995</v>
      </c>
      <c r="I1005" s="11">
        <f t="shared" si="241"/>
        <v>4.4601204955611651E-2</v>
      </c>
      <c r="J1005" s="33">
        <f t="shared" si="242"/>
        <v>6.9907844758011989E-4</v>
      </c>
      <c r="K1005" s="33">
        <f t="shared" si="243"/>
        <v>1430.4546270329586</v>
      </c>
      <c r="L1005" s="8">
        <v>0</v>
      </c>
      <c r="M1005" s="9">
        <v>1</v>
      </c>
      <c r="N1005" s="8">
        <v>0</v>
      </c>
      <c r="O1005" s="9">
        <v>0</v>
      </c>
      <c r="P1005" s="9">
        <v>0</v>
      </c>
      <c r="Q1005" s="9">
        <v>1</v>
      </c>
      <c r="R1005" s="9">
        <v>0</v>
      </c>
      <c r="S1005" s="8">
        <v>2042134</v>
      </c>
      <c r="T1005" s="9">
        <v>3</v>
      </c>
      <c r="U1005" s="9">
        <f t="shared" si="238"/>
        <v>2042130</v>
      </c>
      <c r="V1005" s="9">
        <f t="shared" si="239"/>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47"/>
        <v>0.45199999999999996</v>
      </c>
      <c r="AS1005">
        <v>1</v>
      </c>
      <c r="AT1005" s="40">
        <v>0</v>
      </c>
      <c r="AU1005">
        <v>1</v>
      </c>
      <c r="AV1005" s="18">
        <v>0</v>
      </c>
      <c r="AW1005" t="s">
        <v>98</v>
      </c>
      <c r="AX1005" s="18" t="s">
        <v>98</v>
      </c>
      <c r="AY1005" s="18" t="s">
        <v>522</v>
      </c>
      <c r="AZ1005">
        <v>1</v>
      </c>
      <c r="BA1005">
        <v>0</v>
      </c>
      <c r="BB1005">
        <v>0</v>
      </c>
      <c r="BC1005">
        <v>0</v>
      </c>
      <c r="BD1005">
        <v>0</v>
      </c>
      <c r="BE1005">
        <v>0</v>
      </c>
      <c r="BF1005" s="18">
        <v>0</v>
      </c>
      <c r="BG1005">
        <v>1</v>
      </c>
      <c r="BH1005">
        <v>0</v>
      </c>
      <c r="BI1005" s="18">
        <v>0</v>
      </c>
      <c r="BJ1005">
        <v>13110</v>
      </c>
      <c r="BK1005">
        <v>11530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4012</v>
      </c>
      <c r="D1006" s="12">
        <v>6.37</v>
      </c>
      <c r="E1006" s="14">
        <v>0.1</v>
      </c>
      <c r="F1006" s="7">
        <f t="shared" si="248"/>
        <v>63.699999999999996</v>
      </c>
      <c r="G1006" s="7">
        <f t="shared" si="236"/>
        <v>6.2700000000000005</v>
      </c>
      <c r="H1006" s="16">
        <f t="shared" si="237"/>
        <v>6.47</v>
      </c>
      <c r="I1006" s="11">
        <f t="shared" si="241"/>
        <v>4.6105479453435814E-2</v>
      </c>
      <c r="J1006" s="33">
        <f t="shared" si="242"/>
        <v>7.2379088623918087E-4</v>
      </c>
      <c r="K1006" s="33">
        <f t="shared" si="243"/>
        <v>1381.6145229404619</v>
      </c>
      <c r="L1006" s="8">
        <v>0</v>
      </c>
      <c r="M1006" s="9">
        <v>1</v>
      </c>
      <c r="N1006" s="8">
        <v>0</v>
      </c>
      <c r="O1006" s="9">
        <v>0</v>
      </c>
      <c r="P1006" s="9">
        <v>0</v>
      </c>
      <c r="Q1006" s="9">
        <v>1</v>
      </c>
      <c r="R1006" s="9">
        <v>0</v>
      </c>
      <c r="S1006" s="8">
        <v>1904805</v>
      </c>
      <c r="T1006" s="9">
        <v>3</v>
      </c>
      <c r="U1006" s="9">
        <f t="shared" si="238"/>
        <v>1904801</v>
      </c>
      <c r="V1006" s="9">
        <f t="shared" si="239"/>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47"/>
        <v>0.47299999999999998</v>
      </c>
      <c r="AS1006">
        <v>1</v>
      </c>
      <c r="AT1006" s="40">
        <v>0</v>
      </c>
      <c r="AU1006">
        <v>1</v>
      </c>
      <c r="AV1006" s="18">
        <v>0</v>
      </c>
      <c r="AW1006" t="s">
        <v>98</v>
      </c>
      <c r="AX1006" s="18" t="s">
        <v>98</v>
      </c>
      <c r="AY1006" s="18" t="s">
        <v>522</v>
      </c>
      <c r="AZ1006">
        <v>1</v>
      </c>
      <c r="BA1006">
        <v>0</v>
      </c>
      <c r="BB1006">
        <v>0</v>
      </c>
      <c r="BC1006">
        <v>0</v>
      </c>
      <c r="BD1006">
        <v>0</v>
      </c>
      <c r="BE1006">
        <v>0</v>
      </c>
      <c r="BF1006" s="18">
        <v>0</v>
      </c>
      <c r="BG1006">
        <v>1</v>
      </c>
      <c r="BH1006">
        <v>0</v>
      </c>
      <c r="BI1006" s="18">
        <v>0</v>
      </c>
      <c r="BJ1006">
        <v>11965</v>
      </c>
      <c r="BK1006">
        <v>11021</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4012</v>
      </c>
      <c r="D1007" s="12">
        <v>6.11</v>
      </c>
      <c r="E1007" s="14">
        <v>0.1</v>
      </c>
      <c r="F1007" s="7">
        <f t="shared" si="248"/>
        <v>61.1</v>
      </c>
      <c r="G1007" s="7">
        <f t="shared" si="236"/>
        <v>6.0100000000000007</v>
      </c>
      <c r="H1007" s="16">
        <f t="shared" si="237"/>
        <v>6.21</v>
      </c>
      <c r="I1007" s="11">
        <f t="shared" si="241"/>
        <v>6.1281471570910073E-2</v>
      </c>
      <c r="J1007" s="33">
        <f t="shared" si="242"/>
        <v>1.002970074810312E-3</v>
      </c>
      <c r="K1007" s="33">
        <f t="shared" si="243"/>
        <v>997.0387204115998</v>
      </c>
      <c r="L1007" s="8">
        <v>0</v>
      </c>
      <c r="M1007" s="9">
        <v>1</v>
      </c>
      <c r="N1007" s="8">
        <v>0</v>
      </c>
      <c r="O1007" s="9">
        <v>0</v>
      </c>
      <c r="P1007" s="9">
        <v>0</v>
      </c>
      <c r="Q1007" s="9">
        <v>1</v>
      </c>
      <c r="R1007" s="9">
        <v>0</v>
      </c>
      <c r="S1007" s="8">
        <v>990357</v>
      </c>
      <c r="T1007" s="9">
        <v>3</v>
      </c>
      <c r="U1007" s="9">
        <f t="shared" si="238"/>
        <v>990353</v>
      </c>
      <c r="V1007" s="9">
        <f t="shared" si="239"/>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47"/>
        <v>0.33099999999999996</v>
      </c>
      <c r="AS1007">
        <v>1</v>
      </c>
      <c r="AT1007" s="40">
        <v>0</v>
      </c>
      <c r="AU1007">
        <v>1</v>
      </c>
      <c r="AV1007" s="18">
        <v>0</v>
      </c>
      <c r="AW1007" t="s">
        <v>98</v>
      </c>
      <c r="AX1007" s="18" t="s">
        <v>98</v>
      </c>
      <c r="AY1007" s="18" t="s">
        <v>522</v>
      </c>
      <c r="AZ1007">
        <v>1</v>
      </c>
      <c r="BA1007">
        <v>0</v>
      </c>
      <c r="BB1007">
        <v>0</v>
      </c>
      <c r="BC1007">
        <v>0</v>
      </c>
      <c r="BD1007">
        <v>0</v>
      </c>
      <c r="BE1007">
        <v>0</v>
      </c>
      <c r="BF1007" s="18">
        <v>0</v>
      </c>
      <c r="BG1007">
        <v>1</v>
      </c>
      <c r="BH1007">
        <v>0</v>
      </c>
      <c r="BI1007" s="18">
        <v>0</v>
      </c>
      <c r="BJ1007">
        <v>7294</v>
      </c>
      <c r="BK1007">
        <v>760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4012</v>
      </c>
      <c r="D1008" s="12">
        <v>7.19</v>
      </c>
      <c r="E1008" s="14">
        <v>0.1</v>
      </c>
      <c r="F1008" s="7">
        <f t="shared" si="248"/>
        <v>71.900000000000006</v>
      </c>
      <c r="G1008" s="7">
        <f t="shared" si="236"/>
        <v>7.0900000000000007</v>
      </c>
      <c r="H1008" s="16">
        <f t="shared" si="237"/>
        <v>7.29</v>
      </c>
      <c r="I1008" s="11">
        <f t="shared" si="241"/>
        <v>5.9304085037547423E-2</v>
      </c>
      <c r="J1008" s="33">
        <f t="shared" si="242"/>
        <v>8.248134219408542E-4</v>
      </c>
      <c r="K1008" s="33">
        <f t="shared" si="243"/>
        <v>1212.3954016738928</v>
      </c>
      <c r="L1008" s="8">
        <v>0</v>
      </c>
      <c r="M1008" s="9">
        <v>1</v>
      </c>
      <c r="N1008" s="8">
        <v>0</v>
      </c>
      <c r="O1008" s="9">
        <v>0</v>
      </c>
      <c r="P1008" s="9">
        <v>0</v>
      </c>
      <c r="Q1008" s="9">
        <v>1</v>
      </c>
      <c r="R1008" s="9">
        <v>0</v>
      </c>
      <c r="S1008" s="8">
        <v>1464737</v>
      </c>
      <c r="T1008" s="9">
        <v>3</v>
      </c>
      <c r="U1008" s="9">
        <f t="shared" si="238"/>
        <v>1464733</v>
      </c>
      <c r="V1008" s="9">
        <f t="shared" si="239"/>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47"/>
        <v>0.39900000000000002</v>
      </c>
      <c r="AS1008">
        <v>1</v>
      </c>
      <c r="AT1008" s="40">
        <v>0</v>
      </c>
      <c r="AU1008">
        <v>1</v>
      </c>
      <c r="AV1008" s="18">
        <v>0</v>
      </c>
      <c r="AW1008" t="s">
        <v>98</v>
      </c>
      <c r="AX1008" s="18" t="s">
        <v>98</v>
      </c>
      <c r="AY1008" s="18" t="s">
        <v>522</v>
      </c>
      <c r="AZ1008">
        <v>1</v>
      </c>
      <c r="BA1008">
        <v>0</v>
      </c>
      <c r="BB1008">
        <v>0</v>
      </c>
      <c r="BC1008">
        <v>0</v>
      </c>
      <c r="BD1008">
        <v>0</v>
      </c>
      <c r="BE1008">
        <v>0</v>
      </c>
      <c r="BF1008" s="18">
        <v>0</v>
      </c>
      <c r="BG1008">
        <v>1</v>
      </c>
      <c r="BH1008">
        <v>0</v>
      </c>
      <c r="BI1008" s="18">
        <v>0</v>
      </c>
      <c r="BJ1008">
        <v>10406</v>
      </c>
      <c r="BK1008">
        <v>9300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4012</v>
      </c>
      <c r="D1009" s="12">
        <v>7.32</v>
      </c>
      <c r="E1009" s="14">
        <v>0.1</v>
      </c>
      <c r="F1009" s="7">
        <f t="shared" si="248"/>
        <v>73.2</v>
      </c>
      <c r="G1009" s="7">
        <f t="shared" si="236"/>
        <v>7.2200000000000006</v>
      </c>
      <c r="H1009" s="16">
        <f t="shared" si="237"/>
        <v>7.42</v>
      </c>
      <c r="I1009" s="11">
        <f t="shared" si="241"/>
        <v>5.1936028652708639E-2</v>
      </c>
      <c r="J1009" s="33">
        <f t="shared" si="242"/>
        <v>7.095085881517573E-4</v>
      </c>
      <c r="K1009" s="33">
        <f t="shared" si="243"/>
        <v>1409.4262094909404</v>
      </c>
      <c r="L1009" s="8">
        <v>0</v>
      </c>
      <c r="M1009" s="9">
        <v>1</v>
      </c>
      <c r="N1009" s="8">
        <v>0</v>
      </c>
      <c r="O1009" s="9">
        <v>0</v>
      </c>
      <c r="P1009" s="9">
        <v>0</v>
      </c>
      <c r="Q1009" s="9">
        <v>1</v>
      </c>
      <c r="R1009" s="9">
        <v>0</v>
      </c>
      <c r="S1009" s="8">
        <v>1981128</v>
      </c>
      <c r="T1009" s="9">
        <v>3</v>
      </c>
      <c r="U1009" s="9">
        <f t="shared" si="238"/>
        <v>1981124</v>
      </c>
      <c r="V1009" s="9">
        <f t="shared" si="239"/>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47"/>
        <v>0.42200000000000004</v>
      </c>
      <c r="AS1009">
        <v>1</v>
      </c>
      <c r="AT1009" s="40">
        <v>0</v>
      </c>
      <c r="AU1009">
        <v>1</v>
      </c>
      <c r="AV1009" s="18">
        <v>0</v>
      </c>
      <c r="AW1009" t="s">
        <v>98</v>
      </c>
      <c r="AX1009" s="18" t="s">
        <v>98</v>
      </c>
      <c r="AY1009" s="18" t="s">
        <v>522</v>
      </c>
      <c r="AZ1009">
        <v>1</v>
      </c>
      <c r="BA1009">
        <v>0</v>
      </c>
      <c r="BB1009">
        <v>0</v>
      </c>
      <c r="BC1009">
        <v>0</v>
      </c>
      <c r="BD1009">
        <v>0</v>
      </c>
      <c r="BE1009">
        <v>0</v>
      </c>
      <c r="BF1009" s="18">
        <v>0</v>
      </c>
      <c r="BG1009">
        <v>1</v>
      </c>
      <c r="BH1009">
        <v>0</v>
      </c>
      <c r="BI1009" s="18">
        <v>0</v>
      </c>
      <c r="BJ1009">
        <v>12511</v>
      </c>
      <c r="BK1009">
        <v>9911</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4012</v>
      </c>
      <c r="D1010" s="12">
        <v>7.16</v>
      </c>
      <c r="E1010" s="14">
        <v>0.1</v>
      </c>
      <c r="F1010" s="7">
        <f t="shared" si="248"/>
        <v>71.599999999999994</v>
      </c>
      <c r="G1010" s="7">
        <f t="shared" si="236"/>
        <v>7.0600000000000005</v>
      </c>
      <c r="H1010" s="16">
        <f t="shared" si="237"/>
        <v>7.26</v>
      </c>
      <c r="I1010" s="11">
        <f t="shared" si="241"/>
        <v>5.0041104476911825E-2</v>
      </c>
      <c r="J1010" s="33">
        <f t="shared" si="242"/>
        <v>6.9889810721943883E-4</v>
      </c>
      <c r="K1010" s="33">
        <f t="shared" si="243"/>
        <v>1430.8237347765798</v>
      </c>
      <c r="L1010" s="8">
        <v>0</v>
      </c>
      <c r="M1010" s="9">
        <v>1</v>
      </c>
      <c r="N1010" s="8">
        <v>0</v>
      </c>
      <c r="O1010" s="9">
        <v>0</v>
      </c>
      <c r="P1010" s="9">
        <v>0</v>
      </c>
      <c r="Q1010" s="9">
        <v>1</v>
      </c>
      <c r="R1010" s="9">
        <v>0</v>
      </c>
      <c r="S1010" s="8">
        <v>2042134</v>
      </c>
      <c r="T1010" s="9">
        <v>3</v>
      </c>
      <c r="U1010" s="9">
        <f t="shared" si="238"/>
        <v>2042130</v>
      </c>
      <c r="V1010" s="9">
        <f t="shared" si="239"/>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47"/>
        <v>0.45199999999999996</v>
      </c>
      <c r="AS1010">
        <v>1</v>
      </c>
      <c r="AT1010" s="40">
        <v>0</v>
      </c>
      <c r="AU1010">
        <v>1</v>
      </c>
      <c r="AV1010" s="18">
        <v>0</v>
      </c>
      <c r="AW1010" t="s">
        <v>98</v>
      </c>
      <c r="AX1010" s="18" t="s">
        <v>98</v>
      </c>
      <c r="AY1010" s="18" t="s">
        <v>522</v>
      </c>
      <c r="AZ1010">
        <v>1</v>
      </c>
      <c r="BA1010">
        <v>0</v>
      </c>
      <c r="BB1010">
        <v>0</v>
      </c>
      <c r="BC1010">
        <v>0</v>
      </c>
      <c r="BD1010">
        <v>0</v>
      </c>
      <c r="BE1010">
        <v>0</v>
      </c>
      <c r="BF1010" s="18">
        <v>0</v>
      </c>
      <c r="BG1010">
        <v>1</v>
      </c>
      <c r="BH1010">
        <v>0</v>
      </c>
      <c r="BI1010" s="18">
        <v>0</v>
      </c>
      <c r="BJ1010">
        <v>13110</v>
      </c>
      <c r="BK1010">
        <v>11530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4012</v>
      </c>
      <c r="D1011" s="12">
        <v>7.09</v>
      </c>
      <c r="E1011" s="14">
        <v>0.1</v>
      </c>
      <c r="F1011" s="7">
        <f t="shared" si="248"/>
        <v>70.899999999999991</v>
      </c>
      <c r="G1011" s="7">
        <f t="shared" si="236"/>
        <v>6.99</v>
      </c>
      <c r="H1011" s="16">
        <f t="shared" si="237"/>
        <v>7.1899999999999995</v>
      </c>
      <c r="I1011" s="11">
        <f t="shared" si="241"/>
        <v>5.130375213098886E-2</v>
      </c>
      <c r="J1011" s="33">
        <f t="shared" si="242"/>
        <v>7.2360722328616172E-4</v>
      </c>
      <c r="K1011" s="33">
        <f t="shared" si="243"/>
        <v>1381.9651985487912</v>
      </c>
      <c r="L1011" s="8">
        <v>0</v>
      </c>
      <c r="M1011" s="9">
        <v>1</v>
      </c>
      <c r="N1011" s="8">
        <v>0</v>
      </c>
      <c r="O1011" s="9">
        <v>0</v>
      </c>
      <c r="P1011" s="9">
        <v>0</v>
      </c>
      <c r="Q1011" s="9">
        <v>1</v>
      </c>
      <c r="R1011" s="9">
        <v>0</v>
      </c>
      <c r="S1011" s="8">
        <v>1904805</v>
      </c>
      <c r="T1011" s="9">
        <v>3</v>
      </c>
      <c r="U1011" s="9">
        <f t="shared" si="238"/>
        <v>1904801</v>
      </c>
      <c r="V1011" s="9">
        <f t="shared" si="239"/>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47"/>
        <v>0.47299999999999998</v>
      </c>
      <c r="AS1011">
        <v>1</v>
      </c>
      <c r="AT1011" s="40">
        <v>0</v>
      </c>
      <c r="AU1011">
        <v>1</v>
      </c>
      <c r="AV1011" s="18">
        <v>0</v>
      </c>
      <c r="AW1011" t="s">
        <v>98</v>
      </c>
      <c r="AX1011" s="18" t="s">
        <v>98</v>
      </c>
      <c r="AY1011" s="18" t="s">
        <v>522</v>
      </c>
      <c r="AZ1011">
        <v>1</v>
      </c>
      <c r="BA1011">
        <v>0</v>
      </c>
      <c r="BB1011">
        <v>0</v>
      </c>
      <c r="BC1011">
        <v>0</v>
      </c>
      <c r="BD1011">
        <v>0</v>
      </c>
      <c r="BE1011">
        <v>0</v>
      </c>
      <c r="BF1011" s="18">
        <v>0</v>
      </c>
      <c r="BG1011">
        <v>1</v>
      </c>
      <c r="BH1011">
        <v>0</v>
      </c>
      <c r="BI1011" s="18">
        <v>0</v>
      </c>
      <c r="BJ1011">
        <v>11965</v>
      </c>
      <c r="BK1011">
        <v>11021</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4026</v>
      </c>
      <c r="D1012" s="12">
        <v>7.39</v>
      </c>
      <c r="E1012" s="14">
        <f t="shared" ref="E1012:E1047" si="249">D1012/F1012</f>
        <v>0.79147477776587771</v>
      </c>
      <c r="F1012" s="7">
        <v>9.3369999999999997</v>
      </c>
      <c r="G1012" s="7">
        <f t="shared" si="236"/>
        <v>6.5985252222341222</v>
      </c>
      <c r="H1012" s="16">
        <f t="shared" si="237"/>
        <v>8.1814747777658781</v>
      </c>
      <c r="I1012" s="11">
        <f t="shared" si="241"/>
        <v>0.35185655694543444</v>
      </c>
      <c r="J1012" s="33">
        <f t="shared" si="242"/>
        <v>3.7684112342876136E-2</v>
      </c>
      <c r="K1012" s="33">
        <f t="shared" si="243"/>
        <v>26.536381987754094</v>
      </c>
      <c r="L1012" s="8">
        <v>1</v>
      </c>
      <c r="M1012" s="9">
        <v>0</v>
      </c>
      <c r="N1012" s="8">
        <v>1</v>
      </c>
      <c r="O1012" s="9">
        <v>0</v>
      </c>
      <c r="P1012" s="9">
        <v>0</v>
      </c>
      <c r="Q1012" s="9">
        <v>0</v>
      </c>
      <c r="R1012" s="9">
        <v>0</v>
      </c>
      <c r="S1012" s="8">
        <v>628</v>
      </c>
      <c r="T1012" s="9">
        <v>10</v>
      </c>
      <c r="U1012" s="9">
        <f t="shared" si="238"/>
        <v>617</v>
      </c>
      <c r="V1012" s="9">
        <f t="shared" si="239"/>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47"/>
        <v>0.44750000000000001</v>
      </c>
      <c r="AS1012">
        <v>56.05</v>
      </c>
      <c r="AT1012" s="40">
        <v>43.05</v>
      </c>
      <c r="AU1012">
        <v>0</v>
      </c>
      <c r="AV1012" s="18">
        <v>1</v>
      </c>
      <c r="AW1012">
        <v>0</v>
      </c>
      <c r="AX1012" s="18">
        <v>1</v>
      </c>
      <c r="AY1012" s="18" t="s">
        <v>5</v>
      </c>
      <c r="AZ1012">
        <v>0</v>
      </c>
      <c r="BA1012">
        <v>1</v>
      </c>
      <c r="BB1012">
        <v>0</v>
      </c>
      <c r="BC1012">
        <v>0</v>
      </c>
      <c r="BD1012">
        <v>0</v>
      </c>
      <c r="BE1012">
        <v>0</v>
      </c>
      <c r="BF1012" s="18">
        <v>0</v>
      </c>
      <c r="BG1012">
        <v>0</v>
      </c>
      <c r="BH1012">
        <v>1</v>
      </c>
      <c r="BI1012" s="18">
        <v>0</v>
      </c>
      <c r="BJ1012">
        <v>1462</v>
      </c>
      <c r="BK1012">
        <v>176</v>
      </c>
      <c r="BL1012" s="93">
        <f t="shared" ref="BL1012:BL1047" si="250">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4026</v>
      </c>
      <c r="D1013" s="12">
        <v>7.43</v>
      </c>
      <c r="E1013" s="14">
        <f t="shared" si="249"/>
        <v>0.79067787591784611</v>
      </c>
      <c r="F1013" s="7">
        <v>9.3970000000000002</v>
      </c>
      <c r="G1013" s="7">
        <f t="shared" si="236"/>
        <v>6.6393221240821534</v>
      </c>
      <c r="H1013" s="16">
        <f t="shared" si="237"/>
        <v>8.2206778759178452</v>
      </c>
      <c r="I1013" s="11">
        <f t="shared" si="241"/>
        <v>0.35535001823810058</v>
      </c>
      <c r="J1013" s="33">
        <f t="shared" si="242"/>
        <v>3.7815262130265044E-2</v>
      </c>
      <c r="K1013" s="33">
        <f t="shared" si="243"/>
        <v>26.444349282975367</v>
      </c>
      <c r="L1013" s="8">
        <v>1</v>
      </c>
      <c r="M1013" s="9">
        <v>0</v>
      </c>
      <c r="N1013" s="8">
        <v>1</v>
      </c>
      <c r="O1013" s="9">
        <v>0</v>
      </c>
      <c r="P1013" s="9">
        <v>0</v>
      </c>
      <c r="Q1013" s="9">
        <v>0</v>
      </c>
      <c r="R1013" s="9">
        <v>0</v>
      </c>
      <c r="S1013" s="8">
        <v>628</v>
      </c>
      <c r="T1013" s="9">
        <v>16</v>
      </c>
      <c r="U1013" s="9">
        <f t="shared" si="238"/>
        <v>611</v>
      </c>
      <c r="V1013" s="9">
        <f t="shared" si="239"/>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47"/>
        <v>0.44750000000000001</v>
      </c>
      <c r="AS1013">
        <v>56.05</v>
      </c>
      <c r="AT1013" s="40">
        <v>43.05</v>
      </c>
      <c r="AU1013">
        <v>0</v>
      </c>
      <c r="AV1013" s="18">
        <v>1</v>
      </c>
      <c r="AW1013">
        <v>0</v>
      </c>
      <c r="AX1013" s="18">
        <v>1</v>
      </c>
      <c r="AY1013" s="18" t="s">
        <v>5</v>
      </c>
      <c r="AZ1013">
        <v>0</v>
      </c>
      <c r="BA1013">
        <v>1</v>
      </c>
      <c r="BB1013">
        <v>0</v>
      </c>
      <c r="BC1013">
        <v>0</v>
      </c>
      <c r="BD1013">
        <v>0</v>
      </c>
      <c r="BE1013">
        <v>0</v>
      </c>
      <c r="BF1013" s="18">
        <v>0</v>
      </c>
      <c r="BG1013">
        <v>0</v>
      </c>
      <c r="BH1013">
        <v>1</v>
      </c>
      <c r="BI1013" s="18">
        <v>0</v>
      </c>
      <c r="BJ1013">
        <v>1462</v>
      </c>
      <c r="BK1013">
        <v>176</v>
      </c>
      <c r="BL1013" s="93">
        <f t="shared" si="250"/>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4026</v>
      </c>
      <c r="D1014" s="12">
        <v>7.37</v>
      </c>
      <c r="E1014" s="14">
        <f t="shared" si="249"/>
        <v>0.79392437789507708</v>
      </c>
      <c r="F1014" s="7">
        <v>9.2829999999999995</v>
      </c>
      <c r="G1014" s="7">
        <f t="shared" si="236"/>
        <v>6.5760756221049235</v>
      </c>
      <c r="H1014" s="16">
        <f t="shared" si="237"/>
        <v>8.1639243778950767</v>
      </c>
      <c r="I1014" s="11">
        <f t="shared" si="241"/>
        <v>0.35182720878246931</v>
      </c>
      <c r="J1014" s="33">
        <f t="shared" si="242"/>
        <v>3.7900162531775222E-2</v>
      </c>
      <c r="K1014" s="33">
        <f t="shared" si="243"/>
        <v>26.385111123510544</v>
      </c>
      <c r="L1014" s="8">
        <v>1</v>
      </c>
      <c r="M1014" s="9">
        <v>0</v>
      </c>
      <c r="N1014" s="8">
        <v>1</v>
      </c>
      <c r="O1014" s="9">
        <v>0</v>
      </c>
      <c r="P1014" s="9">
        <v>0</v>
      </c>
      <c r="Q1014" s="9">
        <v>0</v>
      </c>
      <c r="R1014" s="9">
        <v>0</v>
      </c>
      <c r="S1014" s="8">
        <v>628</v>
      </c>
      <c r="T1014" s="9">
        <v>17</v>
      </c>
      <c r="U1014" s="9">
        <f t="shared" si="238"/>
        <v>610</v>
      </c>
      <c r="V1014" s="9">
        <f t="shared" si="239"/>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47"/>
        <v>0.44750000000000001</v>
      </c>
      <c r="AS1014">
        <v>56.05</v>
      </c>
      <c r="AT1014" s="40">
        <v>43.05</v>
      </c>
      <c r="AU1014">
        <v>0</v>
      </c>
      <c r="AV1014" s="18">
        <v>1</v>
      </c>
      <c r="AW1014">
        <v>0</v>
      </c>
      <c r="AX1014" s="18">
        <v>1</v>
      </c>
      <c r="AY1014" s="18" t="s">
        <v>5</v>
      </c>
      <c r="AZ1014">
        <v>0</v>
      </c>
      <c r="BA1014">
        <v>1</v>
      </c>
      <c r="BB1014">
        <v>0</v>
      </c>
      <c r="BC1014">
        <v>0</v>
      </c>
      <c r="BD1014">
        <v>0</v>
      </c>
      <c r="BE1014">
        <v>0</v>
      </c>
      <c r="BF1014" s="18">
        <v>0</v>
      </c>
      <c r="BG1014">
        <v>0</v>
      </c>
      <c r="BH1014">
        <v>1</v>
      </c>
      <c r="BI1014" s="18">
        <v>0</v>
      </c>
      <c r="BJ1014">
        <v>1462</v>
      </c>
      <c r="BK1014">
        <v>176</v>
      </c>
      <c r="BL1014" s="93">
        <f t="shared" si="250"/>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4026</v>
      </c>
      <c r="D1015" s="12">
        <v>6.99</v>
      </c>
      <c r="E1015" s="14">
        <f t="shared" si="249"/>
        <v>0.79721715328467146</v>
      </c>
      <c r="F1015" s="7">
        <v>8.7680000000000007</v>
      </c>
      <c r="G1015" s="7">
        <f t="shared" si="236"/>
        <v>6.1927828467153283</v>
      </c>
      <c r="H1015" s="16">
        <f t="shared" si="237"/>
        <v>7.7872171532846721</v>
      </c>
      <c r="I1015" s="11">
        <f t="shared" si="241"/>
        <v>0.33479361013613657</v>
      </c>
      <c r="J1015" s="33">
        <f t="shared" si="242"/>
        <v>3.8183577798373232E-2</v>
      </c>
      <c r="K1015" s="33">
        <f t="shared" si="243"/>
        <v>26.189269252882948</v>
      </c>
      <c r="L1015" s="8">
        <v>1</v>
      </c>
      <c r="M1015" s="9">
        <v>0</v>
      </c>
      <c r="N1015" s="8">
        <v>1</v>
      </c>
      <c r="O1015" s="9">
        <v>0</v>
      </c>
      <c r="P1015" s="9">
        <v>0</v>
      </c>
      <c r="Q1015" s="9">
        <v>0</v>
      </c>
      <c r="R1015" s="9">
        <v>0</v>
      </c>
      <c r="S1015" s="8">
        <v>628</v>
      </c>
      <c r="T1015" s="9">
        <v>18</v>
      </c>
      <c r="U1015" s="9">
        <f t="shared" si="238"/>
        <v>609</v>
      </c>
      <c r="V1015" s="9">
        <f t="shared" si="239"/>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47"/>
        <v>0.44750000000000001</v>
      </c>
      <c r="AS1015">
        <v>56.05</v>
      </c>
      <c r="AT1015" s="40">
        <v>43.05</v>
      </c>
      <c r="AU1015">
        <v>0</v>
      </c>
      <c r="AV1015" s="18">
        <v>1</v>
      </c>
      <c r="AW1015">
        <v>0</v>
      </c>
      <c r="AX1015" s="18">
        <v>1</v>
      </c>
      <c r="AY1015" s="18" t="s">
        <v>5</v>
      </c>
      <c r="AZ1015">
        <v>0</v>
      </c>
      <c r="BA1015">
        <v>1</v>
      </c>
      <c r="BB1015">
        <v>0</v>
      </c>
      <c r="BC1015">
        <v>0</v>
      </c>
      <c r="BD1015">
        <v>0</v>
      </c>
      <c r="BE1015">
        <v>0</v>
      </c>
      <c r="BF1015" s="18">
        <v>0</v>
      </c>
      <c r="BG1015">
        <v>0</v>
      </c>
      <c r="BH1015">
        <v>1</v>
      </c>
      <c r="BI1015" s="18">
        <v>0</v>
      </c>
      <c r="BJ1015">
        <v>1462</v>
      </c>
      <c r="BK1015">
        <v>176</v>
      </c>
      <c r="BL1015" s="93">
        <f t="shared" si="250"/>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4026</v>
      </c>
      <c r="D1016" s="12">
        <v>25.3</v>
      </c>
      <c r="E1016" s="14">
        <f t="shared" si="249"/>
        <v>4.7780925401322003</v>
      </c>
      <c r="F1016" s="7">
        <v>5.2949999999999999</v>
      </c>
      <c r="G1016" s="7">
        <f t="shared" si="236"/>
        <v>20.521907459867801</v>
      </c>
      <c r="H1016" s="16">
        <f t="shared" si="237"/>
        <v>30.0780925401322</v>
      </c>
      <c r="I1016" s="11">
        <f t="shared" si="241"/>
        <v>0.20848443765544997</v>
      </c>
      <c r="J1016" s="33">
        <f t="shared" si="242"/>
        <v>3.9373831474117084E-2</v>
      </c>
      <c r="K1016" s="33">
        <f t="shared" si="243"/>
        <v>25.39757911691585</v>
      </c>
      <c r="L1016" s="8">
        <v>1</v>
      </c>
      <c r="M1016" s="9">
        <v>0</v>
      </c>
      <c r="N1016" s="8">
        <v>1</v>
      </c>
      <c r="O1016" s="9">
        <v>0</v>
      </c>
      <c r="P1016" s="9">
        <v>0</v>
      </c>
      <c r="Q1016" s="9">
        <v>0</v>
      </c>
      <c r="R1016" s="9">
        <v>0</v>
      </c>
      <c r="S1016" s="8">
        <v>628</v>
      </c>
      <c r="T1016" s="9">
        <v>10</v>
      </c>
      <c r="U1016" s="9">
        <f t="shared" si="238"/>
        <v>617</v>
      </c>
      <c r="V1016" s="9">
        <f t="shared" si="239"/>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47"/>
        <v>0.44750000000000001</v>
      </c>
      <c r="AS1016">
        <v>56.05</v>
      </c>
      <c r="AT1016" s="40">
        <v>43.05</v>
      </c>
      <c r="AU1016">
        <v>0</v>
      </c>
      <c r="AV1016" s="18">
        <v>1</v>
      </c>
      <c r="AW1016">
        <v>0</v>
      </c>
      <c r="AX1016" s="18">
        <v>1</v>
      </c>
      <c r="AY1016" s="18" t="s">
        <v>5</v>
      </c>
      <c r="AZ1016">
        <v>0</v>
      </c>
      <c r="BA1016">
        <v>1</v>
      </c>
      <c r="BB1016">
        <v>0</v>
      </c>
      <c r="BC1016">
        <v>0</v>
      </c>
      <c r="BD1016">
        <v>0</v>
      </c>
      <c r="BE1016">
        <v>0</v>
      </c>
      <c r="BF1016" s="18">
        <v>0</v>
      </c>
      <c r="BG1016">
        <v>0</v>
      </c>
      <c r="BH1016">
        <v>1</v>
      </c>
      <c r="BI1016" s="18">
        <v>0</v>
      </c>
      <c r="BJ1016">
        <v>1462</v>
      </c>
      <c r="BK1016">
        <v>176</v>
      </c>
      <c r="BL1016" s="93">
        <f t="shared" si="250"/>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4026</v>
      </c>
      <c r="D1017" s="12">
        <v>29</v>
      </c>
      <c r="E1017" s="14">
        <f t="shared" si="249"/>
        <v>6.2634989200863931</v>
      </c>
      <c r="F1017" s="7">
        <v>4.63</v>
      </c>
      <c r="G1017" s="7">
        <f t="shared" si="236"/>
        <v>22.736501079913609</v>
      </c>
      <c r="H1017" s="16">
        <f t="shared" si="237"/>
        <v>35.263498920086391</v>
      </c>
      <c r="I1017" s="11">
        <f t="shared" si="241"/>
        <v>0.18324072479867753</v>
      </c>
      <c r="J1017" s="33">
        <f t="shared" si="242"/>
        <v>3.9576830410081545E-2</v>
      </c>
      <c r="K1017" s="33">
        <f t="shared" si="243"/>
        <v>25.267308918838193</v>
      </c>
      <c r="L1017" s="8">
        <v>1</v>
      </c>
      <c r="M1017" s="9">
        <v>0</v>
      </c>
      <c r="N1017" s="8">
        <v>1</v>
      </c>
      <c r="O1017" s="9">
        <v>0</v>
      </c>
      <c r="P1017" s="9">
        <v>0</v>
      </c>
      <c r="Q1017" s="9">
        <v>0</v>
      </c>
      <c r="R1017" s="9">
        <v>0</v>
      </c>
      <c r="S1017" s="8">
        <v>628</v>
      </c>
      <c r="T1017" s="9">
        <v>10</v>
      </c>
      <c r="U1017" s="9">
        <f t="shared" si="238"/>
        <v>617</v>
      </c>
      <c r="V1017" s="9">
        <f t="shared" si="239"/>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47"/>
        <v>0.44750000000000001</v>
      </c>
      <c r="AS1017">
        <v>56.05</v>
      </c>
      <c r="AT1017" s="40">
        <v>43.05</v>
      </c>
      <c r="AU1017">
        <v>0</v>
      </c>
      <c r="AV1017" s="18">
        <v>1</v>
      </c>
      <c r="AW1017">
        <v>0</v>
      </c>
      <c r="AX1017" s="18">
        <v>1</v>
      </c>
      <c r="AY1017" s="18" t="s">
        <v>5</v>
      </c>
      <c r="AZ1017">
        <v>0</v>
      </c>
      <c r="BA1017">
        <v>1</v>
      </c>
      <c r="BB1017">
        <v>0</v>
      </c>
      <c r="BC1017">
        <v>0</v>
      </c>
      <c r="BD1017">
        <v>0</v>
      </c>
      <c r="BE1017">
        <v>0</v>
      </c>
      <c r="BF1017" s="18">
        <v>0</v>
      </c>
      <c r="BG1017">
        <v>0</v>
      </c>
      <c r="BH1017">
        <v>1</v>
      </c>
      <c r="BI1017" s="18">
        <v>0</v>
      </c>
      <c r="BJ1017">
        <v>1462</v>
      </c>
      <c r="BK1017">
        <v>176</v>
      </c>
      <c r="BL1017" s="93">
        <f t="shared" si="250"/>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4026</v>
      </c>
      <c r="D1018" s="12">
        <v>25.7</v>
      </c>
      <c r="E1018" s="14">
        <f t="shared" si="249"/>
        <v>3.9919229574401989</v>
      </c>
      <c r="F1018" s="7">
        <v>6.4379999999999997</v>
      </c>
      <c r="G1018" s="7">
        <f t="shared" si="236"/>
        <v>21.7080770425598</v>
      </c>
      <c r="H1018" s="16">
        <f t="shared" si="237"/>
        <v>29.691922957440198</v>
      </c>
      <c r="I1018" s="11">
        <f t="shared" si="241"/>
        <v>0.25204499171861505</v>
      </c>
      <c r="J1018" s="33">
        <f t="shared" si="242"/>
        <v>3.9149579328769037E-2</v>
      </c>
      <c r="K1018" s="33">
        <f t="shared" si="243"/>
        <v>25.543058626562324</v>
      </c>
      <c r="L1018" s="8">
        <v>1</v>
      </c>
      <c r="M1018" s="9">
        <v>0</v>
      </c>
      <c r="N1018" s="8">
        <v>1</v>
      </c>
      <c r="O1018" s="9">
        <v>0</v>
      </c>
      <c r="P1018" s="9">
        <v>0</v>
      </c>
      <c r="Q1018" s="9">
        <v>0</v>
      </c>
      <c r="R1018" s="9">
        <v>0</v>
      </c>
      <c r="S1018" s="8">
        <v>628</v>
      </c>
      <c r="T1018" s="9">
        <v>16</v>
      </c>
      <c r="U1018" s="9">
        <f t="shared" si="238"/>
        <v>611</v>
      </c>
      <c r="V1018" s="9">
        <f t="shared" si="239"/>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47"/>
        <v>0.44750000000000001</v>
      </c>
      <c r="AS1018">
        <v>56.05</v>
      </c>
      <c r="AT1018" s="40">
        <v>43.05</v>
      </c>
      <c r="AU1018">
        <v>0</v>
      </c>
      <c r="AV1018" s="18">
        <v>1</v>
      </c>
      <c r="AW1018">
        <v>0</v>
      </c>
      <c r="AX1018" s="18">
        <v>1</v>
      </c>
      <c r="AY1018" s="18" t="s">
        <v>5</v>
      </c>
      <c r="AZ1018">
        <v>0</v>
      </c>
      <c r="BA1018">
        <v>1</v>
      </c>
      <c r="BB1018">
        <v>0</v>
      </c>
      <c r="BC1018">
        <v>0</v>
      </c>
      <c r="BD1018">
        <v>0</v>
      </c>
      <c r="BE1018">
        <v>0</v>
      </c>
      <c r="BF1018" s="18">
        <v>0</v>
      </c>
      <c r="BG1018">
        <v>0</v>
      </c>
      <c r="BH1018">
        <v>1</v>
      </c>
      <c r="BI1018" s="18">
        <v>0</v>
      </c>
      <c r="BJ1018">
        <v>1462</v>
      </c>
      <c r="BK1018">
        <v>176</v>
      </c>
      <c r="BL1018" s="93">
        <f t="shared" si="250"/>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4026</v>
      </c>
      <c r="D1019" s="12">
        <v>28.9</v>
      </c>
      <c r="E1019" s="14">
        <f t="shared" si="249"/>
        <v>4.0211492973424239</v>
      </c>
      <c r="F1019" s="7">
        <v>7.1870000000000003</v>
      </c>
      <c r="G1019" s="7">
        <f t="shared" si="236"/>
        <v>24.878850702657573</v>
      </c>
      <c r="H1019" s="16">
        <f t="shared" si="237"/>
        <v>32.921149297342424</v>
      </c>
      <c r="I1019" s="11">
        <f t="shared" si="241"/>
        <v>0.27919302920971634</v>
      </c>
      <c r="J1019" s="33">
        <f t="shared" si="242"/>
        <v>3.8846949938738877E-2</v>
      </c>
      <c r="K1019" s="33">
        <f t="shared" si="243"/>
        <v>25.742046713499686</v>
      </c>
      <c r="L1019" s="8">
        <v>1</v>
      </c>
      <c r="M1019" s="9">
        <v>0</v>
      </c>
      <c r="N1019" s="8">
        <v>1</v>
      </c>
      <c r="O1019" s="9">
        <v>0</v>
      </c>
      <c r="P1019" s="9">
        <v>0</v>
      </c>
      <c r="Q1019" s="9">
        <v>0</v>
      </c>
      <c r="R1019" s="9">
        <v>0</v>
      </c>
      <c r="S1019" s="8">
        <v>628</v>
      </c>
      <c r="T1019" s="9">
        <v>16</v>
      </c>
      <c r="U1019" s="9">
        <f t="shared" si="238"/>
        <v>611</v>
      </c>
      <c r="V1019" s="9">
        <f t="shared" si="239"/>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47"/>
        <v>0.44750000000000001</v>
      </c>
      <c r="AS1019">
        <v>56.05</v>
      </c>
      <c r="AT1019" s="40">
        <v>43.05</v>
      </c>
      <c r="AU1019">
        <v>0</v>
      </c>
      <c r="AV1019" s="18">
        <v>1</v>
      </c>
      <c r="AW1019">
        <v>0</v>
      </c>
      <c r="AX1019" s="18">
        <v>1</v>
      </c>
      <c r="AY1019" s="18" t="s">
        <v>5</v>
      </c>
      <c r="AZ1019">
        <v>0</v>
      </c>
      <c r="BA1019">
        <v>1</v>
      </c>
      <c r="BB1019">
        <v>0</v>
      </c>
      <c r="BC1019">
        <v>0</v>
      </c>
      <c r="BD1019">
        <v>0</v>
      </c>
      <c r="BE1019">
        <v>0</v>
      </c>
      <c r="BF1019" s="18">
        <v>0</v>
      </c>
      <c r="BG1019">
        <v>0</v>
      </c>
      <c r="BH1019">
        <v>1</v>
      </c>
      <c r="BI1019" s="18">
        <v>0</v>
      </c>
      <c r="BJ1019">
        <v>1462</v>
      </c>
      <c r="BK1019">
        <v>176</v>
      </c>
      <c r="BL1019" s="93">
        <f t="shared" si="250"/>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4026</v>
      </c>
      <c r="D1020" s="12">
        <v>26.8</v>
      </c>
      <c r="E1020" s="14">
        <f t="shared" si="249"/>
        <v>3.9592258827005464</v>
      </c>
      <c r="F1020" s="7">
        <v>6.7690000000000001</v>
      </c>
      <c r="G1020" s="7">
        <f t="shared" si="236"/>
        <v>22.840774117299453</v>
      </c>
      <c r="H1020" s="16">
        <f t="shared" si="237"/>
        <v>30.759225882700548</v>
      </c>
      <c r="I1020" s="11">
        <f t="shared" si="241"/>
        <v>0.26432144341011521</v>
      </c>
      <c r="J1020" s="33">
        <f t="shared" si="242"/>
        <v>3.9048817167988657E-2</v>
      </c>
      <c r="K1020" s="33">
        <f t="shared" si="243"/>
        <v>25.608970322916147</v>
      </c>
      <c r="L1020" s="8">
        <v>1</v>
      </c>
      <c r="M1020" s="9">
        <v>0</v>
      </c>
      <c r="N1020" s="8">
        <v>1</v>
      </c>
      <c r="O1020" s="9">
        <v>0</v>
      </c>
      <c r="P1020" s="9">
        <v>0</v>
      </c>
      <c r="Q1020" s="9">
        <v>0</v>
      </c>
      <c r="R1020" s="9">
        <v>0</v>
      </c>
      <c r="S1020" s="8">
        <v>628</v>
      </c>
      <c r="T1020" s="9">
        <v>17</v>
      </c>
      <c r="U1020" s="9">
        <f t="shared" si="238"/>
        <v>610</v>
      </c>
      <c r="V1020" s="9">
        <f t="shared" si="239"/>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47"/>
        <v>0.44750000000000001</v>
      </c>
      <c r="AS1020">
        <v>56.05</v>
      </c>
      <c r="AT1020" s="40">
        <v>43.05</v>
      </c>
      <c r="AU1020">
        <v>0</v>
      </c>
      <c r="AV1020" s="18">
        <v>1</v>
      </c>
      <c r="AW1020">
        <v>0</v>
      </c>
      <c r="AX1020" s="18">
        <v>1</v>
      </c>
      <c r="AY1020" s="18" t="s">
        <v>5</v>
      </c>
      <c r="AZ1020">
        <v>0</v>
      </c>
      <c r="BA1020">
        <v>1</v>
      </c>
      <c r="BB1020">
        <v>0</v>
      </c>
      <c r="BC1020">
        <v>0</v>
      </c>
      <c r="BD1020">
        <v>0</v>
      </c>
      <c r="BE1020">
        <v>0</v>
      </c>
      <c r="BF1020" s="18">
        <v>0</v>
      </c>
      <c r="BG1020">
        <v>0</v>
      </c>
      <c r="BH1020">
        <v>1</v>
      </c>
      <c r="BI1020" s="18">
        <v>0</v>
      </c>
      <c r="BJ1020">
        <v>1462</v>
      </c>
      <c r="BK1020">
        <v>176</v>
      </c>
      <c r="BL1020" s="93">
        <f t="shared" si="250"/>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4026</v>
      </c>
      <c r="D1021" s="12">
        <v>30</v>
      </c>
      <c r="E1021" s="14">
        <f t="shared" si="249"/>
        <v>3.8510911424903722</v>
      </c>
      <c r="F1021" s="7">
        <v>7.79</v>
      </c>
      <c r="G1021" s="7">
        <f t="shared" si="236"/>
        <v>26.148908857509628</v>
      </c>
      <c r="H1021" s="16">
        <f t="shared" si="237"/>
        <v>33.851091142490375</v>
      </c>
      <c r="I1021" s="11">
        <f t="shared" si="241"/>
        <v>0.30080042974255133</v>
      </c>
      <c r="J1021" s="33">
        <f t="shared" si="242"/>
        <v>3.861366235462789E-2</v>
      </c>
      <c r="K1021" s="33">
        <f t="shared" si="243"/>
        <v>25.897569384017491</v>
      </c>
      <c r="L1021" s="8">
        <v>1</v>
      </c>
      <c r="M1021" s="9">
        <v>0</v>
      </c>
      <c r="N1021" s="8">
        <v>1</v>
      </c>
      <c r="O1021" s="9">
        <v>0</v>
      </c>
      <c r="P1021" s="9">
        <v>0</v>
      </c>
      <c r="Q1021" s="9">
        <v>0</v>
      </c>
      <c r="R1021" s="9">
        <v>0</v>
      </c>
      <c r="S1021" s="8">
        <v>628</v>
      </c>
      <c r="T1021" s="9">
        <v>17</v>
      </c>
      <c r="U1021" s="9">
        <f t="shared" si="238"/>
        <v>610</v>
      </c>
      <c r="V1021" s="9">
        <f t="shared" si="239"/>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47"/>
        <v>0.44750000000000001</v>
      </c>
      <c r="AS1021">
        <v>56.05</v>
      </c>
      <c r="AT1021" s="40">
        <v>43.05</v>
      </c>
      <c r="AU1021">
        <v>0</v>
      </c>
      <c r="AV1021" s="18">
        <v>1</v>
      </c>
      <c r="AW1021">
        <v>0</v>
      </c>
      <c r="AX1021" s="18">
        <v>1</v>
      </c>
      <c r="AY1021" s="18" t="s">
        <v>5</v>
      </c>
      <c r="AZ1021">
        <v>0</v>
      </c>
      <c r="BA1021">
        <v>1</v>
      </c>
      <c r="BB1021">
        <v>0</v>
      </c>
      <c r="BC1021">
        <v>0</v>
      </c>
      <c r="BD1021">
        <v>0</v>
      </c>
      <c r="BE1021">
        <v>0</v>
      </c>
      <c r="BF1021" s="18">
        <v>0</v>
      </c>
      <c r="BG1021">
        <v>0</v>
      </c>
      <c r="BH1021">
        <v>1</v>
      </c>
      <c r="BI1021" s="18">
        <v>0</v>
      </c>
      <c r="BJ1021">
        <v>1462</v>
      </c>
      <c r="BK1021">
        <v>176</v>
      </c>
      <c r="BL1021" s="93">
        <f t="shared" si="250"/>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4026</v>
      </c>
      <c r="D1022" s="12">
        <v>22.6</v>
      </c>
      <c r="E1022" s="14">
        <f t="shared" si="249"/>
        <v>3.53125</v>
      </c>
      <c r="F1022" s="7">
        <v>6.4</v>
      </c>
      <c r="G1022" s="7">
        <f t="shared" si="236"/>
        <v>19.068750000000001</v>
      </c>
      <c r="H1022" s="16">
        <f t="shared" si="237"/>
        <v>26.131250000000001</v>
      </c>
      <c r="I1022" s="11">
        <f t="shared" si="241"/>
        <v>0.2510363772919374</v>
      </c>
      <c r="J1022" s="33">
        <f t="shared" si="242"/>
        <v>3.9224433951865215E-2</v>
      </c>
      <c r="K1022" s="33">
        <f t="shared" si="243"/>
        <v>25.494313091354314</v>
      </c>
      <c r="L1022" s="8">
        <v>1</v>
      </c>
      <c r="M1022" s="9">
        <v>0</v>
      </c>
      <c r="N1022" s="8">
        <v>1</v>
      </c>
      <c r="O1022" s="9">
        <v>0</v>
      </c>
      <c r="P1022" s="9">
        <v>0</v>
      </c>
      <c r="Q1022" s="9">
        <v>0</v>
      </c>
      <c r="R1022" s="9">
        <v>0</v>
      </c>
      <c r="S1022" s="8">
        <v>628</v>
      </c>
      <c r="T1022" s="9">
        <v>18</v>
      </c>
      <c r="U1022" s="9">
        <f t="shared" si="238"/>
        <v>609</v>
      </c>
      <c r="V1022" s="9">
        <f t="shared" si="239"/>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47"/>
        <v>0.44750000000000001</v>
      </c>
      <c r="AS1022">
        <v>56.05</v>
      </c>
      <c r="AT1022" s="40">
        <v>43.05</v>
      </c>
      <c r="AU1022">
        <v>0</v>
      </c>
      <c r="AV1022" s="18">
        <v>1</v>
      </c>
      <c r="AW1022">
        <v>0</v>
      </c>
      <c r="AX1022" s="18">
        <v>1</v>
      </c>
      <c r="AY1022" s="18" t="s">
        <v>5</v>
      </c>
      <c r="AZ1022">
        <v>0</v>
      </c>
      <c r="BA1022">
        <v>1</v>
      </c>
      <c r="BB1022">
        <v>0</v>
      </c>
      <c r="BC1022">
        <v>0</v>
      </c>
      <c r="BD1022">
        <v>0</v>
      </c>
      <c r="BE1022">
        <v>0</v>
      </c>
      <c r="BF1022" s="18">
        <v>0</v>
      </c>
      <c r="BG1022">
        <v>0</v>
      </c>
      <c r="BH1022">
        <v>1</v>
      </c>
      <c r="BI1022" s="18">
        <v>0</v>
      </c>
      <c r="BJ1022">
        <v>1462</v>
      </c>
      <c r="BK1022">
        <v>176</v>
      </c>
      <c r="BL1022" s="93">
        <f t="shared" si="250"/>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4026</v>
      </c>
      <c r="D1023" s="12">
        <v>22.3</v>
      </c>
      <c r="E1023" s="14">
        <f t="shared" si="249"/>
        <v>3.8911184784505326</v>
      </c>
      <c r="F1023" s="7">
        <v>5.7309999999999999</v>
      </c>
      <c r="G1023" s="7">
        <f t="shared" si="236"/>
        <v>18.408881521549468</v>
      </c>
      <c r="H1023" s="16">
        <f t="shared" si="237"/>
        <v>26.191118478450534</v>
      </c>
      <c r="I1023" s="11">
        <f t="shared" si="241"/>
        <v>0.22621194998536645</v>
      </c>
      <c r="J1023" s="33">
        <f t="shared" si="242"/>
        <v>3.9471636710062201E-2</v>
      </c>
      <c r="K1023" s="33">
        <f t="shared" si="243"/>
        <v>25.334647441794012</v>
      </c>
      <c r="L1023" s="8">
        <v>1</v>
      </c>
      <c r="M1023" s="9">
        <v>0</v>
      </c>
      <c r="N1023" s="8">
        <v>1</v>
      </c>
      <c r="O1023" s="9">
        <v>0</v>
      </c>
      <c r="P1023" s="9">
        <v>0</v>
      </c>
      <c r="Q1023" s="9">
        <v>0</v>
      </c>
      <c r="R1023" s="9">
        <v>0</v>
      </c>
      <c r="S1023" s="8">
        <v>628</v>
      </c>
      <c r="T1023" s="9">
        <v>18</v>
      </c>
      <c r="U1023" s="9">
        <f t="shared" si="238"/>
        <v>609</v>
      </c>
      <c r="V1023" s="9">
        <f t="shared" si="239"/>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47"/>
        <v>0.44750000000000001</v>
      </c>
      <c r="AS1023">
        <v>56.05</v>
      </c>
      <c r="AT1023" s="40">
        <v>43.05</v>
      </c>
      <c r="AU1023">
        <v>0</v>
      </c>
      <c r="AV1023" s="18">
        <v>1</v>
      </c>
      <c r="AW1023">
        <v>0</v>
      </c>
      <c r="AX1023" s="18">
        <v>1</v>
      </c>
      <c r="AY1023" s="18" t="s">
        <v>5</v>
      </c>
      <c r="AZ1023">
        <v>0</v>
      </c>
      <c r="BA1023">
        <v>1</v>
      </c>
      <c r="BB1023">
        <v>0</v>
      </c>
      <c r="BC1023">
        <v>0</v>
      </c>
      <c r="BD1023">
        <v>0</v>
      </c>
      <c r="BE1023">
        <v>0</v>
      </c>
      <c r="BF1023" s="18">
        <v>0</v>
      </c>
      <c r="BG1023">
        <v>0</v>
      </c>
      <c r="BH1023">
        <v>1</v>
      </c>
      <c r="BI1023" s="18">
        <v>0</v>
      </c>
      <c r="BJ1023">
        <v>1462</v>
      </c>
      <c r="BK1023">
        <v>176</v>
      </c>
      <c r="BL1023" s="93">
        <f t="shared" si="250"/>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4026</v>
      </c>
      <c r="D1024" s="12">
        <v>6.37</v>
      </c>
      <c r="E1024" s="14">
        <f t="shared" si="249"/>
        <v>1.1200984701951819</v>
      </c>
      <c r="F1024" s="7">
        <v>5.6870000000000003</v>
      </c>
      <c r="G1024" s="7">
        <f t="shared" si="236"/>
        <v>5.2499015298048182</v>
      </c>
      <c r="H1024" s="16">
        <f t="shared" si="237"/>
        <v>7.490098470195182</v>
      </c>
      <c r="I1024" s="11">
        <f t="shared" si="241"/>
        <v>0.29631772152133901</v>
      </c>
      <c r="J1024" s="33">
        <f t="shared" si="242"/>
        <v>5.2104399775160716E-2</v>
      </c>
      <c r="K1024" s="33">
        <f t="shared" si="243"/>
        <v>19.192237206745858</v>
      </c>
      <c r="L1024" s="8">
        <v>1</v>
      </c>
      <c r="M1024" s="9">
        <v>0</v>
      </c>
      <c r="N1024" s="8">
        <v>1</v>
      </c>
      <c r="O1024" s="9">
        <v>0</v>
      </c>
      <c r="P1024" s="9">
        <v>0</v>
      </c>
      <c r="Q1024" s="9">
        <v>0</v>
      </c>
      <c r="R1024" s="9">
        <v>0</v>
      </c>
      <c r="S1024" s="8">
        <v>347</v>
      </c>
      <c r="T1024" s="9">
        <v>10</v>
      </c>
      <c r="U1024" s="9">
        <f t="shared" si="238"/>
        <v>336</v>
      </c>
      <c r="V1024" s="9">
        <f t="shared" si="239"/>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v>0</v>
      </c>
      <c r="BF1024" s="18">
        <v>0</v>
      </c>
      <c r="BG1024">
        <v>0</v>
      </c>
      <c r="BH1024">
        <v>1</v>
      </c>
      <c r="BI1024" s="18">
        <v>0</v>
      </c>
      <c r="BJ1024">
        <v>1462</v>
      </c>
      <c r="BK1024">
        <v>176</v>
      </c>
      <c r="BL1024" s="93">
        <f t="shared" si="250"/>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4026</v>
      </c>
      <c r="D1025" s="12">
        <v>8.89</v>
      </c>
      <c r="E1025" s="14">
        <f t="shared" si="249"/>
        <v>1.1154328732747805</v>
      </c>
      <c r="F1025" s="7">
        <v>7.97</v>
      </c>
      <c r="G1025" s="7">
        <f t="shared" si="236"/>
        <v>7.7745671267252199</v>
      </c>
      <c r="H1025" s="16">
        <f t="shared" si="237"/>
        <v>10.005432873274781</v>
      </c>
      <c r="I1025" s="11">
        <f t="shared" si="241"/>
        <v>0.43641211105203109</v>
      </c>
      <c r="J1025" s="33">
        <f t="shared" si="242"/>
        <v>5.4756852076791866E-2</v>
      </c>
      <c r="K1025" s="33">
        <f t="shared" si="243"/>
        <v>18.262554585818489</v>
      </c>
      <c r="L1025" s="8">
        <v>1</v>
      </c>
      <c r="M1025" s="9">
        <v>0</v>
      </c>
      <c r="N1025" s="8">
        <v>1</v>
      </c>
      <c r="O1025" s="9">
        <v>0</v>
      </c>
      <c r="P1025" s="9">
        <v>0</v>
      </c>
      <c r="Q1025" s="9">
        <v>0</v>
      </c>
      <c r="R1025" s="9">
        <v>0</v>
      </c>
      <c r="S1025" s="8">
        <v>281</v>
      </c>
      <c r="T1025" s="9">
        <v>10</v>
      </c>
      <c r="U1025" s="9">
        <f t="shared" si="238"/>
        <v>270</v>
      </c>
      <c r="V1025" s="9">
        <f t="shared" si="239"/>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v>0</v>
      </c>
      <c r="BF1025" s="18">
        <v>0</v>
      </c>
      <c r="BG1025">
        <v>0</v>
      </c>
      <c r="BH1025">
        <v>1</v>
      </c>
      <c r="BI1025" s="18">
        <v>0</v>
      </c>
      <c r="BJ1025">
        <v>1462</v>
      </c>
      <c r="BK1025">
        <v>176</v>
      </c>
      <c r="BL1025" s="93">
        <f t="shared" si="250"/>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4026</v>
      </c>
      <c r="D1026" s="12">
        <v>16.399999999999999</v>
      </c>
      <c r="E1026" s="14">
        <f t="shared" si="249"/>
        <v>5.8217962371316991</v>
      </c>
      <c r="F1026" s="7">
        <v>2.8170000000000002</v>
      </c>
      <c r="G1026" s="7">
        <f t="shared" ref="G1026:G1089" si="251">D1026-E1026</f>
        <v>10.578203762868299</v>
      </c>
      <c r="H1026" s="16">
        <f t="shared" ref="H1026:H1089" si="252">D1026+E1026</f>
        <v>22.221796237131699</v>
      </c>
      <c r="I1026" s="11">
        <f t="shared" si="241"/>
        <v>0.1518967044694732</v>
      </c>
      <c r="J1026" s="33">
        <f t="shared" si="242"/>
        <v>5.3921442836163715E-2</v>
      </c>
      <c r="K1026" s="33">
        <f t="shared" si="243"/>
        <v>18.545497809441514</v>
      </c>
      <c r="L1026" s="8">
        <v>1</v>
      </c>
      <c r="M1026" s="9">
        <v>0</v>
      </c>
      <c r="N1026" s="8">
        <v>1</v>
      </c>
      <c r="O1026" s="9">
        <v>0</v>
      </c>
      <c r="P1026" s="9">
        <v>0</v>
      </c>
      <c r="Q1026" s="9">
        <v>0</v>
      </c>
      <c r="R1026" s="9">
        <v>0</v>
      </c>
      <c r="S1026" s="8">
        <v>347</v>
      </c>
      <c r="T1026" s="9">
        <v>10</v>
      </c>
      <c r="U1026" s="9">
        <f t="shared" ref="U1026:U1089" si="253">S1026-T1026-1</f>
        <v>336</v>
      </c>
      <c r="V1026" s="9">
        <f t="shared" ref="V1026:V1089" si="254">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v>0</v>
      </c>
      <c r="BF1026" s="18">
        <v>0</v>
      </c>
      <c r="BG1026">
        <v>0</v>
      </c>
      <c r="BH1026">
        <v>1</v>
      </c>
      <c r="BI1026" s="18">
        <v>0</v>
      </c>
      <c r="BJ1026">
        <v>1462</v>
      </c>
      <c r="BK1026">
        <v>176</v>
      </c>
      <c r="BL1026" s="93">
        <f t="shared" si="250"/>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4026</v>
      </c>
      <c r="D1027" s="12">
        <v>27.5</v>
      </c>
      <c r="E1027" s="14">
        <f t="shared" si="249"/>
        <v>5.1162790697674421</v>
      </c>
      <c r="F1027" s="7">
        <v>5.375</v>
      </c>
      <c r="G1027" s="7">
        <f t="shared" si="251"/>
        <v>22.383720930232556</v>
      </c>
      <c r="H1027" s="16">
        <f t="shared" si="252"/>
        <v>32.616279069767444</v>
      </c>
      <c r="I1027" s="11">
        <f t="shared" si="241"/>
        <v>0.31090114536848695</v>
      </c>
      <c r="J1027" s="33">
        <f t="shared" si="242"/>
        <v>5.7842073556927817E-2</v>
      </c>
      <c r="K1027" s="33">
        <f t="shared" si="243"/>
        <v>17.288453516726126</v>
      </c>
      <c r="L1027" s="8">
        <v>1</v>
      </c>
      <c r="M1027" s="9">
        <v>0</v>
      </c>
      <c r="N1027" s="8">
        <v>1</v>
      </c>
      <c r="O1027" s="9">
        <v>0</v>
      </c>
      <c r="P1027" s="9">
        <v>0</v>
      </c>
      <c r="Q1027" s="9">
        <v>0</v>
      </c>
      <c r="R1027" s="9">
        <v>0</v>
      </c>
      <c r="S1027" s="8">
        <v>281</v>
      </c>
      <c r="T1027" s="9">
        <v>10</v>
      </c>
      <c r="U1027" s="9">
        <f t="shared" si="253"/>
        <v>270</v>
      </c>
      <c r="V1027" s="9">
        <f t="shared" si="254"/>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v>0</v>
      </c>
      <c r="BF1027" s="18">
        <v>0</v>
      </c>
      <c r="BG1027">
        <v>0</v>
      </c>
      <c r="BH1027">
        <v>1</v>
      </c>
      <c r="BI1027" s="18">
        <v>0</v>
      </c>
      <c r="BJ1027">
        <v>1462</v>
      </c>
      <c r="BK1027">
        <v>176</v>
      </c>
      <c r="BL1027" s="93">
        <f t="shared" si="250"/>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4026</v>
      </c>
      <c r="D1028" s="12">
        <v>12.1</v>
      </c>
      <c r="E1028" s="14">
        <f t="shared" si="249"/>
        <v>11.329588014981272</v>
      </c>
      <c r="F1028" s="7">
        <v>1.0680000000000001</v>
      </c>
      <c r="G1028" s="7">
        <f t="shared" si="251"/>
        <v>0.77041198501872721</v>
      </c>
      <c r="H1028" s="16">
        <f t="shared" si="252"/>
        <v>23.42958801498127</v>
      </c>
      <c r="I1028" s="11">
        <f t="shared" si="241"/>
        <v>5.8165532656837944E-2</v>
      </c>
      <c r="J1028" s="33">
        <f t="shared" si="242"/>
        <v>5.4462109229249003E-2</v>
      </c>
      <c r="K1028" s="33">
        <f t="shared" si="243"/>
        <v>18.361389489905172</v>
      </c>
      <c r="L1028" s="8">
        <v>1</v>
      </c>
      <c r="M1028" s="9">
        <v>0</v>
      </c>
      <c r="N1028" s="8">
        <v>1</v>
      </c>
      <c r="O1028" s="9">
        <v>0</v>
      </c>
      <c r="P1028" s="9">
        <v>0</v>
      </c>
      <c r="Q1028" s="9">
        <v>0</v>
      </c>
      <c r="R1028" s="9">
        <v>0</v>
      </c>
      <c r="S1028" s="8">
        <v>347</v>
      </c>
      <c r="T1028" s="9">
        <v>10</v>
      </c>
      <c r="U1028" s="9">
        <f t="shared" si="253"/>
        <v>336</v>
      </c>
      <c r="V1028" s="9">
        <f t="shared" si="254"/>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v>0</v>
      </c>
      <c r="BF1028" s="18">
        <v>0</v>
      </c>
      <c r="BG1028">
        <v>0</v>
      </c>
      <c r="BH1028">
        <v>1</v>
      </c>
      <c r="BI1028" s="18">
        <v>0</v>
      </c>
      <c r="BJ1028">
        <v>1462</v>
      </c>
      <c r="BK1028">
        <v>176</v>
      </c>
      <c r="BL1028" s="93">
        <f t="shared" si="250"/>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4026</v>
      </c>
      <c r="D1029" s="12">
        <v>31.6</v>
      </c>
      <c r="E1029" s="14">
        <f t="shared" si="249"/>
        <v>4.394381866221666</v>
      </c>
      <c r="F1029" s="7">
        <v>7.1909999999999998</v>
      </c>
      <c r="G1029" s="7">
        <f t="shared" si="251"/>
        <v>27.205618133778337</v>
      </c>
      <c r="H1029" s="16">
        <f t="shared" si="252"/>
        <v>35.994381866221666</v>
      </c>
      <c r="I1029" s="11">
        <f t="shared" si="241"/>
        <v>0.4009190418291817</v>
      </c>
      <c r="J1029" s="33">
        <f t="shared" si="242"/>
        <v>5.5752891368263349E-2</v>
      </c>
      <c r="K1029" s="33">
        <f t="shared" si="243"/>
        <v>17.936289499224749</v>
      </c>
      <c r="L1029" s="8">
        <v>1</v>
      </c>
      <c r="M1029" s="9">
        <v>0</v>
      </c>
      <c r="N1029" s="8">
        <v>1</v>
      </c>
      <c r="O1029" s="9">
        <v>0</v>
      </c>
      <c r="P1029" s="9">
        <v>0</v>
      </c>
      <c r="Q1029" s="9">
        <v>0</v>
      </c>
      <c r="R1029" s="9">
        <v>0</v>
      </c>
      <c r="S1029" s="8">
        <v>281</v>
      </c>
      <c r="T1029" s="9">
        <v>10</v>
      </c>
      <c r="U1029" s="9">
        <f t="shared" si="253"/>
        <v>270</v>
      </c>
      <c r="V1029" s="9">
        <f t="shared" si="254"/>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v>0</v>
      </c>
      <c r="BF1029" s="18">
        <v>0</v>
      </c>
      <c r="BG1029">
        <v>0</v>
      </c>
      <c r="BH1029">
        <v>1</v>
      </c>
      <c r="BI1029" s="18">
        <v>0</v>
      </c>
      <c r="BJ1029">
        <v>1462</v>
      </c>
      <c r="BK1029">
        <v>176</v>
      </c>
      <c r="BL1029" s="93">
        <f t="shared" si="250"/>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4026</v>
      </c>
      <c r="D1030" s="12">
        <v>6.66</v>
      </c>
      <c r="E1030" s="14">
        <f t="shared" si="249"/>
        <v>1.1388508891928866</v>
      </c>
      <c r="F1030" s="7">
        <v>5.8479999999999999</v>
      </c>
      <c r="G1030" s="7">
        <f t="shared" si="251"/>
        <v>5.521149110807114</v>
      </c>
      <c r="H1030" s="16">
        <f t="shared" si="252"/>
        <v>7.7988508891928863</v>
      </c>
      <c r="I1030" s="11">
        <f t="shared" si="241"/>
        <v>0.30643468951102304</v>
      </c>
      <c r="J1030" s="33">
        <f t="shared" si="242"/>
        <v>5.2399912707083281E-2</v>
      </c>
      <c r="K1030" s="33">
        <f t="shared" si="243"/>
        <v>19.084001257597947</v>
      </c>
      <c r="L1030" s="8">
        <v>1</v>
      </c>
      <c r="M1030" s="9">
        <v>0</v>
      </c>
      <c r="N1030" s="8">
        <v>1</v>
      </c>
      <c r="O1030" s="9">
        <v>0</v>
      </c>
      <c r="P1030" s="9">
        <v>0</v>
      </c>
      <c r="Q1030" s="9">
        <v>0</v>
      </c>
      <c r="R1030" s="9">
        <v>0</v>
      </c>
      <c r="S1030" s="8">
        <v>347</v>
      </c>
      <c r="T1030" s="9">
        <v>16</v>
      </c>
      <c r="U1030" s="9">
        <f t="shared" si="253"/>
        <v>330</v>
      </c>
      <c r="V1030" s="9">
        <f t="shared" si="254"/>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v>0</v>
      </c>
      <c r="BF1030" s="18">
        <v>0</v>
      </c>
      <c r="BG1030">
        <v>0</v>
      </c>
      <c r="BH1030">
        <v>1</v>
      </c>
      <c r="BI1030" s="18">
        <v>0</v>
      </c>
      <c r="BJ1030">
        <v>1462</v>
      </c>
      <c r="BK1030">
        <v>176</v>
      </c>
      <c r="BL1030" s="93">
        <f t="shared" si="250"/>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4026</v>
      </c>
      <c r="D1031" s="12">
        <v>9.08</v>
      </c>
      <c r="E1031" s="14">
        <f t="shared" si="249"/>
        <v>1.1167138113393187</v>
      </c>
      <c r="F1031" s="7">
        <v>8.1310000000000002</v>
      </c>
      <c r="G1031" s="7">
        <f t="shared" si="251"/>
        <v>7.9632861886606818</v>
      </c>
      <c r="H1031" s="16">
        <f t="shared" si="252"/>
        <v>10.196713811339318</v>
      </c>
      <c r="I1031" s="11">
        <f t="shared" si="241"/>
        <v>0.44752009525633424</v>
      </c>
      <c r="J1031" s="33">
        <f t="shared" si="242"/>
        <v>5.5038752337514964E-2</v>
      </c>
      <c r="K1031" s="33">
        <f t="shared" si="243"/>
        <v>18.169016511633206</v>
      </c>
      <c r="L1031" s="8">
        <v>1</v>
      </c>
      <c r="M1031" s="9">
        <v>0</v>
      </c>
      <c r="N1031" s="8">
        <v>1</v>
      </c>
      <c r="O1031" s="9">
        <v>0</v>
      </c>
      <c r="P1031" s="9">
        <v>0</v>
      </c>
      <c r="Q1031" s="9">
        <v>0</v>
      </c>
      <c r="R1031" s="9">
        <v>0</v>
      </c>
      <c r="S1031" s="8">
        <v>281</v>
      </c>
      <c r="T1031" s="9">
        <v>16</v>
      </c>
      <c r="U1031" s="9">
        <f t="shared" si="253"/>
        <v>264</v>
      </c>
      <c r="V1031" s="9">
        <f t="shared" si="254"/>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v>0</v>
      </c>
      <c r="BF1031" s="18">
        <v>0</v>
      </c>
      <c r="BG1031">
        <v>0</v>
      </c>
      <c r="BH1031">
        <v>1</v>
      </c>
      <c r="BI1031" s="18">
        <v>0</v>
      </c>
      <c r="BJ1031">
        <v>1462</v>
      </c>
      <c r="BK1031">
        <v>176</v>
      </c>
      <c r="BL1031" s="93">
        <f t="shared" si="250"/>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4026</v>
      </c>
      <c r="D1032" s="12">
        <v>18.7</v>
      </c>
      <c r="E1032" s="14">
        <f t="shared" si="249"/>
        <v>5.3125</v>
      </c>
      <c r="F1032" s="7">
        <v>3.52</v>
      </c>
      <c r="G1032" s="7">
        <f t="shared" si="251"/>
        <v>13.387499999999999</v>
      </c>
      <c r="H1032" s="16">
        <f t="shared" si="252"/>
        <v>24.012499999999999</v>
      </c>
      <c r="I1032" s="11">
        <f t="shared" ref="I1032:I1095" si="255">IFERROR(F1032/SQRT(F1032^2+U1032), "X")</f>
        <v>0.19023125532552315</v>
      </c>
      <c r="J1032" s="33">
        <f t="shared" ref="J1032:J1095" si="256">IFERROR(SQRT((1-I1032^2)/U1032), "X")</f>
        <v>5.4042970262932713E-2</v>
      </c>
      <c r="K1032" s="33">
        <f t="shared" ref="K1032:K1095" si="257">IFERROR(1/J1032, "X")</f>
        <v>18.503794205513636</v>
      </c>
      <c r="L1032" s="8">
        <v>1</v>
      </c>
      <c r="M1032" s="9">
        <v>0</v>
      </c>
      <c r="N1032" s="8">
        <v>1</v>
      </c>
      <c r="O1032" s="9">
        <v>0</v>
      </c>
      <c r="P1032" s="9">
        <v>0</v>
      </c>
      <c r="Q1032" s="9">
        <v>0</v>
      </c>
      <c r="R1032" s="9">
        <v>0</v>
      </c>
      <c r="S1032" s="8">
        <v>347</v>
      </c>
      <c r="T1032" s="9">
        <v>16</v>
      </c>
      <c r="U1032" s="9">
        <f t="shared" si="253"/>
        <v>330</v>
      </c>
      <c r="V1032" s="9">
        <f t="shared" si="254"/>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v>0</v>
      </c>
      <c r="BF1032" s="18">
        <v>0</v>
      </c>
      <c r="BG1032">
        <v>0</v>
      </c>
      <c r="BH1032">
        <v>1</v>
      </c>
      <c r="BI1032" s="18">
        <v>0</v>
      </c>
      <c r="BJ1032">
        <v>1462</v>
      </c>
      <c r="BK1032">
        <v>176</v>
      </c>
      <c r="BL1032" s="93">
        <f t="shared" si="250"/>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4026</v>
      </c>
      <c r="D1033" s="12">
        <v>24.4</v>
      </c>
      <c r="E1033" s="14">
        <f t="shared" si="249"/>
        <v>3.8607594936708858</v>
      </c>
      <c r="F1033" s="7">
        <v>6.32</v>
      </c>
      <c r="G1033" s="7">
        <f t="shared" si="251"/>
        <v>20.539240506329111</v>
      </c>
      <c r="H1033" s="16">
        <f t="shared" si="252"/>
        <v>28.260759493670886</v>
      </c>
      <c r="I1033" s="11">
        <f t="shared" si="255"/>
        <v>0.36251120430914735</v>
      </c>
      <c r="J1033" s="33">
        <f t="shared" si="256"/>
        <v>5.7359367770434704E-2</v>
      </c>
      <c r="K1033" s="33">
        <f t="shared" si="257"/>
        <v>17.433943902628574</v>
      </c>
      <c r="L1033" s="8">
        <v>1</v>
      </c>
      <c r="M1033" s="9">
        <v>0</v>
      </c>
      <c r="N1033" s="8">
        <v>1</v>
      </c>
      <c r="O1033" s="9">
        <v>0</v>
      </c>
      <c r="P1033" s="9">
        <v>0</v>
      </c>
      <c r="Q1033" s="9">
        <v>0</v>
      </c>
      <c r="R1033" s="9">
        <v>0</v>
      </c>
      <c r="S1033" s="8">
        <v>281</v>
      </c>
      <c r="T1033" s="9">
        <v>16</v>
      </c>
      <c r="U1033" s="9">
        <f t="shared" si="253"/>
        <v>264</v>
      </c>
      <c r="V1033" s="9">
        <f t="shared" si="254"/>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v>0</v>
      </c>
      <c r="BF1033" s="18">
        <v>0</v>
      </c>
      <c r="BG1033">
        <v>0</v>
      </c>
      <c r="BH1033">
        <v>1</v>
      </c>
      <c r="BI1033" s="18">
        <v>0</v>
      </c>
      <c r="BJ1033">
        <v>1462</v>
      </c>
      <c r="BK1033">
        <v>176</v>
      </c>
      <c r="BL1033" s="93">
        <f t="shared" si="250"/>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4026</v>
      </c>
      <c r="D1034" s="12">
        <v>26.2</v>
      </c>
      <c r="E1034" s="14">
        <f t="shared" si="249"/>
        <v>7.3512906846240176</v>
      </c>
      <c r="F1034" s="7">
        <v>3.5640000000000001</v>
      </c>
      <c r="G1034" s="7">
        <f t="shared" si="251"/>
        <v>18.848709315375981</v>
      </c>
      <c r="H1034" s="16">
        <f t="shared" si="252"/>
        <v>33.551290684624014</v>
      </c>
      <c r="I1034" s="11">
        <f t="shared" si="255"/>
        <v>0.19252153470944192</v>
      </c>
      <c r="J1034" s="33">
        <f t="shared" si="256"/>
        <v>5.4018387965612202E-2</v>
      </c>
      <c r="K1034" s="33">
        <f t="shared" si="257"/>
        <v>18.51221477835648</v>
      </c>
      <c r="L1034" s="8">
        <v>1</v>
      </c>
      <c r="M1034" s="9">
        <v>0</v>
      </c>
      <c r="N1034" s="8">
        <v>1</v>
      </c>
      <c r="O1034" s="9">
        <v>0</v>
      </c>
      <c r="P1034" s="9">
        <v>0</v>
      </c>
      <c r="Q1034" s="9">
        <v>0</v>
      </c>
      <c r="R1034" s="9">
        <v>0</v>
      </c>
      <c r="S1034" s="8">
        <v>347</v>
      </c>
      <c r="T1034" s="9">
        <v>16</v>
      </c>
      <c r="U1034" s="9">
        <f t="shared" si="253"/>
        <v>330</v>
      </c>
      <c r="V1034" s="9">
        <f t="shared" si="254"/>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v>0</v>
      </c>
      <c r="BF1034" s="18">
        <v>0</v>
      </c>
      <c r="BG1034">
        <v>0</v>
      </c>
      <c r="BH1034">
        <v>1</v>
      </c>
      <c r="BI1034" s="18">
        <v>0</v>
      </c>
      <c r="BJ1034">
        <v>1462</v>
      </c>
      <c r="BK1034">
        <v>176</v>
      </c>
      <c r="BL1034" s="93">
        <f t="shared" si="250"/>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4026</v>
      </c>
      <c r="D1035" s="12">
        <v>28.6</v>
      </c>
      <c r="E1035" s="14">
        <f t="shared" si="249"/>
        <v>3.232368896925859</v>
      </c>
      <c r="F1035" s="7">
        <v>8.8480000000000008</v>
      </c>
      <c r="G1035" s="7">
        <f t="shared" si="251"/>
        <v>25.367631103074142</v>
      </c>
      <c r="H1035" s="16">
        <f t="shared" si="252"/>
        <v>31.83236889692586</v>
      </c>
      <c r="I1035" s="11">
        <f t="shared" si="255"/>
        <v>0.47824434726464526</v>
      </c>
      <c r="J1035" s="33">
        <f t="shared" si="256"/>
        <v>5.4051124238770933E-2</v>
      </c>
      <c r="K1035" s="33">
        <f t="shared" si="257"/>
        <v>18.501002783633108</v>
      </c>
      <c r="L1035" s="8">
        <v>1</v>
      </c>
      <c r="M1035" s="9">
        <v>0</v>
      </c>
      <c r="N1035" s="8">
        <v>1</v>
      </c>
      <c r="O1035" s="9">
        <v>0</v>
      </c>
      <c r="P1035" s="9">
        <v>0</v>
      </c>
      <c r="Q1035" s="9">
        <v>0</v>
      </c>
      <c r="R1035" s="9">
        <v>0</v>
      </c>
      <c r="S1035" s="8">
        <v>281</v>
      </c>
      <c r="T1035" s="9">
        <v>16</v>
      </c>
      <c r="U1035" s="9">
        <f t="shared" si="253"/>
        <v>264</v>
      </c>
      <c r="V1035" s="9">
        <f t="shared" si="254"/>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v>0</v>
      </c>
      <c r="BF1035" s="18">
        <v>0</v>
      </c>
      <c r="BG1035">
        <v>0</v>
      </c>
      <c r="BH1035">
        <v>1</v>
      </c>
      <c r="BI1035" s="18">
        <v>0</v>
      </c>
      <c r="BJ1035">
        <v>1462</v>
      </c>
      <c r="BK1035">
        <v>176</v>
      </c>
      <c r="BL1035" s="93">
        <f t="shared" si="250"/>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4026</v>
      </c>
      <c r="D1036" s="12">
        <v>6.67</v>
      </c>
      <c r="E1036" s="14">
        <f t="shared" si="249"/>
        <v>1.1575841721624436</v>
      </c>
      <c r="F1036" s="7">
        <v>5.7619999999999996</v>
      </c>
      <c r="G1036" s="7">
        <f t="shared" si="251"/>
        <v>5.5124158278375566</v>
      </c>
      <c r="H1036" s="16">
        <f t="shared" si="252"/>
        <v>7.8275841721624433</v>
      </c>
      <c r="I1036" s="11">
        <f t="shared" si="255"/>
        <v>0.30276010338288295</v>
      </c>
      <c r="J1036" s="33">
        <f t="shared" si="256"/>
        <v>5.2544273409039055E-2</v>
      </c>
      <c r="K1036" s="33">
        <f t="shared" si="257"/>
        <v>19.031569667266016</v>
      </c>
      <c r="L1036" s="8">
        <v>1</v>
      </c>
      <c r="M1036" s="9">
        <v>0</v>
      </c>
      <c r="N1036" s="8">
        <v>1</v>
      </c>
      <c r="O1036" s="9">
        <v>0</v>
      </c>
      <c r="P1036" s="9">
        <v>0</v>
      </c>
      <c r="Q1036" s="9">
        <v>0</v>
      </c>
      <c r="R1036" s="9">
        <v>0</v>
      </c>
      <c r="S1036" s="8">
        <v>347</v>
      </c>
      <c r="T1036" s="9">
        <v>17</v>
      </c>
      <c r="U1036" s="9">
        <f t="shared" si="253"/>
        <v>329</v>
      </c>
      <c r="V1036" s="9">
        <f t="shared" si="254"/>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v>0</v>
      </c>
      <c r="BF1036" s="18">
        <v>0</v>
      </c>
      <c r="BG1036">
        <v>0</v>
      </c>
      <c r="BH1036">
        <v>1</v>
      </c>
      <c r="BI1036" s="18">
        <v>0</v>
      </c>
      <c r="BJ1036">
        <v>1462</v>
      </c>
      <c r="BK1036">
        <v>176</v>
      </c>
      <c r="BL1036" s="93">
        <f t="shared" si="250"/>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4026</v>
      </c>
      <c r="D1037" s="12">
        <v>9.07</v>
      </c>
      <c r="E1037" s="14">
        <f t="shared" si="249"/>
        <v>1.1211372064276885</v>
      </c>
      <c r="F1037" s="7">
        <v>8.09</v>
      </c>
      <c r="G1037" s="7">
        <f t="shared" si="251"/>
        <v>7.948862793572312</v>
      </c>
      <c r="H1037" s="16">
        <f t="shared" si="252"/>
        <v>10.191137206427689</v>
      </c>
      <c r="I1037" s="11">
        <f t="shared" si="255"/>
        <v>0.44639070680664567</v>
      </c>
      <c r="J1037" s="33">
        <f t="shared" si="256"/>
        <v>5.5178084895753481E-2</v>
      </c>
      <c r="K1037" s="33">
        <f t="shared" si="257"/>
        <v>18.123137145648929</v>
      </c>
      <c r="L1037" s="8">
        <v>1</v>
      </c>
      <c r="M1037" s="9">
        <v>0</v>
      </c>
      <c r="N1037" s="8">
        <v>1</v>
      </c>
      <c r="O1037" s="9">
        <v>0</v>
      </c>
      <c r="P1037" s="9">
        <v>0</v>
      </c>
      <c r="Q1037" s="9">
        <v>0</v>
      </c>
      <c r="R1037" s="9">
        <v>0</v>
      </c>
      <c r="S1037" s="8">
        <v>281</v>
      </c>
      <c r="T1037" s="9">
        <v>17</v>
      </c>
      <c r="U1037" s="9">
        <f t="shared" si="253"/>
        <v>263</v>
      </c>
      <c r="V1037" s="9">
        <f t="shared" si="254"/>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v>0</v>
      </c>
      <c r="BF1037" s="18">
        <v>0</v>
      </c>
      <c r="BG1037">
        <v>0</v>
      </c>
      <c r="BH1037">
        <v>1</v>
      </c>
      <c r="BI1037" s="18">
        <v>0</v>
      </c>
      <c r="BJ1037">
        <v>1462</v>
      </c>
      <c r="BK1037">
        <v>176</v>
      </c>
      <c r="BL1037" s="93">
        <f t="shared" si="250"/>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4026</v>
      </c>
      <c r="D1038" s="12">
        <v>14.4</v>
      </c>
      <c r="E1038" s="14">
        <f t="shared" si="249"/>
        <v>4.6346958480849691</v>
      </c>
      <c r="F1038" s="7">
        <v>3.1070000000000002</v>
      </c>
      <c r="G1038" s="7">
        <f t="shared" si="251"/>
        <v>9.7653041519150321</v>
      </c>
      <c r="H1038" s="16">
        <f t="shared" si="252"/>
        <v>19.034695848084969</v>
      </c>
      <c r="I1038" s="11">
        <f t="shared" si="255"/>
        <v>0.16883539636935391</v>
      </c>
      <c r="J1038" s="33">
        <f t="shared" si="256"/>
        <v>5.4340327122418375E-2</v>
      </c>
      <c r="K1038" s="33">
        <f t="shared" si="257"/>
        <v>18.402539199795228</v>
      </c>
      <c r="L1038" s="8">
        <v>1</v>
      </c>
      <c r="M1038" s="9">
        <v>0</v>
      </c>
      <c r="N1038" s="8">
        <v>1</v>
      </c>
      <c r="O1038" s="9">
        <v>0</v>
      </c>
      <c r="P1038" s="9">
        <v>0</v>
      </c>
      <c r="Q1038" s="9">
        <v>0</v>
      </c>
      <c r="R1038" s="9">
        <v>0</v>
      </c>
      <c r="S1038" s="8">
        <v>347</v>
      </c>
      <c r="T1038" s="9">
        <v>17</v>
      </c>
      <c r="U1038" s="9">
        <f t="shared" si="253"/>
        <v>329</v>
      </c>
      <c r="V1038" s="9">
        <f t="shared" si="254"/>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v>0</v>
      </c>
      <c r="BF1038" s="18">
        <v>0</v>
      </c>
      <c r="BG1038">
        <v>0</v>
      </c>
      <c r="BH1038">
        <v>1</v>
      </c>
      <c r="BI1038" s="18">
        <v>0</v>
      </c>
      <c r="BJ1038">
        <v>1462</v>
      </c>
      <c r="BK1038">
        <v>176</v>
      </c>
      <c r="BL1038" s="93">
        <f t="shared" si="250"/>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4026</v>
      </c>
      <c r="D1039" s="12">
        <v>24.5</v>
      </c>
      <c r="E1039" s="14">
        <f t="shared" si="249"/>
        <v>3.7251026303785921</v>
      </c>
      <c r="F1039" s="7">
        <v>6.577</v>
      </c>
      <c r="G1039" s="7">
        <f t="shared" si="251"/>
        <v>20.774897369621407</v>
      </c>
      <c r="H1039" s="16">
        <f t="shared" si="252"/>
        <v>28.225102630378593</v>
      </c>
      <c r="I1039" s="11">
        <f t="shared" si="255"/>
        <v>0.37582431988247661</v>
      </c>
      <c r="J1039" s="33">
        <f t="shared" si="256"/>
        <v>5.7142210716508539E-2</v>
      </c>
      <c r="K1039" s="33">
        <f t="shared" si="257"/>
        <v>17.50019797030879</v>
      </c>
      <c r="L1039" s="8">
        <v>1</v>
      </c>
      <c r="M1039" s="9">
        <v>0</v>
      </c>
      <c r="N1039" s="8">
        <v>1</v>
      </c>
      <c r="O1039" s="9">
        <v>0</v>
      </c>
      <c r="P1039" s="9">
        <v>0</v>
      </c>
      <c r="Q1039" s="9">
        <v>0</v>
      </c>
      <c r="R1039" s="9">
        <v>0</v>
      </c>
      <c r="S1039" s="8">
        <v>281</v>
      </c>
      <c r="T1039" s="9">
        <v>17</v>
      </c>
      <c r="U1039" s="9">
        <f t="shared" si="253"/>
        <v>263</v>
      </c>
      <c r="V1039" s="9">
        <f t="shared" si="254"/>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v>0</v>
      </c>
      <c r="BF1039" s="18">
        <v>0</v>
      </c>
      <c r="BG1039">
        <v>0</v>
      </c>
      <c r="BH1039">
        <v>1</v>
      </c>
      <c r="BI1039" s="18">
        <v>0</v>
      </c>
      <c r="BJ1039">
        <v>1462</v>
      </c>
      <c r="BK1039">
        <v>176</v>
      </c>
      <c r="BL1039" s="93">
        <f t="shared" si="250"/>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4026</v>
      </c>
      <c r="D1040" s="12">
        <v>20.7</v>
      </c>
      <c r="E1040" s="14">
        <f t="shared" si="249"/>
        <v>7.2478991596638656</v>
      </c>
      <c r="F1040" s="7">
        <v>2.8559999999999999</v>
      </c>
      <c r="G1040" s="7">
        <f t="shared" si="251"/>
        <v>13.452100840336133</v>
      </c>
      <c r="H1040" s="16">
        <f t="shared" si="252"/>
        <v>27.947899159663866</v>
      </c>
      <c r="I1040" s="11">
        <f t="shared" si="255"/>
        <v>0.15554006736179252</v>
      </c>
      <c r="J1040" s="33">
        <f t="shared" si="256"/>
        <v>5.44608078997873E-2</v>
      </c>
      <c r="K1040" s="33">
        <f t="shared" si="257"/>
        <v>18.361828231415302</v>
      </c>
      <c r="L1040" s="8">
        <v>1</v>
      </c>
      <c r="M1040" s="9">
        <v>0</v>
      </c>
      <c r="N1040" s="8">
        <v>1</v>
      </c>
      <c r="O1040" s="9">
        <v>0</v>
      </c>
      <c r="P1040" s="9">
        <v>0</v>
      </c>
      <c r="Q1040" s="9">
        <v>0</v>
      </c>
      <c r="R1040" s="9">
        <v>0</v>
      </c>
      <c r="S1040" s="8">
        <v>347</v>
      </c>
      <c r="T1040" s="9">
        <v>17</v>
      </c>
      <c r="U1040" s="9">
        <f t="shared" si="253"/>
        <v>329</v>
      </c>
      <c r="V1040" s="9">
        <f t="shared" si="254"/>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v>0</v>
      </c>
      <c r="BF1040" s="18">
        <v>0</v>
      </c>
      <c r="BG1040">
        <v>0</v>
      </c>
      <c r="BH1040">
        <v>1</v>
      </c>
      <c r="BI1040" s="18">
        <v>0</v>
      </c>
      <c r="BJ1040">
        <v>1462</v>
      </c>
      <c r="BK1040">
        <v>176</v>
      </c>
      <c r="BL1040" s="93">
        <f t="shared" si="250"/>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4026</v>
      </c>
      <c r="D1041" s="12">
        <v>28</v>
      </c>
      <c r="E1041" s="14">
        <f t="shared" si="249"/>
        <v>3.1069684864624945</v>
      </c>
      <c r="F1041" s="7">
        <v>9.0120000000000005</v>
      </c>
      <c r="G1041" s="7">
        <f t="shared" si="251"/>
        <v>24.893031513537505</v>
      </c>
      <c r="H1041" s="16">
        <f t="shared" si="252"/>
        <v>31.106968486462495</v>
      </c>
      <c r="I1041" s="11">
        <f t="shared" si="255"/>
        <v>0.48574189798787487</v>
      </c>
      <c r="J1041" s="33">
        <f t="shared" si="256"/>
        <v>5.3899456057243104E-2</v>
      </c>
      <c r="K1041" s="33">
        <f t="shared" si="257"/>
        <v>18.553062927721665</v>
      </c>
      <c r="L1041" s="8">
        <v>1</v>
      </c>
      <c r="M1041" s="9">
        <v>0</v>
      </c>
      <c r="N1041" s="8">
        <v>1</v>
      </c>
      <c r="O1041" s="9">
        <v>0</v>
      </c>
      <c r="P1041" s="9">
        <v>0</v>
      </c>
      <c r="Q1041" s="9">
        <v>0</v>
      </c>
      <c r="R1041" s="9">
        <v>0</v>
      </c>
      <c r="S1041" s="8">
        <v>281</v>
      </c>
      <c r="T1041" s="9">
        <v>17</v>
      </c>
      <c r="U1041" s="9">
        <f t="shared" si="253"/>
        <v>263</v>
      </c>
      <c r="V1041" s="9">
        <f t="shared" si="254"/>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v>0</v>
      </c>
      <c r="BF1041" s="18">
        <v>0</v>
      </c>
      <c r="BG1041">
        <v>0</v>
      </c>
      <c r="BH1041">
        <v>1</v>
      </c>
      <c r="BI1041" s="18">
        <v>0</v>
      </c>
      <c r="BJ1041">
        <v>1462</v>
      </c>
      <c r="BK1041">
        <v>176</v>
      </c>
      <c r="BL1041" s="93">
        <f t="shared" si="250"/>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4026</v>
      </c>
      <c r="D1042" s="12">
        <v>6.61</v>
      </c>
      <c r="E1042" s="14">
        <f t="shared" si="249"/>
        <v>1.1598526057203018</v>
      </c>
      <c r="F1042" s="7">
        <v>5.6989999999999998</v>
      </c>
      <c r="G1042" s="7">
        <f t="shared" si="251"/>
        <v>5.4501473942796981</v>
      </c>
      <c r="H1042" s="16">
        <f t="shared" si="252"/>
        <v>7.7698526057203026</v>
      </c>
      <c r="I1042" s="11">
        <f t="shared" si="255"/>
        <v>0.30016421311951225</v>
      </c>
      <c r="J1042" s="33">
        <f t="shared" si="256"/>
        <v>5.2669628552292021E-2</v>
      </c>
      <c r="K1042" s="33">
        <f t="shared" si="257"/>
        <v>18.986274015719882</v>
      </c>
      <c r="L1042" s="8">
        <v>1</v>
      </c>
      <c r="M1042" s="9">
        <v>0</v>
      </c>
      <c r="N1042" s="8">
        <v>1</v>
      </c>
      <c r="O1042" s="9">
        <v>0</v>
      </c>
      <c r="P1042" s="9">
        <v>0</v>
      </c>
      <c r="Q1042" s="9">
        <v>0</v>
      </c>
      <c r="R1042" s="9">
        <v>0</v>
      </c>
      <c r="S1042" s="8">
        <v>347</v>
      </c>
      <c r="T1042" s="9">
        <v>18</v>
      </c>
      <c r="U1042" s="9">
        <f t="shared" si="253"/>
        <v>328</v>
      </c>
      <c r="V1042" s="9">
        <f t="shared" si="254"/>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v>0</v>
      </c>
      <c r="BF1042" s="18">
        <v>0</v>
      </c>
      <c r="BG1042">
        <v>0</v>
      </c>
      <c r="BH1042">
        <v>1</v>
      </c>
      <c r="BI1042" s="18">
        <v>0</v>
      </c>
      <c r="BJ1042">
        <v>1462</v>
      </c>
      <c r="BK1042">
        <v>176</v>
      </c>
      <c r="BL1042" s="93">
        <f t="shared" si="250"/>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4026</v>
      </c>
      <c r="D1043" s="12">
        <v>8.76</v>
      </c>
      <c r="E1043" s="14">
        <f t="shared" si="249"/>
        <v>1.1546065638592329</v>
      </c>
      <c r="F1043" s="7">
        <v>7.5869999999999997</v>
      </c>
      <c r="G1043" s="7">
        <f t="shared" si="251"/>
        <v>7.6053934361407673</v>
      </c>
      <c r="H1043" s="16">
        <f t="shared" si="252"/>
        <v>9.9146065638592322</v>
      </c>
      <c r="I1043" s="11">
        <f t="shared" si="255"/>
        <v>0.42441637545805455</v>
      </c>
      <c r="J1043" s="33">
        <f t="shared" si="256"/>
        <v>5.5939946679590687E-2</v>
      </c>
      <c r="K1043" s="33">
        <f t="shared" si="257"/>
        <v>17.876313070653019</v>
      </c>
      <c r="L1043" s="8">
        <v>1</v>
      </c>
      <c r="M1043" s="9">
        <v>0</v>
      </c>
      <c r="N1043" s="8">
        <v>1</v>
      </c>
      <c r="O1043" s="9">
        <v>0</v>
      </c>
      <c r="P1043" s="9">
        <v>0</v>
      </c>
      <c r="Q1043" s="9">
        <v>0</v>
      </c>
      <c r="R1043" s="9">
        <v>0</v>
      </c>
      <c r="S1043" s="8">
        <v>281</v>
      </c>
      <c r="T1043" s="9">
        <v>18</v>
      </c>
      <c r="U1043" s="9">
        <f t="shared" si="253"/>
        <v>262</v>
      </c>
      <c r="V1043" s="9">
        <f t="shared" si="254"/>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v>0</v>
      </c>
      <c r="BF1043" s="18">
        <v>0</v>
      </c>
      <c r="BG1043">
        <v>0</v>
      </c>
      <c r="BH1043">
        <v>1</v>
      </c>
      <c r="BI1043" s="18">
        <v>0</v>
      </c>
      <c r="BJ1043">
        <v>1462</v>
      </c>
      <c r="BK1043">
        <v>176</v>
      </c>
      <c r="BL1043" s="93">
        <f t="shared" si="250"/>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4026</v>
      </c>
      <c r="D1044" s="12">
        <v>17.899999999999999</v>
      </c>
      <c r="E1044" s="14">
        <f t="shared" si="249"/>
        <v>3.9306104523495824</v>
      </c>
      <c r="F1044" s="7">
        <v>4.5540000000000003</v>
      </c>
      <c r="G1044" s="7">
        <f t="shared" si="251"/>
        <v>13.969389547650415</v>
      </c>
      <c r="H1044" s="16">
        <f t="shared" si="252"/>
        <v>21.830610452349582</v>
      </c>
      <c r="I1044" s="11">
        <f t="shared" si="255"/>
        <v>0.24386126349454249</v>
      </c>
      <c r="J1044" s="33">
        <f t="shared" si="256"/>
        <v>5.3548806213118687E-2</v>
      </c>
      <c r="K1044" s="33">
        <f t="shared" si="257"/>
        <v>18.674552631857075</v>
      </c>
      <c r="L1044" s="8">
        <v>1</v>
      </c>
      <c r="M1044" s="9">
        <v>0</v>
      </c>
      <c r="N1044" s="8">
        <v>1</v>
      </c>
      <c r="O1044" s="9">
        <v>0</v>
      </c>
      <c r="P1044" s="9">
        <v>0</v>
      </c>
      <c r="Q1044" s="9">
        <v>0</v>
      </c>
      <c r="R1044" s="9">
        <v>0</v>
      </c>
      <c r="S1044" s="8">
        <v>347</v>
      </c>
      <c r="T1044" s="9">
        <v>18</v>
      </c>
      <c r="U1044" s="9">
        <f t="shared" si="253"/>
        <v>328</v>
      </c>
      <c r="V1044" s="9">
        <f t="shared" si="254"/>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v>0</v>
      </c>
      <c r="BF1044" s="18">
        <v>0</v>
      </c>
      <c r="BG1044">
        <v>0</v>
      </c>
      <c r="BH1044">
        <v>1</v>
      </c>
      <c r="BI1044" s="18">
        <v>0</v>
      </c>
      <c r="BJ1044">
        <v>1462</v>
      </c>
      <c r="BK1044">
        <v>176</v>
      </c>
      <c r="BL1044" s="93">
        <f t="shared" si="250"/>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4026</v>
      </c>
      <c r="D1045" s="12">
        <v>20.8</v>
      </c>
      <c r="E1045" s="14">
        <f t="shared" si="249"/>
        <v>3.3317315393240428</v>
      </c>
      <c r="F1045" s="7">
        <v>6.2430000000000003</v>
      </c>
      <c r="G1045" s="7">
        <f t="shared" si="251"/>
        <v>17.468268460675958</v>
      </c>
      <c r="H1045" s="16">
        <f t="shared" si="252"/>
        <v>24.131731539324043</v>
      </c>
      <c r="I1045" s="11">
        <f t="shared" si="255"/>
        <v>0.35985545295462251</v>
      </c>
      <c r="J1045" s="33">
        <f t="shared" si="256"/>
        <v>5.7641430875319949E-2</v>
      </c>
      <c r="K1045" s="33">
        <f t="shared" si="257"/>
        <v>17.348632482129535</v>
      </c>
      <c r="L1045" s="8">
        <v>1</v>
      </c>
      <c r="M1045" s="9">
        <v>0</v>
      </c>
      <c r="N1045" s="8">
        <v>1</v>
      </c>
      <c r="O1045" s="9">
        <v>0</v>
      </c>
      <c r="P1045" s="9">
        <v>0</v>
      </c>
      <c r="Q1045" s="9">
        <v>0</v>
      </c>
      <c r="R1045" s="9">
        <v>0</v>
      </c>
      <c r="S1045" s="8">
        <v>281</v>
      </c>
      <c r="T1045" s="9">
        <v>18</v>
      </c>
      <c r="U1045" s="9">
        <f t="shared" si="253"/>
        <v>262</v>
      </c>
      <c r="V1045" s="9">
        <f t="shared" si="254"/>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v>0</v>
      </c>
      <c r="BF1045" s="18">
        <v>0</v>
      </c>
      <c r="BG1045">
        <v>0</v>
      </c>
      <c r="BH1045">
        <v>1</v>
      </c>
      <c r="BI1045" s="18">
        <v>0</v>
      </c>
      <c r="BJ1045">
        <v>1462</v>
      </c>
      <c r="BK1045">
        <v>176</v>
      </c>
      <c r="BL1045" s="93">
        <f t="shared" si="250"/>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4026</v>
      </c>
      <c r="D1046" s="12">
        <v>14.2</v>
      </c>
      <c r="E1046" s="14">
        <f t="shared" si="249"/>
        <v>4.3881334981458586</v>
      </c>
      <c r="F1046" s="7">
        <v>3.2360000000000002</v>
      </c>
      <c r="G1046" s="7">
        <f t="shared" si="251"/>
        <v>9.8118665018541407</v>
      </c>
      <c r="H1046" s="16">
        <f t="shared" si="252"/>
        <v>18.588133498145858</v>
      </c>
      <c r="I1046" s="11">
        <f t="shared" si="255"/>
        <v>0.17589250505770393</v>
      </c>
      <c r="J1046" s="33">
        <f t="shared" si="256"/>
        <v>5.4354915036373283E-2</v>
      </c>
      <c r="K1046" s="33">
        <f t="shared" si="257"/>
        <v>18.397600278297169</v>
      </c>
      <c r="L1046" s="8">
        <v>1</v>
      </c>
      <c r="M1046" s="9">
        <v>0</v>
      </c>
      <c r="N1046" s="8">
        <v>1</v>
      </c>
      <c r="O1046" s="9">
        <v>0</v>
      </c>
      <c r="P1046" s="9">
        <v>0</v>
      </c>
      <c r="Q1046" s="9">
        <v>0</v>
      </c>
      <c r="R1046" s="9">
        <v>0</v>
      </c>
      <c r="S1046" s="8">
        <v>347</v>
      </c>
      <c r="T1046" s="9">
        <v>18</v>
      </c>
      <c r="U1046" s="9">
        <f t="shared" si="253"/>
        <v>328</v>
      </c>
      <c r="V1046" s="9">
        <f t="shared" si="254"/>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v>0</v>
      </c>
      <c r="BF1046" s="18">
        <v>0</v>
      </c>
      <c r="BG1046">
        <v>0</v>
      </c>
      <c r="BH1046">
        <v>1</v>
      </c>
      <c r="BI1046" s="18">
        <v>0</v>
      </c>
      <c r="BJ1046">
        <v>1462</v>
      </c>
      <c r="BK1046">
        <v>176</v>
      </c>
      <c r="BL1046" s="93">
        <f t="shared" si="250"/>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4026</v>
      </c>
      <c r="D1047" s="12">
        <v>23.5</v>
      </c>
      <c r="E1047" s="14">
        <f t="shared" si="249"/>
        <v>3.2525951557093427</v>
      </c>
      <c r="F1047" s="7">
        <v>7.2249999999999996</v>
      </c>
      <c r="G1047" s="7">
        <f t="shared" si="251"/>
        <v>20.247404844290656</v>
      </c>
      <c r="H1047" s="16">
        <f t="shared" si="252"/>
        <v>26.752595155709344</v>
      </c>
      <c r="I1047" s="11">
        <f t="shared" si="255"/>
        <v>0.40760014434457864</v>
      </c>
      <c r="J1047" s="33">
        <f t="shared" si="256"/>
        <v>5.6415244891983213E-2</v>
      </c>
      <c r="K1047" s="33">
        <f t="shared" si="257"/>
        <v>17.725705204589179</v>
      </c>
      <c r="L1047" s="8">
        <v>1</v>
      </c>
      <c r="M1047" s="9">
        <v>0</v>
      </c>
      <c r="N1047" s="8">
        <v>1</v>
      </c>
      <c r="O1047" s="9">
        <v>0</v>
      </c>
      <c r="P1047" s="9">
        <v>0</v>
      </c>
      <c r="Q1047" s="9">
        <v>0</v>
      </c>
      <c r="R1047" s="9">
        <v>0</v>
      </c>
      <c r="S1047" s="8">
        <v>281</v>
      </c>
      <c r="T1047" s="9">
        <v>18</v>
      </c>
      <c r="U1047" s="9">
        <f t="shared" si="253"/>
        <v>262</v>
      </c>
      <c r="V1047" s="9">
        <f t="shared" si="254"/>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v>0</v>
      </c>
      <c r="BF1047" s="18">
        <v>0</v>
      </c>
      <c r="BG1047">
        <v>0</v>
      </c>
      <c r="BH1047">
        <v>1</v>
      </c>
      <c r="BI1047" s="18">
        <v>0</v>
      </c>
      <c r="BJ1047">
        <v>1462</v>
      </c>
      <c r="BK1047">
        <v>176</v>
      </c>
      <c r="BL1047" s="93">
        <f t="shared" si="250"/>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4032</v>
      </c>
      <c r="D1048" s="12">
        <v>4.5999999999999996</v>
      </c>
      <c r="E1048" s="14">
        <v>0.2</v>
      </c>
      <c r="F1048" s="7">
        <f>D1048/E1048</f>
        <v>22.999999999999996</v>
      </c>
      <c r="G1048" s="7">
        <f t="shared" si="251"/>
        <v>4.3999999999999995</v>
      </c>
      <c r="H1048" s="16">
        <f t="shared" si="252"/>
        <v>4.8</v>
      </c>
      <c r="I1048" s="11">
        <f t="shared" si="255"/>
        <v>0.23435250445752639</v>
      </c>
      <c r="J1048" s="33">
        <f t="shared" si="256"/>
        <v>1.018923932424028E-2</v>
      </c>
      <c r="K1048" s="33">
        <f t="shared" si="257"/>
        <v>98.142753171082376</v>
      </c>
      <c r="L1048" s="8">
        <v>1</v>
      </c>
      <c r="M1048" s="9">
        <v>0</v>
      </c>
      <c r="N1048" s="8">
        <v>0</v>
      </c>
      <c r="O1048" s="9">
        <v>0</v>
      </c>
      <c r="P1048" s="9">
        <v>0</v>
      </c>
      <c r="Q1048" s="9">
        <v>0</v>
      </c>
      <c r="R1048" s="9">
        <v>1</v>
      </c>
      <c r="S1048" s="8">
        <v>9107</v>
      </c>
      <c r="T1048" s="9">
        <v>3</v>
      </c>
      <c r="U1048" s="9">
        <f t="shared" si="253"/>
        <v>9103</v>
      </c>
      <c r="V1048" s="9">
        <f t="shared" si="254"/>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0</v>
      </c>
      <c r="BD1048">
        <v>1</v>
      </c>
      <c r="BE1048">
        <v>0</v>
      </c>
      <c r="BF1048" s="18">
        <v>0</v>
      </c>
      <c r="BG1048">
        <v>0</v>
      </c>
      <c r="BH1048">
        <v>1</v>
      </c>
      <c r="BI1048" s="18">
        <v>0</v>
      </c>
      <c r="BJ1048">
        <v>2675</v>
      </c>
      <c r="BK1048">
        <v>153</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4032</v>
      </c>
      <c r="D1049" s="12">
        <v>7.7</v>
      </c>
      <c r="E1049" s="14">
        <v>0.3</v>
      </c>
      <c r="F1049" s="7">
        <f>D1049/E1049</f>
        <v>25.666666666666668</v>
      </c>
      <c r="G1049" s="7">
        <f t="shared" si="251"/>
        <v>7.4</v>
      </c>
      <c r="H1049" s="16">
        <f t="shared" si="252"/>
        <v>8</v>
      </c>
      <c r="I1049" s="11">
        <f t="shared" si="255"/>
        <v>0.3578029829487358</v>
      </c>
      <c r="J1049" s="33">
        <f t="shared" si="256"/>
        <v>1.3940375959041653E-2</v>
      </c>
      <c r="K1049" s="33">
        <f t="shared" si="257"/>
        <v>71.734076823904118</v>
      </c>
      <c r="L1049" s="8">
        <v>1</v>
      </c>
      <c r="M1049" s="9">
        <v>0</v>
      </c>
      <c r="N1049" s="8">
        <v>0</v>
      </c>
      <c r="O1049" s="9">
        <v>0</v>
      </c>
      <c r="P1049" s="9">
        <v>0</v>
      </c>
      <c r="Q1049" s="9">
        <v>0</v>
      </c>
      <c r="R1049" s="9">
        <v>1</v>
      </c>
      <c r="S1049" s="8">
        <v>4491</v>
      </c>
      <c r="T1049" s="9">
        <v>3</v>
      </c>
      <c r="U1049" s="9">
        <f t="shared" si="253"/>
        <v>4487</v>
      </c>
      <c r="V1049" s="9">
        <f t="shared" si="254"/>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0</v>
      </c>
      <c r="BD1049">
        <v>1</v>
      </c>
      <c r="BE1049">
        <v>0</v>
      </c>
      <c r="BF1049" s="18">
        <v>0</v>
      </c>
      <c r="BG1049">
        <v>0</v>
      </c>
      <c r="BH1049">
        <v>1</v>
      </c>
      <c r="BI1049" s="18">
        <v>0</v>
      </c>
      <c r="BJ1049">
        <v>3067</v>
      </c>
      <c r="BK1049">
        <v>155</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4032</v>
      </c>
      <c r="D1050" s="12">
        <v>8.1</v>
      </c>
      <c r="E1050" s="14">
        <v>0.5</v>
      </c>
      <c r="F1050" s="7">
        <f>D1050/E1050</f>
        <v>16.2</v>
      </c>
      <c r="G1050" s="7">
        <f t="shared" si="251"/>
        <v>7.6</v>
      </c>
      <c r="H1050" s="16">
        <f t="shared" si="252"/>
        <v>8.6</v>
      </c>
      <c r="I1050" s="11">
        <f t="shared" si="255"/>
        <v>0.40659904556362153</v>
      </c>
      <c r="J1050" s="33">
        <f t="shared" si="256"/>
        <v>2.5098706516272936E-2</v>
      </c>
      <c r="K1050" s="33">
        <f t="shared" si="257"/>
        <v>39.842690672192305</v>
      </c>
      <c r="L1050" s="8">
        <v>1</v>
      </c>
      <c r="M1050" s="9">
        <v>0</v>
      </c>
      <c r="N1050" s="8">
        <v>0</v>
      </c>
      <c r="O1050" s="9">
        <v>0</v>
      </c>
      <c r="P1050" s="9">
        <v>0</v>
      </c>
      <c r="Q1050" s="9">
        <v>0</v>
      </c>
      <c r="R1050" s="9">
        <v>1</v>
      </c>
      <c r="S1050" s="8">
        <v>1329</v>
      </c>
      <c r="T1050" s="9">
        <v>3</v>
      </c>
      <c r="U1050" s="9">
        <f t="shared" si="253"/>
        <v>1325</v>
      </c>
      <c r="V1050" s="9">
        <f t="shared" si="254"/>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0</v>
      </c>
      <c r="BD1050">
        <v>1</v>
      </c>
      <c r="BE1050">
        <v>0</v>
      </c>
      <c r="BF1050" s="18">
        <v>0</v>
      </c>
      <c r="BG1050">
        <v>0</v>
      </c>
      <c r="BH1050">
        <v>1</v>
      </c>
      <c r="BI1050" s="18">
        <v>0</v>
      </c>
      <c r="BJ1050">
        <v>2614</v>
      </c>
      <c r="BK1050">
        <v>63</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4032</v>
      </c>
      <c r="D1051" s="12">
        <v>0.6</v>
      </c>
      <c r="E1051" s="14">
        <f t="shared" ref="E1051:E1080" si="258">D1051/F1051</f>
        <v>0.82499999999999996</v>
      </c>
      <c r="F1051" s="7">
        <v>0.72727272727272729</v>
      </c>
      <c r="G1051" s="7">
        <f t="shared" si="251"/>
        <v>-0.22499999999999998</v>
      </c>
      <c r="H1051" s="16">
        <f t="shared" si="252"/>
        <v>1.4249999999999998</v>
      </c>
      <c r="I1051" s="11">
        <f t="shared" si="255"/>
        <v>7.624506022097511E-3</v>
      </c>
      <c r="J1051" s="33">
        <f t="shared" si="256"/>
        <v>1.0483695780384076E-2</v>
      </c>
      <c r="K1051" s="33">
        <f t="shared" si="257"/>
        <v>95.386209305223133</v>
      </c>
      <c r="L1051" s="8">
        <v>1</v>
      </c>
      <c r="M1051" s="9">
        <v>0</v>
      </c>
      <c r="N1051" s="8">
        <v>0</v>
      </c>
      <c r="O1051" s="9">
        <v>0</v>
      </c>
      <c r="P1051" s="9">
        <v>0</v>
      </c>
      <c r="Q1051" s="9">
        <v>0</v>
      </c>
      <c r="R1051" s="9">
        <v>1</v>
      </c>
      <c r="S1051" s="8">
        <v>9106</v>
      </c>
      <c r="T1051" s="9">
        <v>7</v>
      </c>
      <c r="U1051" s="9">
        <f t="shared" si="253"/>
        <v>9098</v>
      </c>
      <c r="V1051" s="9">
        <f t="shared" si="254"/>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0</v>
      </c>
      <c r="BD1051">
        <v>1</v>
      </c>
      <c r="BE1051">
        <v>0</v>
      </c>
      <c r="BF1051" s="18">
        <v>0</v>
      </c>
      <c r="BG1051">
        <v>0</v>
      </c>
      <c r="BH1051">
        <v>1</v>
      </c>
      <c r="BI1051" s="18">
        <v>0</v>
      </c>
      <c r="BJ1051">
        <v>2675</v>
      </c>
      <c r="BK1051">
        <v>153</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4032</v>
      </c>
      <c r="D1052" s="12">
        <v>3.1</v>
      </c>
      <c r="E1052" s="14">
        <f t="shared" si="258"/>
        <v>0.71185185185185196</v>
      </c>
      <c r="F1052" s="7">
        <v>4.354838709677419</v>
      </c>
      <c r="G1052" s="7">
        <f t="shared" si="251"/>
        <v>2.3881481481481481</v>
      </c>
      <c r="H1052" s="16">
        <f t="shared" si="252"/>
        <v>3.811851851851852</v>
      </c>
      <c r="I1052" s="11">
        <f t="shared" si="255"/>
        <v>4.5608620854000068E-2</v>
      </c>
      <c r="J1052" s="33">
        <f t="shared" si="256"/>
        <v>1.0473090714622237E-2</v>
      </c>
      <c r="K1052" s="33">
        <f t="shared" si="257"/>
        <v>95.482797509223133</v>
      </c>
      <c r="L1052" s="8">
        <v>1</v>
      </c>
      <c r="M1052" s="9">
        <v>0</v>
      </c>
      <c r="N1052" s="8">
        <v>0</v>
      </c>
      <c r="O1052" s="9">
        <v>0</v>
      </c>
      <c r="P1052" s="9">
        <v>0</v>
      </c>
      <c r="Q1052" s="9">
        <v>0</v>
      </c>
      <c r="R1052" s="9">
        <v>1</v>
      </c>
      <c r="S1052" s="8">
        <v>9106</v>
      </c>
      <c r="T1052" s="9">
        <v>7</v>
      </c>
      <c r="U1052" s="9">
        <f t="shared" si="253"/>
        <v>9098</v>
      </c>
      <c r="V1052" s="9">
        <f t="shared" si="254"/>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0</v>
      </c>
      <c r="BD1052">
        <v>1</v>
      </c>
      <c r="BE1052">
        <v>0</v>
      </c>
      <c r="BF1052" s="18">
        <v>0</v>
      </c>
      <c r="BG1052">
        <v>0</v>
      </c>
      <c r="BH1052">
        <v>1</v>
      </c>
      <c r="BI1052" s="18">
        <v>0</v>
      </c>
      <c r="BJ1052">
        <v>2675</v>
      </c>
      <c r="BK1052">
        <v>153</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4032</v>
      </c>
      <c r="D1053" s="12">
        <v>4.0999999999999996</v>
      </c>
      <c r="E1053" s="14">
        <f t="shared" si="258"/>
        <v>0.37639344262295088</v>
      </c>
      <c r="F1053" s="7">
        <v>10.892857142857141</v>
      </c>
      <c r="G1053" s="7">
        <f t="shared" si="251"/>
        <v>3.7236065573770487</v>
      </c>
      <c r="H1053" s="16">
        <f t="shared" si="252"/>
        <v>4.4763934426229506</v>
      </c>
      <c r="I1053" s="11">
        <f t="shared" si="255"/>
        <v>0.11346323402692496</v>
      </c>
      <c r="J1053" s="33">
        <f t="shared" si="256"/>
        <v>1.041629689427508E-2</v>
      </c>
      <c r="K1053" s="33">
        <f t="shared" si="257"/>
        <v>96.003407943336555</v>
      </c>
      <c r="L1053" s="8">
        <v>1</v>
      </c>
      <c r="M1053" s="9">
        <v>0</v>
      </c>
      <c r="N1053" s="8">
        <v>0</v>
      </c>
      <c r="O1053" s="9">
        <v>0</v>
      </c>
      <c r="P1053" s="9">
        <v>0</v>
      </c>
      <c r="Q1053" s="9">
        <v>0</v>
      </c>
      <c r="R1053" s="9">
        <v>1</v>
      </c>
      <c r="S1053" s="8">
        <v>9106</v>
      </c>
      <c r="T1053" s="9">
        <v>7</v>
      </c>
      <c r="U1053" s="9">
        <f t="shared" si="253"/>
        <v>9098</v>
      </c>
      <c r="V1053" s="9">
        <f t="shared" si="254"/>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0</v>
      </c>
      <c r="BD1053">
        <v>1</v>
      </c>
      <c r="BE1053">
        <v>0</v>
      </c>
      <c r="BF1053" s="18">
        <v>0</v>
      </c>
      <c r="BG1053">
        <v>0</v>
      </c>
      <c r="BH1053">
        <v>1</v>
      </c>
      <c r="BI1053" s="18">
        <v>0</v>
      </c>
      <c r="BJ1053">
        <v>2675</v>
      </c>
      <c r="BK1053">
        <v>153</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4032</v>
      </c>
      <c r="D1054" s="12">
        <v>6.6</v>
      </c>
      <c r="E1054" s="14">
        <f t="shared" si="258"/>
        <v>0.61971830985915488</v>
      </c>
      <c r="F1054" s="7">
        <v>10.65</v>
      </c>
      <c r="G1054" s="7">
        <f t="shared" si="251"/>
        <v>5.9802816901408447</v>
      </c>
      <c r="H1054" s="16">
        <f t="shared" si="252"/>
        <v>7.2197183098591546</v>
      </c>
      <c r="I1054" s="11">
        <f t="shared" si="255"/>
        <v>0.11096506107070783</v>
      </c>
      <c r="J1054" s="33">
        <f t="shared" si="256"/>
        <v>1.0419254560629842E-2</v>
      </c>
      <c r="K1054" s="33">
        <f t="shared" si="257"/>
        <v>95.976155893013342</v>
      </c>
      <c r="L1054" s="8">
        <v>1</v>
      </c>
      <c r="M1054" s="9">
        <v>0</v>
      </c>
      <c r="N1054" s="8">
        <v>0</v>
      </c>
      <c r="O1054" s="9">
        <v>0</v>
      </c>
      <c r="P1054" s="9">
        <v>0</v>
      </c>
      <c r="Q1054" s="9">
        <v>0</v>
      </c>
      <c r="R1054" s="9">
        <v>1</v>
      </c>
      <c r="S1054" s="8">
        <v>9106</v>
      </c>
      <c r="T1054" s="9">
        <v>7</v>
      </c>
      <c r="U1054" s="9">
        <f t="shared" si="253"/>
        <v>9098</v>
      </c>
      <c r="V1054" s="9">
        <f t="shared" si="254"/>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0</v>
      </c>
      <c r="BD1054">
        <v>1</v>
      </c>
      <c r="BE1054">
        <v>0</v>
      </c>
      <c r="BF1054" s="18">
        <v>0</v>
      </c>
      <c r="BG1054">
        <v>0</v>
      </c>
      <c r="BH1054">
        <v>1</v>
      </c>
      <c r="BI1054" s="18">
        <v>0</v>
      </c>
      <c r="BJ1054">
        <v>2675</v>
      </c>
      <c r="BK1054">
        <v>153</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4032</v>
      </c>
      <c r="D1055" s="12">
        <v>9.1999999999999993</v>
      </c>
      <c r="E1055" s="14">
        <f t="shared" si="258"/>
        <v>0.41255605381165916</v>
      </c>
      <c r="F1055" s="7">
        <v>22.3</v>
      </c>
      <c r="G1055" s="7">
        <f t="shared" si="251"/>
        <v>8.7874439461883398</v>
      </c>
      <c r="H1055" s="16">
        <f t="shared" si="252"/>
        <v>9.6125560538116588</v>
      </c>
      <c r="I1055" s="11">
        <f t="shared" si="255"/>
        <v>0.22765427522459039</v>
      </c>
      <c r="J1055" s="33">
        <f t="shared" si="256"/>
        <v>1.0208711893479388E-2</v>
      </c>
      <c r="K1055" s="33">
        <f t="shared" si="257"/>
        <v>97.955551144383861</v>
      </c>
      <c r="L1055" s="8">
        <v>1</v>
      </c>
      <c r="M1055" s="9">
        <v>0</v>
      </c>
      <c r="N1055" s="8">
        <v>0</v>
      </c>
      <c r="O1055" s="9">
        <v>0</v>
      </c>
      <c r="P1055" s="9">
        <v>0</v>
      </c>
      <c r="Q1055" s="9">
        <v>0</v>
      </c>
      <c r="R1055" s="9">
        <v>1</v>
      </c>
      <c r="S1055" s="8">
        <v>9106</v>
      </c>
      <c r="T1055" s="9">
        <v>7</v>
      </c>
      <c r="U1055" s="9">
        <f t="shared" si="253"/>
        <v>9098</v>
      </c>
      <c r="V1055" s="9">
        <f t="shared" si="254"/>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0</v>
      </c>
      <c r="BD1055">
        <v>1</v>
      </c>
      <c r="BE1055">
        <v>0</v>
      </c>
      <c r="BF1055" s="18">
        <v>0</v>
      </c>
      <c r="BG1055">
        <v>0</v>
      </c>
      <c r="BH1055">
        <v>1</v>
      </c>
      <c r="BI1055" s="18">
        <v>0</v>
      </c>
      <c r="BJ1055">
        <v>2675</v>
      </c>
      <c r="BK1055">
        <v>153</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4032</v>
      </c>
      <c r="D1056" s="12">
        <v>0.4</v>
      </c>
      <c r="E1056" s="14">
        <f t="shared" si="258"/>
        <v>1.2749999999999999</v>
      </c>
      <c r="F1056" s="7">
        <v>0.31372549019607848</v>
      </c>
      <c r="G1056" s="7">
        <f t="shared" si="251"/>
        <v>-0.87499999999999989</v>
      </c>
      <c r="H1056" s="16">
        <f t="shared" si="252"/>
        <v>1.6749999999999998</v>
      </c>
      <c r="I1056" s="11">
        <f t="shared" si="255"/>
        <v>3.2923388633552871E-3</v>
      </c>
      <c r="J1056" s="33">
        <f t="shared" si="256"/>
        <v>1.0494330126944975E-2</v>
      </c>
      <c r="K1056" s="33">
        <f t="shared" si="257"/>
        <v>95.28955044328417</v>
      </c>
      <c r="L1056" s="8">
        <v>1</v>
      </c>
      <c r="M1056" s="9">
        <v>0</v>
      </c>
      <c r="N1056" s="8">
        <v>0</v>
      </c>
      <c r="O1056" s="9">
        <v>0</v>
      </c>
      <c r="P1056" s="9">
        <v>0</v>
      </c>
      <c r="Q1056" s="9">
        <v>0</v>
      </c>
      <c r="R1056" s="9">
        <v>1</v>
      </c>
      <c r="S1056" s="8">
        <v>9106</v>
      </c>
      <c r="T1056" s="9">
        <v>25</v>
      </c>
      <c r="U1056" s="9">
        <f t="shared" si="253"/>
        <v>9080</v>
      </c>
      <c r="V1056" s="9">
        <f t="shared" si="254"/>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0</v>
      </c>
      <c r="BD1056">
        <v>1</v>
      </c>
      <c r="BE1056">
        <v>0</v>
      </c>
      <c r="BF1056" s="18">
        <v>0</v>
      </c>
      <c r="BG1056">
        <v>0</v>
      </c>
      <c r="BH1056">
        <v>1</v>
      </c>
      <c r="BI1056" s="18">
        <v>0</v>
      </c>
      <c r="BJ1056">
        <v>2675</v>
      </c>
      <c r="BK1056">
        <v>153</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4032</v>
      </c>
      <c r="D1057" s="12">
        <v>2.8</v>
      </c>
      <c r="E1057" s="14">
        <f t="shared" si="258"/>
        <v>1.3517241379310341</v>
      </c>
      <c r="F1057" s="7">
        <v>2.0714285714285721</v>
      </c>
      <c r="G1057" s="7">
        <f t="shared" si="251"/>
        <v>1.4482758620689657</v>
      </c>
      <c r="H1057" s="16">
        <f t="shared" si="252"/>
        <v>4.1517241379310335</v>
      </c>
      <c r="I1057" s="11">
        <f t="shared" si="255"/>
        <v>2.1733238590746627E-2</v>
      </c>
      <c r="J1057" s="33">
        <f t="shared" si="256"/>
        <v>1.0491908285188024E-2</v>
      </c>
      <c r="K1057" s="33">
        <f t="shared" si="257"/>
        <v>95.311546080873811</v>
      </c>
      <c r="L1057" s="8">
        <v>1</v>
      </c>
      <c r="M1057" s="9">
        <v>0</v>
      </c>
      <c r="N1057" s="8">
        <v>0</v>
      </c>
      <c r="O1057" s="9">
        <v>0</v>
      </c>
      <c r="P1057" s="9">
        <v>0</v>
      </c>
      <c r="Q1057" s="9">
        <v>0</v>
      </c>
      <c r="R1057" s="9">
        <v>1</v>
      </c>
      <c r="S1057" s="8">
        <v>9106</v>
      </c>
      <c r="T1057" s="9">
        <v>25</v>
      </c>
      <c r="U1057" s="9">
        <f t="shared" si="253"/>
        <v>9080</v>
      </c>
      <c r="V1057" s="9">
        <f t="shared" si="254"/>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0</v>
      </c>
      <c r="BD1057">
        <v>1</v>
      </c>
      <c r="BE1057">
        <v>0</v>
      </c>
      <c r="BF1057" s="18">
        <v>0</v>
      </c>
      <c r="BG1057">
        <v>0</v>
      </c>
      <c r="BH1057">
        <v>1</v>
      </c>
      <c r="BI1057" s="18">
        <v>0</v>
      </c>
      <c r="BJ1057">
        <v>2675</v>
      </c>
      <c r="BK1057">
        <v>153</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4032</v>
      </c>
      <c r="D1058" s="12">
        <v>6.5</v>
      </c>
      <c r="E1058" s="14">
        <f t="shared" si="258"/>
        <v>0.85880829015544036</v>
      </c>
      <c r="F1058" s="7">
        <v>7.5686274509803928</v>
      </c>
      <c r="G1058" s="7">
        <f t="shared" si="251"/>
        <v>5.6411917098445592</v>
      </c>
      <c r="H1058" s="16">
        <f t="shared" si="252"/>
        <v>7.3588082901554408</v>
      </c>
      <c r="I1058" s="11">
        <f t="shared" si="255"/>
        <v>7.917873589605838E-2</v>
      </c>
      <c r="J1058" s="33">
        <f t="shared" si="256"/>
        <v>1.0461439198702013E-2</v>
      </c>
      <c r="K1058" s="33">
        <f t="shared" si="257"/>
        <v>95.589142278251117</v>
      </c>
      <c r="L1058" s="8">
        <v>1</v>
      </c>
      <c r="M1058" s="9">
        <v>0</v>
      </c>
      <c r="N1058" s="8">
        <v>0</v>
      </c>
      <c r="O1058" s="9">
        <v>0</v>
      </c>
      <c r="P1058" s="9">
        <v>0</v>
      </c>
      <c r="Q1058" s="9">
        <v>0</v>
      </c>
      <c r="R1058" s="9">
        <v>1</v>
      </c>
      <c r="S1058" s="8">
        <v>9106</v>
      </c>
      <c r="T1058" s="9">
        <v>25</v>
      </c>
      <c r="U1058" s="9">
        <f t="shared" si="253"/>
        <v>9080</v>
      </c>
      <c r="V1058" s="9">
        <f t="shared" si="254"/>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0</v>
      </c>
      <c r="BD1058">
        <v>1</v>
      </c>
      <c r="BE1058">
        <v>0</v>
      </c>
      <c r="BF1058" s="18">
        <v>0</v>
      </c>
      <c r="BG1058">
        <v>0</v>
      </c>
      <c r="BH1058">
        <v>1</v>
      </c>
      <c r="BI1058" s="18">
        <v>0</v>
      </c>
      <c r="BJ1058">
        <v>2675</v>
      </c>
      <c r="BK1058">
        <v>153</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4032</v>
      </c>
      <c r="D1059" s="12">
        <v>2.5</v>
      </c>
      <c r="E1059" s="14">
        <f t="shared" si="258"/>
        <v>0.48032407407407407</v>
      </c>
      <c r="F1059" s="7">
        <v>5.2048192771084336</v>
      </c>
      <c r="G1059" s="7">
        <f t="shared" si="251"/>
        <v>2.019675925925926</v>
      </c>
      <c r="H1059" s="16">
        <f t="shared" si="252"/>
        <v>2.980324074074074</v>
      </c>
      <c r="I1059" s="11">
        <f t="shared" si="255"/>
        <v>5.4540088306269344E-2</v>
      </c>
      <c r="J1059" s="33">
        <f t="shared" si="256"/>
        <v>1.0478766966250823E-2</v>
      </c>
      <c r="K1059" s="33">
        <f t="shared" si="257"/>
        <v>95.43107535654913</v>
      </c>
      <c r="L1059" s="8">
        <v>1</v>
      </c>
      <c r="M1059" s="9">
        <v>0</v>
      </c>
      <c r="N1059" s="8">
        <v>0</v>
      </c>
      <c r="O1059" s="9">
        <v>0</v>
      </c>
      <c r="P1059" s="9">
        <v>0</v>
      </c>
      <c r="Q1059" s="9">
        <v>0</v>
      </c>
      <c r="R1059" s="9">
        <v>1</v>
      </c>
      <c r="S1059" s="8">
        <v>9106</v>
      </c>
      <c r="T1059" s="9">
        <v>25</v>
      </c>
      <c r="U1059" s="9">
        <f t="shared" si="253"/>
        <v>9080</v>
      </c>
      <c r="V1059" s="9">
        <f t="shared" si="254"/>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0</v>
      </c>
      <c r="BD1059">
        <v>1</v>
      </c>
      <c r="BE1059">
        <v>0</v>
      </c>
      <c r="BF1059" s="18">
        <v>0</v>
      </c>
      <c r="BG1059">
        <v>0</v>
      </c>
      <c r="BH1059">
        <v>1</v>
      </c>
      <c r="BI1059" s="18">
        <v>0</v>
      </c>
      <c r="BJ1059">
        <v>2675</v>
      </c>
      <c r="BK1059">
        <v>153</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4032</v>
      </c>
      <c r="D1060" s="12">
        <v>10.5</v>
      </c>
      <c r="E1060" s="14">
        <f t="shared" si="258"/>
        <v>0.7865168539325843</v>
      </c>
      <c r="F1060" s="7">
        <v>13.35</v>
      </c>
      <c r="G1060" s="7">
        <f t="shared" si="251"/>
        <v>9.713483146067416</v>
      </c>
      <c r="H1060" s="16">
        <f t="shared" si="252"/>
        <v>11.286516853932584</v>
      </c>
      <c r="I1060" s="11">
        <f t="shared" si="255"/>
        <v>0.13874503754464187</v>
      </c>
      <c r="J1060" s="33">
        <f t="shared" si="256"/>
        <v>1.039288670746381E-2</v>
      </c>
      <c r="K1060" s="33">
        <f t="shared" si="257"/>
        <v>96.219657554992366</v>
      </c>
      <c r="L1060" s="8">
        <v>1</v>
      </c>
      <c r="M1060" s="9">
        <v>0</v>
      </c>
      <c r="N1060" s="8">
        <v>0</v>
      </c>
      <c r="O1060" s="9">
        <v>0</v>
      </c>
      <c r="P1060" s="9">
        <v>0</v>
      </c>
      <c r="Q1060" s="9">
        <v>0</v>
      </c>
      <c r="R1060" s="9">
        <v>1</v>
      </c>
      <c r="S1060" s="8">
        <v>9106</v>
      </c>
      <c r="T1060" s="9">
        <v>25</v>
      </c>
      <c r="U1060" s="9">
        <f t="shared" si="253"/>
        <v>9080</v>
      </c>
      <c r="V1060" s="9">
        <f t="shared" si="254"/>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0</v>
      </c>
      <c r="BD1060">
        <v>1</v>
      </c>
      <c r="BE1060">
        <v>0</v>
      </c>
      <c r="BF1060" s="18">
        <v>0</v>
      </c>
      <c r="BG1060">
        <v>0</v>
      </c>
      <c r="BH1060">
        <v>1</v>
      </c>
      <c r="BI1060" s="18">
        <v>0</v>
      </c>
      <c r="BJ1060">
        <v>2675</v>
      </c>
      <c r="BK1060">
        <v>153</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4032</v>
      </c>
      <c r="D1061" s="12">
        <v>3</v>
      </c>
      <c r="E1061" s="14">
        <f t="shared" si="258"/>
        <v>1.6046511627906981</v>
      </c>
      <c r="F1061" s="7">
        <v>1.869565217391304</v>
      </c>
      <c r="G1061" s="7">
        <f t="shared" si="251"/>
        <v>1.3953488372093019</v>
      </c>
      <c r="H1061" s="16">
        <f t="shared" si="252"/>
        <v>4.6046511627906979</v>
      </c>
      <c r="I1061" s="11">
        <f t="shared" si="255"/>
        <v>2.7911746509198823E-2</v>
      </c>
      <c r="J1061" s="33">
        <f t="shared" si="256"/>
        <v>1.4929538830501698E-2</v>
      </c>
      <c r="K1061" s="33">
        <f t="shared" si="257"/>
        <v>66.981305407569351</v>
      </c>
      <c r="L1061" s="8">
        <v>1</v>
      </c>
      <c r="M1061" s="9">
        <v>0</v>
      </c>
      <c r="N1061" s="8">
        <v>0</v>
      </c>
      <c r="O1061" s="9">
        <v>0</v>
      </c>
      <c r="P1061" s="9">
        <v>0</v>
      </c>
      <c r="Q1061" s="9">
        <v>0</v>
      </c>
      <c r="R1061" s="9">
        <v>1</v>
      </c>
      <c r="S1061" s="8">
        <v>4491</v>
      </c>
      <c r="T1061" s="9">
        <v>7</v>
      </c>
      <c r="U1061" s="9">
        <f t="shared" si="253"/>
        <v>4483</v>
      </c>
      <c r="V1061" s="9">
        <f t="shared" si="254"/>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0</v>
      </c>
      <c r="BD1061">
        <v>1</v>
      </c>
      <c r="BE1061">
        <v>0</v>
      </c>
      <c r="BF1061" s="18">
        <v>0</v>
      </c>
      <c r="BG1061">
        <v>0</v>
      </c>
      <c r="BH1061">
        <v>1</v>
      </c>
      <c r="BI1061" s="18">
        <v>0</v>
      </c>
      <c r="BJ1061">
        <v>3067</v>
      </c>
      <c r="BK1061">
        <v>155</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4032</v>
      </c>
      <c r="D1062" s="12">
        <v>3.7</v>
      </c>
      <c r="E1062" s="14">
        <f t="shared" si="258"/>
        <v>1.0060422960725075</v>
      </c>
      <c r="F1062" s="7">
        <v>3.677777777777778</v>
      </c>
      <c r="G1062" s="7">
        <f t="shared" si="251"/>
        <v>2.6939577039274925</v>
      </c>
      <c r="H1062" s="16">
        <f t="shared" si="252"/>
        <v>4.7060422960725079</v>
      </c>
      <c r="I1062" s="11">
        <f t="shared" si="255"/>
        <v>5.4846248553394351E-2</v>
      </c>
      <c r="J1062" s="33">
        <f t="shared" si="256"/>
        <v>1.4912877250167647E-2</v>
      </c>
      <c r="K1062" s="33">
        <f t="shared" si="257"/>
        <v>67.05614102662571</v>
      </c>
      <c r="L1062" s="8">
        <v>1</v>
      </c>
      <c r="M1062" s="9">
        <v>0</v>
      </c>
      <c r="N1062" s="8">
        <v>0</v>
      </c>
      <c r="O1062" s="9">
        <v>0</v>
      </c>
      <c r="P1062" s="9">
        <v>0</v>
      </c>
      <c r="Q1062" s="9">
        <v>0</v>
      </c>
      <c r="R1062" s="9">
        <v>1</v>
      </c>
      <c r="S1062" s="8">
        <v>4491</v>
      </c>
      <c r="T1062" s="9">
        <v>7</v>
      </c>
      <c r="U1062" s="9">
        <f t="shared" si="253"/>
        <v>4483</v>
      </c>
      <c r="V1062" s="9">
        <f t="shared" si="254"/>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0</v>
      </c>
      <c r="BD1062">
        <v>1</v>
      </c>
      <c r="BE1062">
        <v>0</v>
      </c>
      <c r="BF1062" s="18">
        <v>0</v>
      </c>
      <c r="BG1062">
        <v>0</v>
      </c>
      <c r="BH1062">
        <v>1</v>
      </c>
      <c r="BI1062" s="18">
        <v>0</v>
      </c>
      <c r="BJ1062">
        <v>3067</v>
      </c>
      <c r="BK1062">
        <v>155</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4032</v>
      </c>
      <c r="D1063" s="12">
        <v>5.2</v>
      </c>
      <c r="E1063" s="14">
        <f t="shared" si="258"/>
        <v>1.0514285714285714</v>
      </c>
      <c r="F1063" s="7">
        <v>4.9456521739130439</v>
      </c>
      <c r="G1063" s="7">
        <f t="shared" si="251"/>
        <v>4.1485714285714286</v>
      </c>
      <c r="H1063" s="16">
        <f t="shared" si="252"/>
        <v>6.2514285714285718</v>
      </c>
      <c r="I1063" s="11">
        <f t="shared" si="255"/>
        <v>7.3664399665451782E-2</v>
      </c>
      <c r="J1063" s="33">
        <f t="shared" si="256"/>
        <v>1.4894779712574864E-2</v>
      </c>
      <c r="K1063" s="33">
        <f t="shared" si="257"/>
        <v>67.137615949818553</v>
      </c>
      <c r="L1063" s="8">
        <v>1</v>
      </c>
      <c r="M1063" s="9">
        <v>0</v>
      </c>
      <c r="N1063" s="8">
        <v>0</v>
      </c>
      <c r="O1063" s="9">
        <v>0</v>
      </c>
      <c r="P1063" s="9">
        <v>0</v>
      </c>
      <c r="Q1063" s="9">
        <v>0</v>
      </c>
      <c r="R1063" s="9">
        <v>1</v>
      </c>
      <c r="S1063" s="8">
        <v>4491</v>
      </c>
      <c r="T1063" s="9">
        <v>7</v>
      </c>
      <c r="U1063" s="9">
        <f t="shared" si="253"/>
        <v>4483</v>
      </c>
      <c r="V1063" s="9">
        <f t="shared" si="254"/>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0</v>
      </c>
      <c r="BD1063">
        <v>1</v>
      </c>
      <c r="BE1063">
        <v>0</v>
      </c>
      <c r="BF1063" s="18">
        <v>0</v>
      </c>
      <c r="BG1063">
        <v>0</v>
      </c>
      <c r="BH1063">
        <v>1</v>
      </c>
      <c r="BI1063" s="18">
        <v>0</v>
      </c>
      <c r="BJ1063">
        <v>3067</v>
      </c>
      <c r="BK1063">
        <v>155</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4032</v>
      </c>
      <c r="D1064" s="12">
        <v>10.199999999999999</v>
      </c>
      <c r="E1064" s="14">
        <f t="shared" si="258"/>
        <v>1.5795716639209225</v>
      </c>
      <c r="F1064" s="7">
        <v>6.457446808510638</v>
      </c>
      <c r="G1064" s="7">
        <f t="shared" si="251"/>
        <v>8.6204283360790761</v>
      </c>
      <c r="H1064" s="16">
        <f t="shared" si="252"/>
        <v>11.779571663920922</v>
      </c>
      <c r="I1064" s="11">
        <f t="shared" si="255"/>
        <v>9.5998845230848909E-2</v>
      </c>
      <c r="J1064" s="33">
        <f t="shared" si="256"/>
        <v>1.4866378009390115E-2</v>
      </c>
      <c r="K1064" s="33">
        <f t="shared" si="257"/>
        <v>67.265880052852523</v>
      </c>
      <c r="L1064" s="8">
        <v>1</v>
      </c>
      <c r="M1064" s="9">
        <v>0</v>
      </c>
      <c r="N1064" s="8">
        <v>0</v>
      </c>
      <c r="O1064" s="9">
        <v>0</v>
      </c>
      <c r="P1064" s="9">
        <v>0</v>
      </c>
      <c r="Q1064" s="9">
        <v>0</v>
      </c>
      <c r="R1064" s="9">
        <v>1</v>
      </c>
      <c r="S1064" s="8">
        <v>4491</v>
      </c>
      <c r="T1064" s="9">
        <v>7</v>
      </c>
      <c r="U1064" s="9">
        <f t="shared" si="253"/>
        <v>4483</v>
      </c>
      <c r="V1064" s="9">
        <f t="shared" si="254"/>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0</v>
      </c>
      <c r="BD1064">
        <v>1</v>
      </c>
      <c r="BE1064">
        <v>0</v>
      </c>
      <c r="BF1064" s="18">
        <v>0</v>
      </c>
      <c r="BG1064">
        <v>0</v>
      </c>
      <c r="BH1064">
        <v>1</v>
      </c>
      <c r="BI1064" s="18">
        <v>0</v>
      </c>
      <c r="BJ1064">
        <v>3067</v>
      </c>
      <c r="BK1064">
        <v>155</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4032</v>
      </c>
      <c r="D1065" s="12">
        <v>13.2</v>
      </c>
      <c r="E1065" s="14">
        <f t="shared" si="258"/>
        <v>1.2447668393782387</v>
      </c>
      <c r="F1065" s="7">
        <v>10.6043956043956</v>
      </c>
      <c r="G1065" s="7">
        <f t="shared" si="251"/>
        <v>11.955233160621761</v>
      </c>
      <c r="H1065" s="16">
        <f t="shared" si="252"/>
        <v>14.444766839378238</v>
      </c>
      <c r="I1065" s="11">
        <f t="shared" si="255"/>
        <v>0.15643061291392449</v>
      </c>
      <c r="J1065" s="33">
        <f t="shared" si="256"/>
        <v>1.4751487849914128E-2</v>
      </c>
      <c r="K1065" s="33">
        <f t="shared" si="257"/>
        <v>67.789772135142371</v>
      </c>
      <c r="L1065" s="8">
        <v>1</v>
      </c>
      <c r="M1065" s="9">
        <v>0</v>
      </c>
      <c r="N1065" s="8">
        <v>0</v>
      </c>
      <c r="O1065" s="9">
        <v>0</v>
      </c>
      <c r="P1065" s="9">
        <v>0</v>
      </c>
      <c r="Q1065" s="9">
        <v>0</v>
      </c>
      <c r="R1065" s="9">
        <v>1</v>
      </c>
      <c r="S1065" s="8">
        <v>4491</v>
      </c>
      <c r="T1065" s="9">
        <v>7</v>
      </c>
      <c r="U1065" s="9">
        <f t="shared" si="253"/>
        <v>4483</v>
      </c>
      <c r="V1065" s="9">
        <f t="shared" si="254"/>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0</v>
      </c>
      <c r="BD1065">
        <v>1</v>
      </c>
      <c r="BE1065">
        <v>0</v>
      </c>
      <c r="BF1065" s="18">
        <v>0</v>
      </c>
      <c r="BG1065">
        <v>0</v>
      </c>
      <c r="BH1065">
        <v>1</v>
      </c>
      <c r="BI1065" s="18">
        <v>0</v>
      </c>
      <c r="BJ1065">
        <v>3067</v>
      </c>
      <c r="BK1065">
        <v>155</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4032</v>
      </c>
      <c r="D1066" s="12">
        <v>4.4000000000000004</v>
      </c>
      <c r="E1066" s="14">
        <f t="shared" si="258"/>
        <v>2.1223529411764708</v>
      </c>
      <c r="F1066" s="7">
        <v>2.0731707317073171</v>
      </c>
      <c r="G1066" s="7">
        <f t="shared" si="251"/>
        <v>2.2776470588235296</v>
      </c>
      <c r="H1066" s="16">
        <f t="shared" si="252"/>
        <v>6.5223529411764716</v>
      </c>
      <c r="I1066" s="11">
        <f t="shared" si="255"/>
        <v>3.1010974268328165E-2</v>
      </c>
      <c r="J1066" s="33">
        <f t="shared" si="256"/>
        <v>1.4958234647075937E-2</v>
      </c>
      <c r="K1066" s="33">
        <f t="shared" si="257"/>
        <v>66.852808743408886</v>
      </c>
      <c r="L1066" s="8">
        <v>1</v>
      </c>
      <c r="M1066" s="9">
        <v>0</v>
      </c>
      <c r="N1066" s="8">
        <v>0</v>
      </c>
      <c r="O1066" s="9">
        <v>0</v>
      </c>
      <c r="P1066" s="9">
        <v>0</v>
      </c>
      <c r="Q1066" s="9">
        <v>0</v>
      </c>
      <c r="R1066" s="9">
        <v>1</v>
      </c>
      <c r="S1066" s="8">
        <v>4491</v>
      </c>
      <c r="T1066" s="9">
        <v>25</v>
      </c>
      <c r="U1066" s="9">
        <f t="shared" si="253"/>
        <v>4465</v>
      </c>
      <c r="V1066" s="9">
        <f t="shared" si="254"/>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0</v>
      </c>
      <c r="BD1066">
        <v>1</v>
      </c>
      <c r="BE1066">
        <v>0</v>
      </c>
      <c r="BF1066" s="18">
        <v>0</v>
      </c>
      <c r="BG1066">
        <v>0</v>
      </c>
      <c r="BH1066">
        <v>1</v>
      </c>
      <c r="BI1066" s="18">
        <v>0</v>
      </c>
      <c r="BJ1066">
        <v>3067</v>
      </c>
      <c r="BK1066">
        <v>155</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4032</v>
      </c>
      <c r="D1067" s="12">
        <v>0.8</v>
      </c>
      <c r="E1067" s="14">
        <f t="shared" si="258"/>
        <v>0.32989690721649489</v>
      </c>
      <c r="F1067" s="7">
        <v>2.4249999999999998</v>
      </c>
      <c r="G1067" s="7">
        <f t="shared" si="251"/>
        <v>0.47010309278350515</v>
      </c>
      <c r="H1067" s="16">
        <f t="shared" si="252"/>
        <v>1.1298969072164948</v>
      </c>
      <c r="I1067" s="11">
        <f t="shared" si="255"/>
        <v>3.6267298423024875E-2</v>
      </c>
      <c r="J1067" s="33">
        <f t="shared" si="256"/>
        <v>1.495558697856696E-2</v>
      </c>
      <c r="K1067" s="33">
        <f t="shared" si="257"/>
        <v>66.864644057977301</v>
      </c>
      <c r="L1067" s="8">
        <v>1</v>
      </c>
      <c r="M1067" s="9">
        <v>0</v>
      </c>
      <c r="N1067" s="8">
        <v>0</v>
      </c>
      <c r="O1067" s="9">
        <v>0</v>
      </c>
      <c r="P1067" s="9">
        <v>0</v>
      </c>
      <c r="Q1067" s="9">
        <v>0</v>
      </c>
      <c r="R1067" s="9">
        <v>1</v>
      </c>
      <c r="S1067" s="8">
        <v>4491</v>
      </c>
      <c r="T1067" s="9">
        <v>25</v>
      </c>
      <c r="U1067" s="9">
        <f t="shared" si="253"/>
        <v>4465</v>
      </c>
      <c r="V1067" s="9">
        <f t="shared" si="254"/>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0</v>
      </c>
      <c r="BD1067">
        <v>1</v>
      </c>
      <c r="BE1067">
        <v>0</v>
      </c>
      <c r="BF1067" s="18">
        <v>0</v>
      </c>
      <c r="BG1067">
        <v>0</v>
      </c>
      <c r="BH1067">
        <v>1</v>
      </c>
      <c r="BI1067" s="18">
        <v>0</v>
      </c>
      <c r="BJ1067">
        <v>3067</v>
      </c>
      <c r="BK1067">
        <v>155</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4032</v>
      </c>
      <c r="D1068" s="12">
        <v>4.2</v>
      </c>
      <c r="E1068" s="14">
        <f t="shared" si="258"/>
        <v>1.3607142857142855</v>
      </c>
      <c r="F1068" s="7">
        <v>3.0866141732283472</v>
      </c>
      <c r="G1068" s="7">
        <f t="shared" si="251"/>
        <v>2.8392857142857144</v>
      </c>
      <c r="H1068" s="16">
        <f t="shared" si="252"/>
        <v>5.5607142857142859</v>
      </c>
      <c r="I1068" s="11">
        <f t="shared" si="255"/>
        <v>4.6143312752539134E-2</v>
      </c>
      <c r="J1068" s="33">
        <f t="shared" si="256"/>
        <v>1.4949491631562421E-2</v>
      </c>
      <c r="K1068" s="33">
        <f t="shared" si="257"/>
        <v>66.891906738067902</v>
      </c>
      <c r="L1068" s="8">
        <v>1</v>
      </c>
      <c r="M1068" s="9">
        <v>0</v>
      </c>
      <c r="N1068" s="8">
        <v>0</v>
      </c>
      <c r="O1068" s="9">
        <v>0</v>
      </c>
      <c r="P1068" s="9">
        <v>0</v>
      </c>
      <c r="Q1068" s="9">
        <v>0</v>
      </c>
      <c r="R1068" s="9">
        <v>1</v>
      </c>
      <c r="S1068" s="8">
        <v>4491</v>
      </c>
      <c r="T1068" s="9">
        <v>25</v>
      </c>
      <c r="U1068" s="9">
        <f t="shared" si="253"/>
        <v>4465</v>
      </c>
      <c r="V1068" s="9">
        <f t="shared" si="254"/>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0</v>
      </c>
      <c r="BD1068">
        <v>1</v>
      </c>
      <c r="BE1068">
        <v>0</v>
      </c>
      <c r="BF1068" s="18">
        <v>0</v>
      </c>
      <c r="BG1068">
        <v>0</v>
      </c>
      <c r="BH1068">
        <v>1</v>
      </c>
      <c r="BI1068" s="18">
        <v>0</v>
      </c>
      <c r="BJ1068">
        <v>3067</v>
      </c>
      <c r="BK1068">
        <v>155</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4032</v>
      </c>
      <c r="D1069" s="12">
        <v>17.899999999999999</v>
      </c>
      <c r="E1069" s="14">
        <f t="shared" si="258"/>
        <v>3.8027314112291348</v>
      </c>
      <c r="F1069" s="7">
        <v>4.7071428571428573</v>
      </c>
      <c r="G1069" s="7">
        <f t="shared" si="251"/>
        <v>14.097268588770863</v>
      </c>
      <c r="H1069" s="16">
        <f t="shared" si="252"/>
        <v>21.702731411229134</v>
      </c>
      <c r="I1069" s="11">
        <f t="shared" si="255"/>
        <v>7.0270288557333763E-2</v>
      </c>
      <c r="J1069" s="33">
        <f t="shared" si="256"/>
        <v>1.4928437629782592E-2</v>
      </c>
      <c r="K1069" s="33">
        <f t="shared" si="257"/>
        <v>66.98624630383128</v>
      </c>
      <c r="L1069" s="8">
        <v>1</v>
      </c>
      <c r="M1069" s="9">
        <v>0</v>
      </c>
      <c r="N1069" s="8">
        <v>0</v>
      </c>
      <c r="O1069" s="9">
        <v>0</v>
      </c>
      <c r="P1069" s="9">
        <v>0</v>
      </c>
      <c r="Q1069" s="9">
        <v>0</v>
      </c>
      <c r="R1069" s="9">
        <v>1</v>
      </c>
      <c r="S1069" s="8">
        <v>4491</v>
      </c>
      <c r="T1069" s="9">
        <v>25</v>
      </c>
      <c r="U1069" s="9">
        <f t="shared" si="253"/>
        <v>4465</v>
      </c>
      <c r="V1069" s="9">
        <f t="shared" si="254"/>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0</v>
      </c>
      <c r="BD1069">
        <v>1</v>
      </c>
      <c r="BE1069">
        <v>0</v>
      </c>
      <c r="BF1069" s="18">
        <v>0</v>
      </c>
      <c r="BG1069">
        <v>0</v>
      </c>
      <c r="BH1069">
        <v>1</v>
      </c>
      <c r="BI1069" s="18">
        <v>0</v>
      </c>
      <c r="BJ1069">
        <v>3067</v>
      </c>
      <c r="BK1069">
        <v>155</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4032</v>
      </c>
      <c r="D1070" s="12">
        <v>19.600000000000001</v>
      </c>
      <c r="E1070" s="14">
        <f t="shared" si="258"/>
        <v>2.2043591979075852</v>
      </c>
      <c r="F1070" s="7">
        <v>8.8914728682170541</v>
      </c>
      <c r="G1070" s="7">
        <f t="shared" si="251"/>
        <v>17.395640802092416</v>
      </c>
      <c r="H1070" s="16">
        <f t="shared" si="252"/>
        <v>21.804359197907587</v>
      </c>
      <c r="I1070" s="11">
        <f t="shared" si="255"/>
        <v>0.13190211542131122</v>
      </c>
      <c r="J1070" s="33">
        <f t="shared" si="256"/>
        <v>1.4834675579205881E-2</v>
      </c>
      <c r="K1070" s="33">
        <f t="shared" si="257"/>
        <v>67.409630541683285</v>
      </c>
      <c r="L1070" s="8">
        <v>1</v>
      </c>
      <c r="M1070" s="9">
        <v>0</v>
      </c>
      <c r="N1070" s="8">
        <v>0</v>
      </c>
      <c r="O1070" s="9">
        <v>0</v>
      </c>
      <c r="P1070" s="9">
        <v>0</v>
      </c>
      <c r="Q1070" s="9">
        <v>0</v>
      </c>
      <c r="R1070" s="9">
        <v>1</v>
      </c>
      <c r="S1070" s="8">
        <v>4491</v>
      </c>
      <c r="T1070" s="9">
        <v>25</v>
      </c>
      <c r="U1070" s="9">
        <f t="shared" si="253"/>
        <v>4465</v>
      </c>
      <c r="V1070" s="9">
        <f t="shared" si="254"/>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0</v>
      </c>
      <c r="BD1070">
        <v>1</v>
      </c>
      <c r="BE1070">
        <v>0</v>
      </c>
      <c r="BF1070" s="18">
        <v>0</v>
      </c>
      <c r="BG1070">
        <v>0</v>
      </c>
      <c r="BH1070">
        <v>1</v>
      </c>
      <c r="BI1070" s="18">
        <v>0</v>
      </c>
      <c r="BJ1070">
        <v>3067</v>
      </c>
      <c r="BK1070">
        <v>155</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4032</v>
      </c>
      <c r="D1071" s="12">
        <v>1.3</v>
      </c>
      <c r="E1071" s="14">
        <f t="shared" si="258"/>
        <v>1.3661016949152542</v>
      </c>
      <c r="F1071" s="7">
        <v>0.95161290322580649</v>
      </c>
      <c r="G1071" s="7">
        <f t="shared" si="251"/>
        <v>-6.6101694915254194E-2</v>
      </c>
      <c r="H1071" s="16">
        <f t="shared" si="252"/>
        <v>2.6661016949152545</v>
      </c>
      <c r="I1071" s="11">
        <f t="shared" si="255"/>
        <v>2.6272961816008172E-2</v>
      </c>
      <c r="J1071" s="33">
        <f t="shared" si="256"/>
        <v>2.7608875128686552E-2</v>
      </c>
      <c r="K1071" s="33">
        <f t="shared" si="257"/>
        <v>36.220236983178147</v>
      </c>
      <c r="L1071" s="8">
        <v>1</v>
      </c>
      <c r="M1071" s="9">
        <v>0</v>
      </c>
      <c r="N1071" s="8">
        <v>0</v>
      </c>
      <c r="O1071" s="9">
        <v>0</v>
      </c>
      <c r="P1071" s="9">
        <v>0</v>
      </c>
      <c r="Q1071" s="9">
        <v>0</v>
      </c>
      <c r="R1071" s="9">
        <v>1</v>
      </c>
      <c r="S1071" s="8">
        <v>1319</v>
      </c>
      <c r="T1071" s="9">
        <v>7</v>
      </c>
      <c r="U1071" s="9">
        <f t="shared" si="253"/>
        <v>1311</v>
      </c>
      <c r="V1071" s="9">
        <f t="shared" si="254"/>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0</v>
      </c>
      <c r="BD1071">
        <v>1</v>
      </c>
      <c r="BE1071">
        <v>0</v>
      </c>
      <c r="BF1071" s="18">
        <v>0</v>
      </c>
      <c r="BG1071">
        <v>0</v>
      </c>
      <c r="BH1071">
        <v>1</v>
      </c>
      <c r="BI1071" s="18">
        <v>0</v>
      </c>
      <c r="BJ1071">
        <v>2614</v>
      </c>
      <c r="BK1071">
        <v>63</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4032</v>
      </c>
      <c r="D1072" s="12">
        <v>5.4</v>
      </c>
      <c r="E1072" s="14">
        <f t="shared" si="258"/>
        <v>1.7270270270270269</v>
      </c>
      <c r="F1072" s="7">
        <v>3.126760563380282</v>
      </c>
      <c r="G1072" s="7">
        <f t="shared" si="251"/>
        <v>3.6729729729729734</v>
      </c>
      <c r="H1072" s="16">
        <f t="shared" si="252"/>
        <v>7.1270270270270277</v>
      </c>
      <c r="I1072" s="11">
        <f t="shared" si="255"/>
        <v>8.6035945846518913E-2</v>
      </c>
      <c r="J1072" s="33">
        <f t="shared" si="256"/>
        <v>2.751600069866145E-2</v>
      </c>
      <c r="K1072" s="33">
        <f t="shared" si="257"/>
        <v>36.342490718451181</v>
      </c>
      <c r="L1072" s="8">
        <v>1</v>
      </c>
      <c r="M1072" s="9">
        <v>0</v>
      </c>
      <c r="N1072" s="8">
        <v>0</v>
      </c>
      <c r="O1072" s="9">
        <v>0</v>
      </c>
      <c r="P1072" s="9">
        <v>0</v>
      </c>
      <c r="Q1072" s="9">
        <v>0</v>
      </c>
      <c r="R1072" s="9">
        <v>1</v>
      </c>
      <c r="S1072" s="8">
        <v>1319</v>
      </c>
      <c r="T1072" s="9">
        <v>7</v>
      </c>
      <c r="U1072" s="9">
        <f t="shared" si="253"/>
        <v>1311</v>
      </c>
      <c r="V1072" s="9">
        <f t="shared" si="254"/>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0</v>
      </c>
      <c r="BD1072">
        <v>1</v>
      </c>
      <c r="BE1072">
        <v>0</v>
      </c>
      <c r="BF1072" s="18">
        <v>0</v>
      </c>
      <c r="BG1072">
        <v>0</v>
      </c>
      <c r="BH1072">
        <v>1</v>
      </c>
      <c r="BI1072" s="18">
        <v>0</v>
      </c>
      <c r="BJ1072">
        <v>2614</v>
      </c>
      <c r="BK1072">
        <v>63</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4032</v>
      </c>
      <c r="D1073" s="12">
        <v>8</v>
      </c>
      <c r="E1073" s="14">
        <f t="shared" si="258"/>
        <v>1.0849673202614381</v>
      </c>
      <c r="F1073" s="7">
        <v>7.3734939759036138</v>
      </c>
      <c r="G1073" s="7">
        <f t="shared" si="251"/>
        <v>6.9150326797385624</v>
      </c>
      <c r="H1073" s="16">
        <f t="shared" si="252"/>
        <v>9.0849673202614376</v>
      </c>
      <c r="I1073" s="11">
        <f t="shared" si="255"/>
        <v>0.19954847078113283</v>
      </c>
      <c r="J1073" s="33">
        <f t="shared" si="256"/>
        <v>2.706294620070919E-2</v>
      </c>
      <c r="K1073" s="33">
        <f t="shared" si="257"/>
        <v>36.950891916335216</v>
      </c>
      <c r="L1073" s="8">
        <v>1</v>
      </c>
      <c r="M1073" s="9">
        <v>0</v>
      </c>
      <c r="N1073" s="8">
        <v>0</v>
      </c>
      <c r="O1073" s="9">
        <v>0</v>
      </c>
      <c r="P1073" s="9">
        <v>0</v>
      </c>
      <c r="Q1073" s="9">
        <v>0</v>
      </c>
      <c r="R1073" s="9">
        <v>1</v>
      </c>
      <c r="S1073" s="8">
        <v>1319</v>
      </c>
      <c r="T1073" s="9">
        <v>7</v>
      </c>
      <c r="U1073" s="9">
        <f t="shared" si="253"/>
        <v>1311</v>
      </c>
      <c r="V1073" s="9">
        <f t="shared" si="254"/>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0</v>
      </c>
      <c r="BD1073">
        <v>1</v>
      </c>
      <c r="BE1073">
        <v>0</v>
      </c>
      <c r="BF1073" s="18">
        <v>0</v>
      </c>
      <c r="BG1073">
        <v>0</v>
      </c>
      <c r="BH1073">
        <v>1</v>
      </c>
      <c r="BI1073" s="18">
        <v>0</v>
      </c>
      <c r="BJ1073">
        <v>2614</v>
      </c>
      <c r="BK1073">
        <v>63</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4032</v>
      </c>
      <c r="D1074" s="12">
        <v>16.5</v>
      </c>
      <c r="E1074" s="14">
        <f t="shared" si="258"/>
        <v>1.4134078212290504</v>
      </c>
      <c r="F1074" s="7">
        <v>11.67391304347826</v>
      </c>
      <c r="G1074" s="7">
        <f t="shared" si="251"/>
        <v>15.08659217877095</v>
      </c>
      <c r="H1074" s="16">
        <f t="shared" si="252"/>
        <v>17.91340782122905</v>
      </c>
      <c r="I1074" s="11">
        <f t="shared" si="255"/>
        <v>0.30685989834615268</v>
      </c>
      <c r="J1074" s="33">
        <f t="shared" si="256"/>
        <v>2.6285950323879002E-2</v>
      </c>
      <c r="K1074" s="33">
        <f t="shared" si="257"/>
        <v>38.043136644428941</v>
      </c>
      <c r="L1074" s="8">
        <v>1</v>
      </c>
      <c r="M1074" s="9">
        <v>0</v>
      </c>
      <c r="N1074" s="8">
        <v>0</v>
      </c>
      <c r="O1074" s="9">
        <v>0</v>
      </c>
      <c r="P1074" s="9">
        <v>0</v>
      </c>
      <c r="Q1074" s="9">
        <v>0</v>
      </c>
      <c r="R1074" s="9">
        <v>1</v>
      </c>
      <c r="S1074" s="8">
        <v>1319</v>
      </c>
      <c r="T1074" s="9">
        <v>7</v>
      </c>
      <c r="U1074" s="9">
        <f t="shared" si="253"/>
        <v>1311</v>
      </c>
      <c r="V1074" s="9">
        <f t="shared" si="254"/>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0</v>
      </c>
      <c r="BD1074">
        <v>1</v>
      </c>
      <c r="BE1074">
        <v>0</v>
      </c>
      <c r="BF1074" s="18">
        <v>0</v>
      </c>
      <c r="BG1074">
        <v>0</v>
      </c>
      <c r="BH1074">
        <v>1</v>
      </c>
      <c r="BI1074" s="18">
        <v>0</v>
      </c>
      <c r="BJ1074">
        <v>2614</v>
      </c>
      <c r="BK1074">
        <v>63</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4032</v>
      </c>
      <c r="D1075" s="12">
        <v>17.8</v>
      </c>
      <c r="E1075" s="14">
        <f t="shared" si="258"/>
        <v>1.2201612903225805</v>
      </c>
      <c r="F1075" s="7">
        <v>14.58823529411765</v>
      </c>
      <c r="G1075" s="7">
        <f t="shared" si="251"/>
        <v>16.579838709677421</v>
      </c>
      <c r="H1075" s="16">
        <f t="shared" si="252"/>
        <v>19.02016129032258</v>
      </c>
      <c r="I1075" s="11">
        <f t="shared" si="255"/>
        <v>0.37371145323918131</v>
      </c>
      <c r="J1075" s="33">
        <f t="shared" si="256"/>
        <v>2.5617317359137425E-2</v>
      </c>
      <c r="K1075" s="33">
        <f t="shared" si="257"/>
        <v>39.03609366978899</v>
      </c>
      <c r="L1075" s="8">
        <v>1</v>
      </c>
      <c r="M1075" s="9">
        <v>0</v>
      </c>
      <c r="N1075" s="8">
        <v>0</v>
      </c>
      <c r="O1075" s="9">
        <v>0</v>
      </c>
      <c r="P1075" s="9">
        <v>0</v>
      </c>
      <c r="Q1075" s="9">
        <v>0</v>
      </c>
      <c r="R1075" s="9">
        <v>1</v>
      </c>
      <c r="S1075" s="8">
        <v>1319</v>
      </c>
      <c r="T1075" s="9">
        <v>7</v>
      </c>
      <c r="U1075" s="9">
        <f t="shared" si="253"/>
        <v>1311</v>
      </c>
      <c r="V1075" s="9">
        <f t="shared" si="254"/>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0</v>
      </c>
      <c r="BD1075">
        <v>1</v>
      </c>
      <c r="BE1075">
        <v>0</v>
      </c>
      <c r="BF1075" s="18">
        <v>0</v>
      </c>
      <c r="BG1075">
        <v>0</v>
      </c>
      <c r="BH1075">
        <v>1</v>
      </c>
      <c r="BI1075" s="18">
        <v>0</v>
      </c>
      <c r="BJ1075">
        <v>2614</v>
      </c>
      <c r="BK1075">
        <v>63</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4032</v>
      </c>
      <c r="D1076" s="12">
        <v>1.4</v>
      </c>
      <c r="E1076" s="14">
        <f t="shared" si="258"/>
        <v>1.8307692307692307</v>
      </c>
      <c r="F1076" s="7">
        <v>0.76470588235294112</v>
      </c>
      <c r="G1076" s="7">
        <f t="shared" si="251"/>
        <v>-0.43076923076923079</v>
      </c>
      <c r="H1076" s="16">
        <f t="shared" si="252"/>
        <v>3.2307692307692308</v>
      </c>
      <c r="I1076" s="11">
        <f t="shared" si="255"/>
        <v>2.1555256442034192E-2</v>
      </c>
      <c r="J1076" s="33">
        <f t="shared" si="256"/>
        <v>2.8187643039583175E-2</v>
      </c>
      <c r="K1076" s="33">
        <f t="shared" si="257"/>
        <v>35.47653837519249</v>
      </c>
      <c r="L1076" s="8">
        <v>1</v>
      </c>
      <c r="M1076" s="9">
        <v>0</v>
      </c>
      <c r="N1076" s="8">
        <v>0</v>
      </c>
      <c r="O1076" s="9">
        <v>0</v>
      </c>
      <c r="P1076" s="9">
        <v>0</v>
      </c>
      <c r="Q1076" s="9">
        <v>0</v>
      </c>
      <c r="R1076" s="9">
        <v>1</v>
      </c>
      <c r="S1076" s="8">
        <v>1284</v>
      </c>
      <c r="T1076" s="9">
        <v>25</v>
      </c>
      <c r="U1076" s="9">
        <f t="shared" si="253"/>
        <v>1258</v>
      </c>
      <c r="V1076" s="9">
        <f t="shared" si="254"/>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0</v>
      </c>
      <c r="BD1076">
        <v>1</v>
      </c>
      <c r="BE1076">
        <v>0</v>
      </c>
      <c r="BF1076" s="18">
        <v>0</v>
      </c>
      <c r="BG1076">
        <v>0</v>
      </c>
      <c r="BH1076">
        <v>1</v>
      </c>
      <c r="BI1076" s="18">
        <v>0</v>
      </c>
      <c r="BJ1076">
        <v>2614</v>
      </c>
      <c r="BK1076">
        <v>63</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4032</v>
      </c>
      <c r="D1077" s="12">
        <v>4.9000000000000004</v>
      </c>
      <c r="E1077" s="14">
        <f t="shared" si="258"/>
        <v>2.0801886792452828</v>
      </c>
      <c r="F1077" s="7">
        <v>2.3555555555555561</v>
      </c>
      <c r="G1077" s="7">
        <f t="shared" si="251"/>
        <v>2.8198113207547175</v>
      </c>
      <c r="H1077" s="16">
        <f t="shared" si="252"/>
        <v>6.9801886792452832</v>
      </c>
      <c r="I1077" s="11">
        <f t="shared" si="255"/>
        <v>6.6267008989482942E-2</v>
      </c>
      <c r="J1077" s="33">
        <f t="shared" si="256"/>
        <v>2.8132220797421999E-2</v>
      </c>
      <c r="K1077" s="33">
        <f t="shared" si="257"/>
        <v>35.5464293843321</v>
      </c>
      <c r="L1077" s="8">
        <v>1</v>
      </c>
      <c r="M1077" s="9">
        <v>0</v>
      </c>
      <c r="N1077" s="8">
        <v>0</v>
      </c>
      <c r="O1077" s="9">
        <v>0</v>
      </c>
      <c r="P1077" s="9">
        <v>0</v>
      </c>
      <c r="Q1077" s="9">
        <v>0</v>
      </c>
      <c r="R1077" s="9">
        <v>1</v>
      </c>
      <c r="S1077" s="8">
        <v>1284</v>
      </c>
      <c r="T1077" s="9">
        <v>25</v>
      </c>
      <c r="U1077" s="9">
        <f t="shared" si="253"/>
        <v>1258</v>
      </c>
      <c r="V1077" s="9">
        <f t="shared" si="254"/>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0</v>
      </c>
      <c r="BD1077">
        <v>1</v>
      </c>
      <c r="BE1077">
        <v>0</v>
      </c>
      <c r="BF1077" s="18">
        <v>0</v>
      </c>
      <c r="BG1077">
        <v>0</v>
      </c>
      <c r="BH1077">
        <v>1</v>
      </c>
      <c r="BI1077" s="18">
        <v>0</v>
      </c>
      <c r="BJ1077">
        <v>2614</v>
      </c>
      <c r="BK1077">
        <v>63</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4032</v>
      </c>
      <c r="D1078" s="12">
        <v>3.8</v>
      </c>
      <c r="E1078" s="14">
        <f t="shared" si="258"/>
        <v>1.5777215189873417</v>
      </c>
      <c r="F1078" s="7">
        <v>2.4085365853658538</v>
      </c>
      <c r="G1078" s="7">
        <f t="shared" si="251"/>
        <v>2.2222784810126583</v>
      </c>
      <c r="H1078" s="16">
        <f t="shared" si="252"/>
        <v>5.3777215189873413</v>
      </c>
      <c r="I1078" s="11">
        <f t="shared" si="255"/>
        <v>6.7750716413701506E-2</v>
      </c>
      <c r="J1078" s="33">
        <f t="shared" si="256"/>
        <v>2.8129411371764671E-2</v>
      </c>
      <c r="K1078" s="33">
        <f t="shared" si="257"/>
        <v>35.549979584847101</v>
      </c>
      <c r="L1078" s="8">
        <v>1</v>
      </c>
      <c r="M1078" s="9">
        <v>0</v>
      </c>
      <c r="N1078" s="8">
        <v>0</v>
      </c>
      <c r="O1078" s="9">
        <v>0</v>
      </c>
      <c r="P1078" s="9">
        <v>0</v>
      </c>
      <c r="Q1078" s="9">
        <v>0</v>
      </c>
      <c r="R1078" s="9">
        <v>1</v>
      </c>
      <c r="S1078" s="8">
        <v>1284</v>
      </c>
      <c r="T1078" s="9">
        <v>25</v>
      </c>
      <c r="U1078" s="9">
        <f t="shared" si="253"/>
        <v>1258</v>
      </c>
      <c r="V1078" s="9">
        <f t="shared" si="254"/>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0</v>
      </c>
      <c r="BD1078">
        <v>1</v>
      </c>
      <c r="BE1078">
        <v>0</v>
      </c>
      <c r="BF1078" s="18">
        <v>0</v>
      </c>
      <c r="BG1078">
        <v>0</v>
      </c>
      <c r="BH1078">
        <v>1</v>
      </c>
      <c r="BI1078" s="18">
        <v>0</v>
      </c>
      <c r="BJ1078">
        <v>2614</v>
      </c>
      <c r="BK1078">
        <v>63</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4032</v>
      </c>
      <c r="D1079" s="12">
        <v>22.9</v>
      </c>
      <c r="E1079" s="14">
        <f t="shared" si="258"/>
        <v>3.6321083172146991</v>
      </c>
      <c r="F1079" s="7">
        <v>6.3048780487804894</v>
      </c>
      <c r="G1079" s="7">
        <f t="shared" si="251"/>
        <v>19.267891682785301</v>
      </c>
      <c r="H1079" s="16">
        <f t="shared" si="252"/>
        <v>26.532108317214696</v>
      </c>
      <c r="I1079" s="11">
        <f t="shared" si="255"/>
        <v>0.17501727719473617</v>
      </c>
      <c r="J1079" s="33">
        <f t="shared" si="256"/>
        <v>2.7759026556998769E-2</v>
      </c>
      <c r="K1079" s="33">
        <f t="shared" si="257"/>
        <v>36.024317997846872</v>
      </c>
      <c r="L1079" s="8">
        <v>1</v>
      </c>
      <c r="M1079" s="9">
        <v>0</v>
      </c>
      <c r="N1079" s="8">
        <v>0</v>
      </c>
      <c r="O1079" s="9">
        <v>0</v>
      </c>
      <c r="P1079" s="9">
        <v>0</v>
      </c>
      <c r="Q1079" s="9">
        <v>0</v>
      </c>
      <c r="R1079" s="9">
        <v>1</v>
      </c>
      <c r="S1079" s="8">
        <v>1284</v>
      </c>
      <c r="T1079" s="9">
        <v>25</v>
      </c>
      <c r="U1079" s="9">
        <f t="shared" si="253"/>
        <v>1258</v>
      </c>
      <c r="V1079" s="9">
        <f t="shared" si="254"/>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0</v>
      </c>
      <c r="BD1079">
        <v>1</v>
      </c>
      <c r="BE1079">
        <v>0</v>
      </c>
      <c r="BF1079" s="18">
        <v>0</v>
      </c>
      <c r="BG1079">
        <v>0</v>
      </c>
      <c r="BH1079">
        <v>1</v>
      </c>
      <c r="BI1079" s="18">
        <v>0</v>
      </c>
      <c r="BJ1079">
        <v>2614</v>
      </c>
      <c r="BK1079">
        <v>63</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4032</v>
      </c>
      <c r="D1080" s="12">
        <v>13.6</v>
      </c>
      <c r="E1080" s="14">
        <f t="shared" si="258"/>
        <v>2.349671361502347</v>
      </c>
      <c r="F1080" s="7">
        <v>5.7880434782608701</v>
      </c>
      <c r="G1080" s="7">
        <f t="shared" si="251"/>
        <v>11.250328638497653</v>
      </c>
      <c r="H1080" s="16">
        <f t="shared" si="252"/>
        <v>15.949671361502347</v>
      </c>
      <c r="I1080" s="11">
        <f t="shared" si="255"/>
        <v>0.1610587544572547</v>
      </c>
      <c r="J1080" s="33">
        <f t="shared" si="256"/>
        <v>2.782611344613602E-2</v>
      </c>
      <c r="K1080" s="33">
        <f t="shared" si="257"/>
        <v>35.937465788592249</v>
      </c>
      <c r="L1080" s="8">
        <v>1</v>
      </c>
      <c r="M1080" s="9">
        <v>0</v>
      </c>
      <c r="N1080" s="8">
        <v>0</v>
      </c>
      <c r="O1080" s="9">
        <v>0</v>
      </c>
      <c r="P1080" s="9">
        <v>0</v>
      </c>
      <c r="Q1080" s="9">
        <v>0</v>
      </c>
      <c r="R1080" s="9">
        <v>1</v>
      </c>
      <c r="S1080" s="8">
        <v>1284</v>
      </c>
      <c r="T1080" s="9">
        <v>25</v>
      </c>
      <c r="U1080" s="9">
        <f t="shared" si="253"/>
        <v>1258</v>
      </c>
      <c r="V1080" s="9">
        <f t="shared" si="254"/>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0</v>
      </c>
      <c r="BD1080">
        <v>1</v>
      </c>
      <c r="BE1080">
        <v>0</v>
      </c>
      <c r="BF1080" s="18">
        <v>0</v>
      </c>
      <c r="BG1080">
        <v>0</v>
      </c>
      <c r="BH1080">
        <v>1</v>
      </c>
      <c r="BI1080" s="18">
        <v>0</v>
      </c>
      <c r="BJ1080">
        <v>2614</v>
      </c>
      <c r="BK1080">
        <v>63</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4042</v>
      </c>
      <c r="D1081" s="12">
        <v>5.87</v>
      </c>
      <c r="E1081" s="14">
        <v>0.09</v>
      </c>
      <c r="F1081" s="7">
        <f t="shared" ref="F1081:F1090" si="259">D1081/E1081</f>
        <v>65.222222222222229</v>
      </c>
      <c r="G1081" s="7">
        <f t="shared" si="251"/>
        <v>5.78</v>
      </c>
      <c r="H1081" s="16">
        <f t="shared" si="252"/>
        <v>5.96</v>
      </c>
      <c r="I1081" s="11">
        <f t="shared" si="255"/>
        <v>0.50900618174403367</v>
      </c>
      <c r="J1081" s="33">
        <f t="shared" si="256"/>
        <v>7.8041833657517936E-3</v>
      </c>
      <c r="K1081" s="33">
        <f t="shared" si="257"/>
        <v>128.13640494256478</v>
      </c>
      <c r="L1081" s="8">
        <v>1</v>
      </c>
      <c r="M1081" s="9">
        <v>0</v>
      </c>
      <c r="N1081" s="8">
        <v>0</v>
      </c>
      <c r="O1081" s="9">
        <v>0</v>
      </c>
      <c r="P1081" s="9">
        <v>0</v>
      </c>
      <c r="Q1081" s="9">
        <v>1</v>
      </c>
      <c r="R1081" s="9">
        <v>0</v>
      </c>
      <c r="S1081" s="8">
        <v>12169</v>
      </c>
      <c r="T1081" s="9">
        <v>3</v>
      </c>
      <c r="U1081" s="9">
        <f t="shared" si="253"/>
        <v>12165</v>
      </c>
      <c r="V1081" s="9">
        <f t="shared" si="254"/>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v>0</v>
      </c>
      <c r="BF1081" s="18">
        <v>0</v>
      </c>
      <c r="BG1081">
        <v>1</v>
      </c>
      <c r="BH1081">
        <v>0</v>
      </c>
      <c r="BI1081" s="18">
        <v>0</v>
      </c>
      <c r="BJ1081">
        <v>15116</v>
      </c>
      <c r="BK1081">
        <v>12548</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4042</v>
      </c>
      <c r="D1082" s="12">
        <v>7.51</v>
      </c>
      <c r="E1082" s="14">
        <v>0.22</v>
      </c>
      <c r="F1082" s="7">
        <f t="shared" si="259"/>
        <v>34.136363636363633</v>
      </c>
      <c r="G1082" s="7">
        <f t="shared" si="251"/>
        <v>7.29</v>
      </c>
      <c r="H1082" s="16">
        <f t="shared" si="252"/>
        <v>7.7299999999999995</v>
      </c>
      <c r="I1082" s="11">
        <f t="shared" si="255"/>
        <v>0.30006246354127525</v>
      </c>
      <c r="J1082" s="33">
        <f t="shared" si="256"/>
        <v>8.7901121143915528E-3</v>
      </c>
      <c r="K1082" s="33">
        <f t="shared" si="257"/>
        <v>113.7641917402574</v>
      </c>
      <c r="L1082" s="8">
        <v>1</v>
      </c>
      <c r="M1082" s="9">
        <v>0</v>
      </c>
      <c r="N1082" s="8">
        <v>0</v>
      </c>
      <c r="O1082" s="9">
        <v>0</v>
      </c>
      <c r="P1082" s="9">
        <v>0</v>
      </c>
      <c r="Q1082" s="9">
        <v>1</v>
      </c>
      <c r="R1082" s="9">
        <v>0</v>
      </c>
      <c r="S1082" s="8">
        <v>11781</v>
      </c>
      <c r="T1082" s="9">
        <v>3</v>
      </c>
      <c r="U1082" s="9">
        <f t="shared" si="253"/>
        <v>11777</v>
      </c>
      <c r="V1082" s="9">
        <f t="shared" si="254"/>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v>0</v>
      </c>
      <c r="BF1082" s="18">
        <v>0</v>
      </c>
      <c r="BG1082">
        <v>1</v>
      </c>
      <c r="BH1082">
        <v>0</v>
      </c>
      <c r="BI1082" s="18">
        <v>0</v>
      </c>
      <c r="BJ1082">
        <v>15116</v>
      </c>
      <c r="BK1082">
        <v>12548</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4042</v>
      </c>
      <c r="D1083" s="12">
        <v>5.68</v>
      </c>
      <c r="E1083" s="14">
        <v>0.1</v>
      </c>
      <c r="F1083" s="7">
        <f t="shared" si="259"/>
        <v>56.8</v>
      </c>
      <c r="G1083" s="7">
        <f t="shared" si="251"/>
        <v>5.58</v>
      </c>
      <c r="H1083" s="16">
        <f t="shared" si="252"/>
        <v>5.7799999999999994</v>
      </c>
      <c r="I1083" s="11">
        <f t="shared" si="255"/>
        <v>0.46651124536232574</v>
      </c>
      <c r="J1083" s="33">
        <f t="shared" si="256"/>
        <v>8.2132261507451721E-3</v>
      </c>
      <c r="K1083" s="33">
        <f t="shared" si="257"/>
        <v>121.75483563292259</v>
      </c>
      <c r="L1083" s="8">
        <v>1</v>
      </c>
      <c r="M1083" s="9">
        <v>0</v>
      </c>
      <c r="N1083" s="8">
        <v>0</v>
      </c>
      <c r="O1083" s="9">
        <v>0</v>
      </c>
      <c r="P1083" s="9">
        <v>0</v>
      </c>
      <c r="Q1083" s="9">
        <v>1</v>
      </c>
      <c r="R1083" s="9">
        <v>0</v>
      </c>
      <c r="S1083" s="8">
        <v>11603</v>
      </c>
      <c r="T1083" s="9">
        <v>4</v>
      </c>
      <c r="U1083" s="9">
        <f t="shared" si="253"/>
        <v>11598</v>
      </c>
      <c r="V1083" s="9">
        <f t="shared" si="254"/>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v>0</v>
      </c>
      <c r="BF1083" s="18">
        <v>0</v>
      </c>
      <c r="BG1083">
        <v>1</v>
      </c>
      <c r="BH1083">
        <v>0</v>
      </c>
      <c r="BI1083" s="18">
        <v>0</v>
      </c>
      <c r="BJ1083">
        <v>15116</v>
      </c>
      <c r="BK1083">
        <v>12548</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4042</v>
      </c>
      <c r="D1084" s="12">
        <v>7.37</v>
      </c>
      <c r="E1084" s="14">
        <v>0.23</v>
      </c>
      <c r="F1084" s="7">
        <f t="shared" si="259"/>
        <v>32.043478260869563</v>
      </c>
      <c r="G1084" s="7">
        <f t="shared" si="251"/>
        <v>7.14</v>
      </c>
      <c r="H1084" s="16">
        <f t="shared" si="252"/>
        <v>7.6000000000000005</v>
      </c>
      <c r="I1084" s="11">
        <f t="shared" si="255"/>
        <v>0.28938800261361008</v>
      </c>
      <c r="J1084" s="33">
        <f t="shared" si="256"/>
        <v>9.0311045591764342E-3</v>
      </c>
      <c r="K1084" s="33">
        <f t="shared" si="257"/>
        <v>110.72842678849376</v>
      </c>
      <c r="L1084" s="8">
        <v>1</v>
      </c>
      <c r="M1084" s="9">
        <v>0</v>
      </c>
      <c r="N1084" s="8">
        <v>0</v>
      </c>
      <c r="O1084" s="9">
        <v>0</v>
      </c>
      <c r="P1084" s="9">
        <v>0</v>
      </c>
      <c r="Q1084" s="9">
        <v>1</v>
      </c>
      <c r="R1084" s="9">
        <v>0</v>
      </c>
      <c r="S1084" s="8">
        <v>11239</v>
      </c>
      <c r="T1084" s="9">
        <v>4</v>
      </c>
      <c r="U1084" s="9">
        <f t="shared" si="253"/>
        <v>11234</v>
      </c>
      <c r="V1084" s="9">
        <f t="shared" si="254"/>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v>0</v>
      </c>
      <c r="BF1084" s="18">
        <v>0</v>
      </c>
      <c r="BG1084">
        <v>1</v>
      </c>
      <c r="BH1084">
        <v>0</v>
      </c>
      <c r="BI1084" s="18">
        <v>0</v>
      </c>
      <c r="BJ1084">
        <v>15116</v>
      </c>
      <c r="BK1084">
        <v>12548</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4042</v>
      </c>
      <c r="D1085" s="12">
        <v>4.84</v>
      </c>
      <c r="E1085" s="14">
        <v>0.19</v>
      </c>
      <c r="F1085" s="7">
        <f t="shared" si="259"/>
        <v>25.473684210526315</v>
      </c>
      <c r="G1085" s="7">
        <f t="shared" si="251"/>
        <v>4.6499999999999995</v>
      </c>
      <c r="H1085" s="16">
        <f t="shared" si="252"/>
        <v>5.03</v>
      </c>
      <c r="I1085" s="11">
        <f t="shared" si="255"/>
        <v>0.22504423749718469</v>
      </c>
      <c r="J1085" s="33">
        <f t="shared" si="256"/>
        <v>8.834381224063036E-3</v>
      </c>
      <c r="K1085" s="33">
        <f t="shared" si="257"/>
        <v>113.19411904890472</v>
      </c>
      <c r="L1085" s="8">
        <v>1</v>
      </c>
      <c r="M1085" s="9">
        <v>0</v>
      </c>
      <c r="N1085" s="8">
        <v>0</v>
      </c>
      <c r="O1085" s="9">
        <v>0</v>
      </c>
      <c r="P1085" s="9">
        <v>0</v>
      </c>
      <c r="Q1085" s="9">
        <v>1</v>
      </c>
      <c r="R1085" s="9">
        <v>0</v>
      </c>
      <c r="S1085" s="8">
        <v>12169</v>
      </c>
      <c r="T1085" s="9">
        <v>4</v>
      </c>
      <c r="U1085" s="9">
        <f t="shared" si="253"/>
        <v>12164</v>
      </c>
      <c r="V1085" s="9">
        <f t="shared" si="254"/>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v>0</v>
      </c>
      <c r="BF1085" s="18">
        <v>0</v>
      </c>
      <c r="BG1085">
        <v>1</v>
      </c>
      <c r="BH1085">
        <v>0</v>
      </c>
      <c r="BI1085" s="18">
        <v>0</v>
      </c>
      <c r="BJ1085">
        <v>15116</v>
      </c>
      <c r="BK1085">
        <v>12548</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4042</v>
      </c>
      <c r="D1086" s="12">
        <v>3.74</v>
      </c>
      <c r="E1086" s="14">
        <v>0.27</v>
      </c>
      <c r="F1086" s="7">
        <f t="shared" si="259"/>
        <v>13.851851851851851</v>
      </c>
      <c r="G1086" s="7">
        <f t="shared" si="251"/>
        <v>3.47</v>
      </c>
      <c r="H1086" s="16">
        <f t="shared" si="252"/>
        <v>4.01</v>
      </c>
      <c r="I1086" s="11">
        <f t="shared" si="255"/>
        <v>0.12463035605517775</v>
      </c>
      <c r="J1086" s="33">
        <f t="shared" si="256"/>
        <v>8.9973786456946508E-3</v>
      </c>
      <c r="K1086" s="33">
        <f t="shared" si="257"/>
        <v>111.14348293861252</v>
      </c>
      <c r="L1086" s="8">
        <v>1</v>
      </c>
      <c r="M1086" s="9">
        <v>0</v>
      </c>
      <c r="N1086" s="8">
        <v>0</v>
      </c>
      <c r="O1086" s="9">
        <v>0</v>
      </c>
      <c r="P1086" s="9">
        <v>0</v>
      </c>
      <c r="Q1086" s="9">
        <v>1</v>
      </c>
      <c r="R1086" s="9">
        <v>0</v>
      </c>
      <c r="S1086" s="8">
        <v>12169</v>
      </c>
      <c r="T1086" s="9">
        <v>7</v>
      </c>
      <c r="U1086" s="9">
        <f t="shared" si="253"/>
        <v>12161</v>
      </c>
      <c r="V1086" s="9">
        <f t="shared" si="254"/>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v>0</v>
      </c>
      <c r="BF1086" s="18">
        <v>0</v>
      </c>
      <c r="BG1086">
        <v>1</v>
      </c>
      <c r="BH1086">
        <v>0</v>
      </c>
      <c r="BI1086" s="18">
        <v>0</v>
      </c>
      <c r="BJ1086">
        <v>15116</v>
      </c>
      <c r="BK1086">
        <v>12548</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4042</v>
      </c>
      <c r="D1087" s="12">
        <v>3.95</v>
      </c>
      <c r="E1087" s="14">
        <v>0.21</v>
      </c>
      <c r="F1087" s="7">
        <f t="shared" si="259"/>
        <v>18.80952380952381</v>
      </c>
      <c r="G1087" s="7">
        <f t="shared" si="251"/>
        <v>3.74</v>
      </c>
      <c r="H1087" s="16">
        <f t="shared" si="252"/>
        <v>4.16</v>
      </c>
      <c r="I1087" s="11">
        <f t="shared" si="255"/>
        <v>0.18609797544868056</v>
      </c>
      <c r="J1087" s="33">
        <f t="shared" si="256"/>
        <v>9.8938164162589663E-3</v>
      </c>
      <c r="K1087" s="33">
        <f t="shared" si="257"/>
        <v>101.07323179725205</v>
      </c>
      <c r="L1087" s="8">
        <v>1</v>
      </c>
      <c r="M1087" s="9">
        <v>0</v>
      </c>
      <c r="N1087" s="8">
        <v>0</v>
      </c>
      <c r="O1087" s="9">
        <v>0</v>
      </c>
      <c r="P1087" s="9">
        <v>0</v>
      </c>
      <c r="Q1087" s="9">
        <v>1</v>
      </c>
      <c r="R1087" s="9">
        <v>0</v>
      </c>
      <c r="S1087" s="8">
        <v>9867</v>
      </c>
      <c r="T1087" s="9">
        <v>4</v>
      </c>
      <c r="U1087" s="9">
        <f t="shared" si="253"/>
        <v>9862</v>
      </c>
      <c r="V1087" s="9">
        <f t="shared" si="254"/>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v>0</v>
      </c>
      <c r="BF1087" s="18">
        <v>0</v>
      </c>
      <c r="BG1087">
        <v>1</v>
      </c>
      <c r="BH1087">
        <v>0</v>
      </c>
      <c r="BI1087" s="18">
        <v>0</v>
      </c>
      <c r="BJ1087">
        <v>15116</v>
      </c>
      <c r="BK1087">
        <v>12548</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4042</v>
      </c>
      <c r="D1088" s="12">
        <v>3.04</v>
      </c>
      <c r="E1088" s="14">
        <v>0.3</v>
      </c>
      <c r="F1088" s="7">
        <f t="shared" si="259"/>
        <v>10.133333333333335</v>
      </c>
      <c r="G1088" s="7">
        <f t="shared" si="251"/>
        <v>2.74</v>
      </c>
      <c r="H1088" s="16">
        <f t="shared" si="252"/>
        <v>3.34</v>
      </c>
      <c r="I1088" s="11">
        <f t="shared" si="255"/>
        <v>0.1015280251398188</v>
      </c>
      <c r="J1088" s="33">
        <f t="shared" si="256"/>
        <v>1.0019213007218961E-2</v>
      </c>
      <c r="K1088" s="33">
        <f t="shared" si="257"/>
        <v>99.808238359588543</v>
      </c>
      <c r="L1088" s="8">
        <v>1</v>
      </c>
      <c r="M1088" s="9">
        <v>0</v>
      </c>
      <c r="N1088" s="8">
        <v>0</v>
      </c>
      <c r="O1088" s="9">
        <v>0</v>
      </c>
      <c r="P1088" s="9">
        <v>0</v>
      </c>
      <c r="Q1088" s="9">
        <v>1</v>
      </c>
      <c r="R1088" s="9">
        <v>0</v>
      </c>
      <c r="S1088" s="8">
        <v>9867</v>
      </c>
      <c r="T1088" s="9">
        <v>7</v>
      </c>
      <c r="U1088" s="9">
        <f t="shared" si="253"/>
        <v>9859</v>
      </c>
      <c r="V1088" s="9">
        <f t="shared" si="254"/>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v>0</v>
      </c>
      <c r="BF1088" s="18">
        <v>0</v>
      </c>
      <c r="BG1088">
        <v>1</v>
      </c>
      <c r="BH1088">
        <v>0</v>
      </c>
      <c r="BI1088" s="18">
        <v>0</v>
      </c>
      <c r="BJ1088">
        <v>15116</v>
      </c>
      <c r="BK1088">
        <v>12548</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4042</v>
      </c>
      <c r="D1089" s="12">
        <v>6.26</v>
      </c>
      <c r="E1089" s="14">
        <v>0.44</v>
      </c>
      <c r="F1089" s="7">
        <f t="shared" si="259"/>
        <v>14.227272727272727</v>
      </c>
      <c r="G1089" s="7">
        <f t="shared" si="251"/>
        <v>5.8199999999999994</v>
      </c>
      <c r="H1089" s="16">
        <f t="shared" si="252"/>
        <v>6.7</v>
      </c>
      <c r="I1089" s="11">
        <f t="shared" si="255"/>
        <v>0.28457873574040454</v>
      </c>
      <c r="J1089" s="33">
        <f t="shared" si="256"/>
        <v>2.0002339253319169E-2</v>
      </c>
      <c r="K1089" s="33">
        <f t="shared" si="257"/>
        <v>49.994152550635349</v>
      </c>
      <c r="L1089" s="8">
        <v>1</v>
      </c>
      <c r="M1089" s="9">
        <v>0</v>
      </c>
      <c r="N1089" s="8">
        <v>0</v>
      </c>
      <c r="O1089" s="9">
        <v>0</v>
      </c>
      <c r="P1089" s="9">
        <v>0</v>
      </c>
      <c r="Q1089" s="9">
        <v>1</v>
      </c>
      <c r="R1089" s="9">
        <v>0</v>
      </c>
      <c r="S1089" s="8">
        <v>2302</v>
      </c>
      <c r="T1089" s="9">
        <v>4</v>
      </c>
      <c r="U1089" s="9">
        <f t="shared" si="253"/>
        <v>2297</v>
      </c>
      <c r="V1089" s="9">
        <f t="shared" si="254"/>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v>0</v>
      </c>
      <c r="BF1089" s="18">
        <v>0</v>
      </c>
      <c r="BG1089">
        <v>1</v>
      </c>
      <c r="BH1089">
        <v>0</v>
      </c>
      <c r="BI1089" s="18">
        <v>0</v>
      </c>
      <c r="BJ1089">
        <v>15116</v>
      </c>
      <c r="BK1089">
        <v>12548</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4042</v>
      </c>
      <c r="D1090" s="12">
        <v>6.24</v>
      </c>
      <c r="E1090" s="14">
        <v>0.73</v>
      </c>
      <c r="F1090" s="7">
        <f t="shared" si="259"/>
        <v>8.5479452054794525</v>
      </c>
      <c r="G1090" s="7">
        <f t="shared" ref="G1090:G1116" si="260">D1090-E1090</f>
        <v>5.51</v>
      </c>
      <c r="H1090" s="16">
        <f t="shared" ref="H1090:H1116" si="261">D1090+E1090</f>
        <v>6.9700000000000006</v>
      </c>
      <c r="I1090" s="11">
        <f t="shared" si="255"/>
        <v>0.17569379367320767</v>
      </c>
      <c r="J1090" s="33">
        <f t="shared" si="256"/>
        <v>2.0553921375231026E-2</v>
      </c>
      <c r="K1090" s="33">
        <f t="shared" si="257"/>
        <v>48.652516556041363</v>
      </c>
      <c r="L1090" s="8">
        <v>1</v>
      </c>
      <c r="M1090" s="9">
        <v>0</v>
      </c>
      <c r="N1090" s="8">
        <v>0</v>
      </c>
      <c r="O1090" s="9">
        <v>0</v>
      </c>
      <c r="P1090" s="9">
        <v>0</v>
      </c>
      <c r="Q1090" s="9">
        <v>1</v>
      </c>
      <c r="R1090" s="9">
        <v>0</v>
      </c>
      <c r="S1090" s="8">
        <v>2302</v>
      </c>
      <c r="T1090" s="9">
        <v>7</v>
      </c>
      <c r="U1090" s="9">
        <f t="shared" ref="U1090:U1116" si="262">S1090-T1090-1</f>
        <v>2294</v>
      </c>
      <c r="V1090" s="9">
        <f t="shared" ref="V1090:V1116" si="263">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v>0</v>
      </c>
      <c r="BF1090" s="18">
        <v>0</v>
      </c>
      <c r="BG1090">
        <v>1</v>
      </c>
      <c r="BH1090">
        <v>0</v>
      </c>
      <c r="BI1090" s="18">
        <v>0</v>
      </c>
      <c r="BJ1090">
        <v>15116</v>
      </c>
      <c r="BK1090">
        <v>12548</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4050</v>
      </c>
      <c r="D1091" s="12">
        <v>6.51</v>
      </c>
      <c r="E1091" s="14">
        <f t="shared" ref="E1091:E1102" si="264">D1091/F1091</f>
        <v>0.1207120341183015</v>
      </c>
      <c r="F1091" s="7">
        <v>53.93</v>
      </c>
      <c r="G1091" s="7">
        <f t="shared" si="260"/>
        <v>6.3892879658816986</v>
      </c>
      <c r="H1091" s="16">
        <f t="shared" si="261"/>
        <v>6.630712034118301</v>
      </c>
      <c r="I1091" s="11">
        <f t="shared" si="255"/>
        <v>0.15010208877533671</v>
      </c>
      <c r="J1091" s="33">
        <f t="shared" si="256"/>
        <v>2.7832762613635583E-3</v>
      </c>
      <c r="K1091" s="33">
        <f t="shared" si="257"/>
        <v>359.28880430650776</v>
      </c>
      <c r="L1091" s="8">
        <v>0</v>
      </c>
      <c r="M1091" s="9">
        <v>1</v>
      </c>
      <c r="N1091" s="8">
        <v>0</v>
      </c>
      <c r="O1091" s="9">
        <v>0</v>
      </c>
      <c r="P1091" s="9">
        <v>0</v>
      </c>
      <c r="Q1091" s="9">
        <v>1</v>
      </c>
      <c r="R1091" s="9">
        <v>0</v>
      </c>
      <c r="S1091" s="8">
        <v>126199</v>
      </c>
      <c r="T1091" s="9">
        <v>18</v>
      </c>
      <c r="U1091" s="9">
        <f t="shared" si="262"/>
        <v>126180</v>
      </c>
      <c r="V1091" s="9">
        <f t="shared" si="263"/>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65">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v>0</v>
      </c>
      <c r="BF1091" s="18">
        <v>0</v>
      </c>
      <c r="BG1091">
        <v>1</v>
      </c>
      <c r="BH1091">
        <v>0</v>
      </c>
      <c r="BI1091" s="18">
        <v>0</v>
      </c>
      <c r="BJ1091">
        <v>30105</v>
      </c>
      <c r="BK1091">
        <v>22902</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4050</v>
      </c>
      <c r="D1092" s="12">
        <v>5.52</v>
      </c>
      <c r="E1092" s="14">
        <f t="shared" si="264"/>
        <v>0.1047637122793699</v>
      </c>
      <c r="F1092" s="7">
        <v>52.69</v>
      </c>
      <c r="G1092" s="7">
        <f t="shared" si="260"/>
        <v>5.4152362877206297</v>
      </c>
      <c r="H1092" s="16">
        <f t="shared" si="261"/>
        <v>5.6247637122793694</v>
      </c>
      <c r="I1092" s="11">
        <f t="shared" si="255"/>
        <v>0.14672598179695628</v>
      </c>
      <c r="J1092" s="33">
        <f t="shared" si="256"/>
        <v>2.7847026342181871E-3</v>
      </c>
      <c r="K1092" s="33">
        <f t="shared" si="257"/>
        <v>359.10477036653242</v>
      </c>
      <c r="L1092" s="8">
        <v>0</v>
      </c>
      <c r="M1092" s="9">
        <v>1</v>
      </c>
      <c r="N1092" s="8">
        <v>0</v>
      </c>
      <c r="O1092" s="9">
        <v>0</v>
      </c>
      <c r="P1092" s="9">
        <v>0</v>
      </c>
      <c r="Q1092" s="9">
        <v>1</v>
      </c>
      <c r="R1092" s="9">
        <v>0</v>
      </c>
      <c r="S1092" s="8">
        <v>126199</v>
      </c>
      <c r="T1092" s="9">
        <v>18</v>
      </c>
      <c r="U1092" s="9">
        <f t="shared" si="262"/>
        <v>126180</v>
      </c>
      <c r="V1092" s="9">
        <f t="shared" si="263"/>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65"/>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v>0</v>
      </c>
      <c r="BF1092" s="18">
        <v>0</v>
      </c>
      <c r="BG1092">
        <v>1</v>
      </c>
      <c r="BH1092">
        <v>0</v>
      </c>
      <c r="BI1092" s="18">
        <v>0</v>
      </c>
      <c r="BJ1092">
        <v>30105</v>
      </c>
      <c r="BK1092">
        <v>22902</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4050</v>
      </c>
      <c r="D1093" s="12">
        <v>6.47</v>
      </c>
      <c r="E1093" s="14">
        <f t="shared" si="264"/>
        <v>0.11959334565619223</v>
      </c>
      <c r="F1093" s="7">
        <v>54.1</v>
      </c>
      <c r="G1093" s="7">
        <f t="shared" si="260"/>
        <v>6.3504066543438071</v>
      </c>
      <c r="H1093" s="16">
        <f t="shared" si="261"/>
        <v>6.5895933456561924</v>
      </c>
      <c r="I1093" s="11">
        <f t="shared" si="255"/>
        <v>0.15056453589497909</v>
      </c>
      <c r="J1093" s="33">
        <f t="shared" si="256"/>
        <v>2.7830782975042344E-3</v>
      </c>
      <c r="K1093" s="33">
        <f t="shared" si="257"/>
        <v>359.31436097100266</v>
      </c>
      <c r="L1093" s="8">
        <v>0</v>
      </c>
      <c r="M1093" s="9">
        <v>1</v>
      </c>
      <c r="N1093" s="8">
        <v>0</v>
      </c>
      <c r="O1093" s="9">
        <v>0</v>
      </c>
      <c r="P1093" s="9">
        <v>0</v>
      </c>
      <c r="Q1093" s="9">
        <v>1</v>
      </c>
      <c r="R1093" s="9">
        <v>0</v>
      </c>
      <c r="S1093" s="8">
        <v>126199</v>
      </c>
      <c r="T1093" s="9">
        <v>18</v>
      </c>
      <c r="U1093" s="9">
        <f t="shared" si="262"/>
        <v>126180</v>
      </c>
      <c r="V1093" s="9">
        <f t="shared" si="263"/>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65"/>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v>0</v>
      </c>
      <c r="BF1093" s="18">
        <v>0</v>
      </c>
      <c r="BG1093">
        <v>1</v>
      </c>
      <c r="BH1093">
        <v>0</v>
      </c>
      <c r="BI1093" s="18">
        <v>0</v>
      </c>
      <c r="BJ1093">
        <v>30105</v>
      </c>
      <c r="BK1093">
        <v>22902</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4050</v>
      </c>
      <c r="D1094" s="12">
        <v>5.53</v>
      </c>
      <c r="E1094" s="14">
        <f t="shared" si="264"/>
        <v>0.10533333333333333</v>
      </c>
      <c r="F1094" s="7">
        <v>52.5</v>
      </c>
      <c r="G1094" s="7">
        <f t="shared" si="260"/>
        <v>5.424666666666667</v>
      </c>
      <c r="H1094" s="16">
        <f t="shared" si="261"/>
        <v>5.6353333333333335</v>
      </c>
      <c r="I1094" s="11">
        <f t="shared" si="255"/>
        <v>0.14620821867254594</v>
      </c>
      <c r="J1094" s="33">
        <f t="shared" si="256"/>
        <v>2.7849184509056366E-3</v>
      </c>
      <c r="K1094" s="33">
        <f t="shared" si="257"/>
        <v>359.07694161558186</v>
      </c>
      <c r="L1094" s="8">
        <v>0</v>
      </c>
      <c r="M1094" s="9">
        <v>1</v>
      </c>
      <c r="N1094" s="8">
        <v>0</v>
      </c>
      <c r="O1094" s="9">
        <v>0</v>
      </c>
      <c r="P1094" s="9">
        <v>0</v>
      </c>
      <c r="Q1094" s="9">
        <v>1</v>
      </c>
      <c r="R1094" s="9">
        <v>0</v>
      </c>
      <c r="S1094" s="8">
        <v>126199</v>
      </c>
      <c r="T1094" s="9">
        <v>18</v>
      </c>
      <c r="U1094" s="9">
        <f t="shared" si="262"/>
        <v>126180</v>
      </c>
      <c r="V1094" s="9">
        <f t="shared" si="263"/>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65"/>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v>0</v>
      </c>
      <c r="BF1094" s="18">
        <v>0</v>
      </c>
      <c r="BG1094">
        <v>1</v>
      </c>
      <c r="BH1094">
        <v>0</v>
      </c>
      <c r="BI1094" s="18">
        <v>0</v>
      </c>
      <c r="BJ1094">
        <v>30105</v>
      </c>
      <c r="BK1094">
        <v>22902</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4050</v>
      </c>
      <c r="D1095" s="12">
        <v>6.47</v>
      </c>
      <c r="E1095" s="14">
        <f t="shared" si="264"/>
        <v>0.18683222639330058</v>
      </c>
      <c r="F1095" s="7">
        <v>34.630000000000003</v>
      </c>
      <c r="G1095" s="7">
        <f t="shared" si="260"/>
        <v>6.2831677736066993</v>
      </c>
      <c r="H1095" s="16">
        <f t="shared" si="261"/>
        <v>6.6568322263933002</v>
      </c>
      <c r="I1095" s="11">
        <f t="shared" si="255"/>
        <v>0.13532895810771067</v>
      </c>
      <c r="J1095" s="33">
        <f t="shared" si="256"/>
        <v>3.9078532517386848E-3</v>
      </c>
      <c r="K1095" s="33">
        <f t="shared" si="257"/>
        <v>255.89497240078791</v>
      </c>
      <c r="L1095" s="8">
        <v>0</v>
      </c>
      <c r="M1095" s="9">
        <v>1</v>
      </c>
      <c r="N1095" s="8">
        <v>0</v>
      </c>
      <c r="O1095" s="9">
        <v>0</v>
      </c>
      <c r="P1095" s="9">
        <v>0</v>
      </c>
      <c r="Q1095" s="9">
        <v>1</v>
      </c>
      <c r="R1095" s="9">
        <v>0</v>
      </c>
      <c r="S1095" s="8">
        <v>64302</v>
      </c>
      <c r="T1095" s="9">
        <v>18</v>
      </c>
      <c r="U1095" s="9">
        <f t="shared" si="262"/>
        <v>64283</v>
      </c>
      <c r="V1095" s="9">
        <f t="shared" si="263"/>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65"/>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v>0</v>
      </c>
      <c r="BF1095" s="18">
        <v>0</v>
      </c>
      <c r="BG1095">
        <v>1</v>
      </c>
      <c r="BH1095">
        <v>0</v>
      </c>
      <c r="BI1095" s="18">
        <v>0</v>
      </c>
      <c r="BJ1095">
        <v>30105</v>
      </c>
      <c r="BK1095">
        <v>22902</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4050</v>
      </c>
      <c r="D1096" s="12">
        <v>5.39</v>
      </c>
      <c r="E1096" s="14">
        <f t="shared" si="264"/>
        <v>0.16181326928850193</v>
      </c>
      <c r="F1096" s="7">
        <v>33.31</v>
      </c>
      <c r="G1096" s="7">
        <f t="shared" si="260"/>
        <v>5.2281867307114975</v>
      </c>
      <c r="H1096" s="16">
        <f t="shared" si="261"/>
        <v>5.5518132692885018</v>
      </c>
      <c r="I1096" s="11">
        <f t="shared" ref="I1096:I1116" si="266">IFERROR(F1096/SQRT(F1096^2+U1096), "X")</f>
        <v>0.13025982064986313</v>
      </c>
      <c r="J1096" s="33">
        <f t="shared" ref="J1096:J1116" si="267">IFERROR(SQRT((1-I1096^2)/U1096), "X")</f>
        <v>3.9105319918902167E-3</v>
      </c>
      <c r="K1096" s="33">
        <f t="shared" ref="K1096:K1116" si="268">IFERROR(1/J1096, "X")</f>
        <v>255.71968266052579</v>
      </c>
      <c r="L1096" s="8">
        <v>0</v>
      </c>
      <c r="M1096" s="9">
        <v>1</v>
      </c>
      <c r="N1096" s="8">
        <v>0</v>
      </c>
      <c r="O1096" s="9">
        <v>0</v>
      </c>
      <c r="P1096" s="9">
        <v>0</v>
      </c>
      <c r="Q1096" s="9">
        <v>1</v>
      </c>
      <c r="R1096" s="9">
        <v>0</v>
      </c>
      <c r="S1096" s="8">
        <v>64302</v>
      </c>
      <c r="T1096" s="9">
        <v>18</v>
      </c>
      <c r="U1096" s="9">
        <f t="shared" si="262"/>
        <v>64283</v>
      </c>
      <c r="V1096" s="9">
        <f t="shared" si="263"/>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65"/>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v>0</v>
      </c>
      <c r="BF1096" s="18">
        <v>0</v>
      </c>
      <c r="BG1096">
        <v>1</v>
      </c>
      <c r="BH1096">
        <v>0</v>
      </c>
      <c r="BI1096" s="18">
        <v>0</v>
      </c>
      <c r="BJ1096">
        <v>30105</v>
      </c>
      <c r="BK1096">
        <v>22902</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4050</v>
      </c>
      <c r="D1097" s="12">
        <v>6.51</v>
      </c>
      <c r="E1097" s="14">
        <f t="shared" si="264"/>
        <v>0.16303531179564237</v>
      </c>
      <c r="F1097" s="7">
        <v>39.93</v>
      </c>
      <c r="G1097" s="7">
        <f t="shared" si="260"/>
        <v>6.3469646882043573</v>
      </c>
      <c r="H1097" s="16">
        <f t="shared" si="261"/>
        <v>6.6730353117956422</v>
      </c>
      <c r="I1097" s="11">
        <f t="shared" si="266"/>
        <v>0.15849181301720344</v>
      </c>
      <c r="J1097" s="33">
        <f t="shared" si="267"/>
        <v>3.9692414980516764E-3</v>
      </c>
      <c r="K1097" s="33">
        <f t="shared" si="268"/>
        <v>251.93730351021861</v>
      </c>
      <c r="L1097" s="8">
        <v>0</v>
      </c>
      <c r="M1097" s="9">
        <v>1</v>
      </c>
      <c r="N1097" s="8">
        <v>0</v>
      </c>
      <c r="O1097" s="9">
        <v>0</v>
      </c>
      <c r="P1097" s="9">
        <v>0</v>
      </c>
      <c r="Q1097" s="9">
        <v>1</v>
      </c>
      <c r="R1097" s="9">
        <v>0</v>
      </c>
      <c r="S1097" s="8">
        <v>61897</v>
      </c>
      <c r="T1097" s="9">
        <v>18</v>
      </c>
      <c r="U1097" s="9">
        <f t="shared" si="262"/>
        <v>61878</v>
      </c>
      <c r="V1097" s="9">
        <f t="shared" si="263"/>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65"/>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v>0</v>
      </c>
      <c r="BF1097" s="18">
        <v>0</v>
      </c>
      <c r="BG1097">
        <v>1</v>
      </c>
      <c r="BH1097">
        <v>0</v>
      </c>
      <c r="BI1097" s="18">
        <v>0</v>
      </c>
      <c r="BJ1097">
        <v>30105</v>
      </c>
      <c r="BK1097">
        <v>22902</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4050</v>
      </c>
      <c r="D1098" s="12">
        <v>5.55</v>
      </c>
      <c r="E1098" s="14">
        <f t="shared" si="264"/>
        <v>0.1410060975609756</v>
      </c>
      <c r="F1098" s="7">
        <v>39.36</v>
      </c>
      <c r="G1098" s="7">
        <f t="shared" si="260"/>
        <v>5.4089939024390246</v>
      </c>
      <c r="H1098" s="16">
        <f t="shared" si="261"/>
        <v>5.6910060975609751</v>
      </c>
      <c r="I1098" s="11">
        <f t="shared" si="266"/>
        <v>0.15628499635930793</v>
      </c>
      <c r="J1098" s="33">
        <f t="shared" si="267"/>
        <v>3.97065539530762E-3</v>
      </c>
      <c r="K1098" s="33">
        <f t="shared" si="268"/>
        <v>251.84759200754732</v>
      </c>
      <c r="L1098" s="8">
        <v>0</v>
      </c>
      <c r="M1098" s="9">
        <v>1</v>
      </c>
      <c r="N1098" s="8">
        <v>0</v>
      </c>
      <c r="O1098" s="9">
        <v>0</v>
      </c>
      <c r="P1098" s="9">
        <v>0</v>
      </c>
      <c r="Q1098" s="9">
        <v>1</v>
      </c>
      <c r="R1098" s="9">
        <v>0</v>
      </c>
      <c r="S1098" s="8">
        <v>61897</v>
      </c>
      <c r="T1098" s="9">
        <v>18</v>
      </c>
      <c r="U1098" s="9">
        <f t="shared" si="262"/>
        <v>61878</v>
      </c>
      <c r="V1098" s="9">
        <f t="shared" si="263"/>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65"/>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v>0</v>
      </c>
      <c r="BF1098" s="18">
        <v>0</v>
      </c>
      <c r="BG1098">
        <v>1</v>
      </c>
      <c r="BH1098">
        <v>0</v>
      </c>
      <c r="BI1098" s="18">
        <v>0</v>
      </c>
      <c r="BJ1098">
        <v>30105</v>
      </c>
      <c r="BK1098">
        <v>22902</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4050</v>
      </c>
      <c r="D1099" s="12">
        <v>6.55</v>
      </c>
      <c r="E1099" s="14">
        <f t="shared" si="264"/>
        <v>0.14070891514500539</v>
      </c>
      <c r="F1099" s="7">
        <v>46.55</v>
      </c>
      <c r="G1099" s="7">
        <f t="shared" si="260"/>
        <v>6.4092910848549947</v>
      </c>
      <c r="H1099" s="16">
        <f t="shared" si="261"/>
        <v>6.690708915145005</v>
      </c>
      <c r="I1099" s="11">
        <f t="shared" si="266"/>
        <v>0.16672821915906277</v>
      </c>
      <c r="J1099" s="33">
        <f t="shared" si="267"/>
        <v>3.581701807928309E-3</v>
      </c>
      <c r="K1099" s="33">
        <f t="shared" si="268"/>
        <v>279.1968884138933</v>
      </c>
      <c r="L1099" s="8">
        <v>0</v>
      </c>
      <c r="M1099" s="9">
        <v>1</v>
      </c>
      <c r="N1099" s="8">
        <v>0</v>
      </c>
      <c r="O1099" s="9">
        <v>0</v>
      </c>
      <c r="P1099" s="9">
        <v>0</v>
      </c>
      <c r="Q1099" s="9">
        <v>1</v>
      </c>
      <c r="R1099" s="9">
        <v>0</v>
      </c>
      <c r="S1099" s="8">
        <v>75803</v>
      </c>
      <c r="T1099" s="9">
        <v>18</v>
      </c>
      <c r="U1099" s="9">
        <f t="shared" si="262"/>
        <v>75784</v>
      </c>
      <c r="V1099" s="9">
        <f t="shared" si="263"/>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65"/>
        <v>0.65700000000000003</v>
      </c>
      <c r="AN1099" s="43">
        <v>0.25</v>
      </c>
      <c r="AO1099" s="42" t="s">
        <v>98</v>
      </c>
      <c r="AP1099" s="18" t="s">
        <v>98</v>
      </c>
      <c r="AQ1099" s="33">
        <v>0.50949999999999995</v>
      </c>
      <c r="AR1099" s="40">
        <f t="shared" ref="AR1099:AR1116" si="269">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v>0</v>
      </c>
      <c r="BF1099" s="18">
        <v>0</v>
      </c>
      <c r="BG1099">
        <v>1</v>
      </c>
      <c r="BH1099">
        <v>0</v>
      </c>
      <c r="BI1099" s="18">
        <v>0</v>
      </c>
      <c r="BJ1099">
        <v>30105</v>
      </c>
      <c r="BK1099">
        <v>22902</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4050</v>
      </c>
      <c r="D1100" s="12">
        <v>5.61</v>
      </c>
      <c r="E1100" s="14">
        <f t="shared" si="264"/>
        <v>0.12384105960264902</v>
      </c>
      <c r="F1100" s="7">
        <v>45.3</v>
      </c>
      <c r="G1100" s="7">
        <f t="shared" si="260"/>
        <v>5.4861589403973516</v>
      </c>
      <c r="H1100" s="16">
        <f t="shared" si="261"/>
        <v>5.733841059602649</v>
      </c>
      <c r="I1100" s="11">
        <f t="shared" si="266"/>
        <v>0.16237071243156162</v>
      </c>
      <c r="J1100" s="33">
        <f t="shared" si="267"/>
        <v>3.5843424377828173E-3</v>
      </c>
      <c r="K1100" s="33">
        <f t="shared" si="268"/>
        <v>278.99120057808273</v>
      </c>
      <c r="L1100" s="8">
        <v>0</v>
      </c>
      <c r="M1100" s="9">
        <v>1</v>
      </c>
      <c r="N1100" s="8">
        <v>0</v>
      </c>
      <c r="O1100" s="9">
        <v>0</v>
      </c>
      <c r="P1100" s="9">
        <v>0</v>
      </c>
      <c r="Q1100" s="9">
        <v>1</v>
      </c>
      <c r="R1100" s="9">
        <v>0</v>
      </c>
      <c r="S1100" s="8">
        <v>75803</v>
      </c>
      <c r="T1100" s="9">
        <v>18</v>
      </c>
      <c r="U1100" s="9">
        <f t="shared" si="262"/>
        <v>75784</v>
      </c>
      <c r="V1100" s="9">
        <f t="shared" si="263"/>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65"/>
        <v>0.65700000000000003</v>
      </c>
      <c r="AN1100" s="43">
        <v>0.25</v>
      </c>
      <c r="AO1100" s="42" t="s">
        <v>98</v>
      </c>
      <c r="AP1100" s="18" t="s">
        <v>98</v>
      </c>
      <c r="AQ1100" s="33">
        <v>0.50949999999999995</v>
      </c>
      <c r="AR1100" s="40">
        <f t="shared" si="269"/>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v>0</v>
      </c>
      <c r="BF1100" s="18">
        <v>0</v>
      </c>
      <c r="BG1100">
        <v>1</v>
      </c>
      <c r="BH1100">
        <v>0</v>
      </c>
      <c r="BI1100" s="18">
        <v>0</v>
      </c>
      <c r="BJ1100">
        <v>30105</v>
      </c>
      <c r="BK1100">
        <v>22902</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4050</v>
      </c>
      <c r="D1101" s="12">
        <v>6.24</v>
      </c>
      <c r="E1101" s="14">
        <f t="shared" si="264"/>
        <v>0.19734345351043645</v>
      </c>
      <c r="F1101" s="7">
        <v>31.62</v>
      </c>
      <c r="G1101" s="7">
        <f t="shared" si="260"/>
        <v>6.0426565464895639</v>
      </c>
      <c r="H1101" s="16">
        <f t="shared" si="261"/>
        <v>6.4373434535104366</v>
      </c>
      <c r="I1101" s="11">
        <f t="shared" si="266"/>
        <v>0.13950129431494229</v>
      </c>
      <c r="J1101" s="33">
        <f t="shared" si="267"/>
        <v>4.4118056393087383E-3</v>
      </c>
      <c r="K1101" s="33">
        <f t="shared" si="268"/>
        <v>226.66456361769477</v>
      </c>
      <c r="L1101" s="8">
        <v>0</v>
      </c>
      <c r="M1101" s="9">
        <v>1</v>
      </c>
      <c r="N1101" s="8">
        <v>0</v>
      </c>
      <c r="O1101" s="9">
        <v>0</v>
      </c>
      <c r="P1101" s="9">
        <v>0</v>
      </c>
      <c r="Q1101" s="9">
        <v>1</v>
      </c>
      <c r="R1101" s="9">
        <v>0</v>
      </c>
      <c r="S1101" s="8">
        <v>50396</v>
      </c>
      <c r="T1101" s="9">
        <v>18</v>
      </c>
      <c r="U1101" s="9">
        <f t="shared" si="262"/>
        <v>50377</v>
      </c>
      <c r="V1101" s="9">
        <f t="shared" si="263"/>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65"/>
        <v>0.65700000000000003</v>
      </c>
      <c r="AN1101" s="43">
        <v>0.25</v>
      </c>
      <c r="AO1101" s="42" t="s">
        <v>98</v>
      </c>
      <c r="AP1101" s="18" t="s">
        <v>98</v>
      </c>
      <c r="AQ1101" s="33">
        <v>0.50949999999999995</v>
      </c>
      <c r="AR1101" s="40">
        <f t="shared" si="269"/>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v>0</v>
      </c>
      <c r="BF1101" s="18">
        <v>0</v>
      </c>
      <c r="BG1101">
        <v>1</v>
      </c>
      <c r="BH1101">
        <v>0</v>
      </c>
      <c r="BI1101" s="18">
        <v>0</v>
      </c>
      <c r="BJ1101">
        <v>30105</v>
      </c>
      <c r="BK1101">
        <v>22902</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4050</v>
      </c>
      <c r="D1102" s="12">
        <v>5.21</v>
      </c>
      <c r="E1102" s="14">
        <f t="shared" si="264"/>
        <v>0.1722883597883598</v>
      </c>
      <c r="F1102" s="7">
        <v>30.24</v>
      </c>
      <c r="G1102" s="7">
        <f t="shared" si="260"/>
        <v>5.03771164021164</v>
      </c>
      <c r="H1102" s="16">
        <f t="shared" si="261"/>
        <v>5.38228835978836</v>
      </c>
      <c r="I1102" s="11">
        <f t="shared" si="266"/>
        <v>0.13352397916259445</v>
      </c>
      <c r="J1102" s="33">
        <f t="shared" si="267"/>
        <v>4.4154755014085469E-3</v>
      </c>
      <c r="K1102" s="33">
        <f t="shared" si="268"/>
        <v>226.4761744643352</v>
      </c>
      <c r="L1102" s="8">
        <v>0</v>
      </c>
      <c r="M1102" s="9">
        <v>1</v>
      </c>
      <c r="N1102" s="8">
        <v>0</v>
      </c>
      <c r="O1102" s="9">
        <v>0</v>
      </c>
      <c r="P1102" s="9">
        <v>0</v>
      </c>
      <c r="Q1102" s="9">
        <v>1</v>
      </c>
      <c r="R1102" s="9">
        <v>0</v>
      </c>
      <c r="S1102" s="8">
        <v>50396</v>
      </c>
      <c r="T1102" s="9">
        <v>18</v>
      </c>
      <c r="U1102" s="9">
        <f t="shared" si="262"/>
        <v>50377</v>
      </c>
      <c r="V1102" s="9">
        <f t="shared" si="263"/>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65"/>
        <v>0.65700000000000003</v>
      </c>
      <c r="AN1102" s="43">
        <v>0.25</v>
      </c>
      <c r="AO1102" s="42" t="s">
        <v>98</v>
      </c>
      <c r="AP1102" s="18" t="s">
        <v>98</v>
      </c>
      <c r="AQ1102" s="33">
        <v>0.50949999999999995</v>
      </c>
      <c r="AR1102" s="40">
        <f t="shared" si="269"/>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v>0</v>
      </c>
      <c r="BF1102" s="18">
        <v>0</v>
      </c>
      <c r="BG1102">
        <v>1</v>
      </c>
      <c r="BH1102">
        <v>0</v>
      </c>
      <c r="BI1102" s="18">
        <v>0</v>
      </c>
      <c r="BJ1102">
        <v>30105</v>
      </c>
      <c r="BK1102">
        <v>22902</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4059</v>
      </c>
      <c r="D1103" s="12">
        <v>7.2</v>
      </c>
      <c r="E1103" s="14">
        <v>0.6</v>
      </c>
      <c r="F1103" s="7">
        <f t="shared" ref="F1103:F1116" si="270">D1103/E1103</f>
        <v>12</v>
      </c>
      <c r="G1103" s="7">
        <f t="shared" si="260"/>
        <v>6.6000000000000005</v>
      </c>
      <c r="H1103" s="16">
        <f t="shared" si="261"/>
        <v>7.8</v>
      </c>
      <c r="I1103" s="11">
        <f t="shared" si="266"/>
        <v>0.20433118274318615</v>
      </c>
      <c r="J1103" s="33">
        <f t="shared" si="267"/>
        <v>1.7027598561932179E-2</v>
      </c>
      <c r="K1103" s="33">
        <f t="shared" si="268"/>
        <v>58.728187440104094</v>
      </c>
      <c r="L1103" s="8">
        <v>1</v>
      </c>
      <c r="M1103" s="9">
        <v>0</v>
      </c>
      <c r="N1103" s="8">
        <v>0</v>
      </c>
      <c r="O1103" s="9">
        <v>1</v>
      </c>
      <c r="P1103" s="9">
        <v>0</v>
      </c>
      <c r="Q1103" s="9">
        <v>0</v>
      </c>
      <c r="R1103" s="9">
        <v>0</v>
      </c>
      <c r="S1103" s="8">
        <v>3316</v>
      </c>
      <c r="T1103" s="9">
        <v>10</v>
      </c>
      <c r="U1103" s="9">
        <f t="shared" si="262"/>
        <v>3305</v>
      </c>
      <c r="V1103" s="9">
        <f t="shared" si="263"/>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69"/>
        <v>0</v>
      </c>
      <c r="AS1103">
        <v>0.82199999999999995</v>
      </c>
      <c r="AT1103" s="40">
        <v>0.17799999999999999</v>
      </c>
      <c r="AU1103">
        <v>0</v>
      </c>
      <c r="AV1103" s="18">
        <v>1</v>
      </c>
      <c r="AW1103">
        <v>0</v>
      </c>
      <c r="AX1103" s="18">
        <v>1</v>
      </c>
      <c r="AY1103" s="18" t="s">
        <v>5</v>
      </c>
      <c r="AZ1103">
        <v>0</v>
      </c>
      <c r="BA1103">
        <v>1</v>
      </c>
      <c r="BB1103">
        <v>0</v>
      </c>
      <c r="BC1103">
        <v>0</v>
      </c>
      <c r="BD1103">
        <v>0</v>
      </c>
      <c r="BE1103">
        <v>0</v>
      </c>
      <c r="BF1103" s="18">
        <v>0</v>
      </c>
      <c r="BG1103">
        <v>0</v>
      </c>
      <c r="BH1103">
        <v>1</v>
      </c>
      <c r="BI1103" s="18">
        <v>0</v>
      </c>
      <c r="BJ1103">
        <v>1732</v>
      </c>
      <c r="BK1103">
        <v>201</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4059</v>
      </c>
      <c r="D1104" s="12">
        <v>9.1</v>
      </c>
      <c r="E1104" s="14">
        <v>2.2999999999999998</v>
      </c>
      <c r="F1104" s="7">
        <f t="shared" si="270"/>
        <v>3.956521739130435</v>
      </c>
      <c r="G1104" s="7">
        <f t="shared" si="260"/>
        <v>6.8</v>
      </c>
      <c r="H1104" s="16">
        <f t="shared" si="261"/>
        <v>11.399999999999999</v>
      </c>
      <c r="I1104" s="11">
        <f t="shared" si="266"/>
        <v>6.8649338379801333E-2</v>
      </c>
      <c r="J1104" s="33">
        <f t="shared" si="267"/>
        <v>1.7350931678411324E-2</v>
      </c>
      <c r="K1104" s="33">
        <f t="shared" si="268"/>
        <v>57.633792728504446</v>
      </c>
      <c r="L1104" s="8">
        <v>1</v>
      </c>
      <c r="M1104" s="9">
        <v>0</v>
      </c>
      <c r="N1104" s="8">
        <v>0</v>
      </c>
      <c r="O1104" s="9">
        <v>1</v>
      </c>
      <c r="P1104" s="9">
        <v>0</v>
      </c>
      <c r="Q1104" s="9">
        <v>0</v>
      </c>
      <c r="R1104" s="9">
        <v>0</v>
      </c>
      <c r="S1104" s="8">
        <v>3316</v>
      </c>
      <c r="T1104" s="9">
        <v>9</v>
      </c>
      <c r="U1104" s="9">
        <f t="shared" si="262"/>
        <v>3306</v>
      </c>
      <c r="V1104" s="9">
        <f t="shared" si="263"/>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69"/>
        <v>0</v>
      </c>
      <c r="AS1104">
        <v>0.82199999999999995</v>
      </c>
      <c r="AT1104" s="40">
        <v>0.17799999999999999</v>
      </c>
      <c r="AU1104">
        <v>0</v>
      </c>
      <c r="AV1104" s="18">
        <v>1</v>
      </c>
      <c r="AW1104">
        <v>0</v>
      </c>
      <c r="AX1104" s="18">
        <v>1</v>
      </c>
      <c r="AY1104" s="18" t="s">
        <v>5</v>
      </c>
      <c r="AZ1104">
        <v>0</v>
      </c>
      <c r="BA1104">
        <v>1</v>
      </c>
      <c r="BB1104">
        <v>0</v>
      </c>
      <c r="BC1104">
        <v>0</v>
      </c>
      <c r="BD1104">
        <v>0</v>
      </c>
      <c r="BE1104">
        <v>0</v>
      </c>
      <c r="BF1104" s="18">
        <v>0</v>
      </c>
      <c r="BG1104">
        <v>0</v>
      </c>
      <c r="BH1104">
        <v>1</v>
      </c>
      <c r="BI1104" s="18">
        <v>0</v>
      </c>
      <c r="BJ1104">
        <v>1732</v>
      </c>
      <c r="BK1104">
        <v>201</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4059</v>
      </c>
      <c r="D1105" s="12">
        <v>5.7</v>
      </c>
      <c r="E1105" s="14">
        <v>0.6</v>
      </c>
      <c r="F1105" s="7">
        <f t="shared" si="270"/>
        <v>9.5</v>
      </c>
      <c r="G1105" s="7">
        <f t="shared" si="260"/>
        <v>5.1000000000000005</v>
      </c>
      <c r="H1105" s="16">
        <f t="shared" si="261"/>
        <v>6.3</v>
      </c>
      <c r="I1105" s="11">
        <f t="shared" si="266"/>
        <v>0.1889355130790461</v>
      </c>
      <c r="J1105" s="33">
        <f t="shared" si="267"/>
        <v>1.9887948745162747E-2</v>
      </c>
      <c r="K1105" s="33">
        <f t="shared" si="268"/>
        <v>50.281706414957718</v>
      </c>
      <c r="L1105" s="8">
        <v>1</v>
      </c>
      <c r="M1105" s="9">
        <v>0</v>
      </c>
      <c r="N1105" s="8">
        <v>0</v>
      </c>
      <c r="O1105" s="9">
        <v>1</v>
      </c>
      <c r="P1105" s="9">
        <v>0</v>
      </c>
      <c r="Q1105" s="9">
        <v>0</v>
      </c>
      <c r="R1105" s="9">
        <v>0</v>
      </c>
      <c r="S1105" s="8">
        <v>2451</v>
      </c>
      <c r="T1105" s="9">
        <v>12</v>
      </c>
      <c r="U1105" s="9">
        <f t="shared" si="262"/>
        <v>2438</v>
      </c>
      <c r="V1105" s="9">
        <f t="shared" si="263"/>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69"/>
        <v>1</v>
      </c>
      <c r="AS1105">
        <v>0.82199999999999995</v>
      </c>
      <c r="AT1105" s="40">
        <v>0.17799999999999999</v>
      </c>
      <c r="AU1105">
        <v>0</v>
      </c>
      <c r="AV1105" s="18">
        <v>1</v>
      </c>
      <c r="AW1105">
        <v>0</v>
      </c>
      <c r="AX1105" s="18">
        <v>1</v>
      </c>
      <c r="AY1105" s="18" t="s">
        <v>5</v>
      </c>
      <c r="AZ1105">
        <v>0</v>
      </c>
      <c r="BA1105">
        <v>1</v>
      </c>
      <c r="BB1105">
        <v>0</v>
      </c>
      <c r="BC1105">
        <v>0</v>
      </c>
      <c r="BD1105">
        <v>0</v>
      </c>
      <c r="BE1105">
        <v>0</v>
      </c>
      <c r="BF1105" s="18">
        <v>0</v>
      </c>
      <c r="BG1105">
        <v>0</v>
      </c>
      <c r="BH1105">
        <v>1</v>
      </c>
      <c r="BI1105" s="18">
        <v>0</v>
      </c>
      <c r="BJ1105">
        <v>1732</v>
      </c>
      <c r="BK1105">
        <v>201</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4059</v>
      </c>
      <c r="D1106" s="12">
        <v>5.4</v>
      </c>
      <c r="E1106" s="14">
        <v>0.6</v>
      </c>
      <c r="F1106" s="7">
        <f t="shared" si="270"/>
        <v>9.0000000000000018</v>
      </c>
      <c r="G1106" s="7">
        <f t="shared" si="260"/>
        <v>4.8000000000000007</v>
      </c>
      <c r="H1106" s="16">
        <f t="shared" si="261"/>
        <v>6</v>
      </c>
      <c r="I1106" s="11">
        <f t="shared" si="266"/>
        <v>0.15942318366671104</v>
      </c>
      <c r="J1106" s="33">
        <f t="shared" si="267"/>
        <v>1.7713687074079002E-2</v>
      </c>
      <c r="K1106" s="33">
        <f t="shared" si="268"/>
        <v>56.453520705089772</v>
      </c>
      <c r="L1106" s="8">
        <v>1</v>
      </c>
      <c r="M1106" s="9">
        <v>0</v>
      </c>
      <c r="N1106" s="8">
        <v>0</v>
      </c>
      <c r="O1106" s="9">
        <v>1</v>
      </c>
      <c r="P1106" s="9">
        <v>0</v>
      </c>
      <c r="Q1106" s="9">
        <v>0</v>
      </c>
      <c r="R1106" s="9">
        <v>0</v>
      </c>
      <c r="S1106" s="8">
        <v>3119</v>
      </c>
      <c r="T1106" s="9">
        <v>12</v>
      </c>
      <c r="U1106" s="9">
        <f t="shared" si="262"/>
        <v>3106</v>
      </c>
      <c r="V1106" s="9">
        <f t="shared" si="263"/>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69"/>
        <v>1</v>
      </c>
      <c r="AS1106">
        <v>0.82199999999999995</v>
      </c>
      <c r="AT1106" s="40">
        <v>0.17799999999999999</v>
      </c>
      <c r="AU1106">
        <v>0</v>
      </c>
      <c r="AV1106" s="18">
        <v>1</v>
      </c>
      <c r="AW1106">
        <v>0</v>
      </c>
      <c r="AX1106" s="18">
        <v>1</v>
      </c>
      <c r="AY1106" s="18" t="s">
        <v>5</v>
      </c>
      <c r="AZ1106">
        <v>0</v>
      </c>
      <c r="BA1106">
        <v>1</v>
      </c>
      <c r="BB1106">
        <v>0</v>
      </c>
      <c r="BC1106">
        <v>0</v>
      </c>
      <c r="BD1106">
        <v>0</v>
      </c>
      <c r="BE1106">
        <v>0</v>
      </c>
      <c r="BF1106" s="18">
        <v>0</v>
      </c>
      <c r="BG1106">
        <v>0</v>
      </c>
      <c r="BH1106">
        <v>1</v>
      </c>
      <c r="BI1106" s="18">
        <v>0</v>
      </c>
      <c r="BJ1106">
        <v>1732</v>
      </c>
      <c r="BK1106">
        <v>201</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4059</v>
      </c>
      <c r="D1107" s="12">
        <v>5</v>
      </c>
      <c r="E1107" s="14">
        <v>1.5</v>
      </c>
      <c r="F1107" s="7">
        <f t="shared" si="270"/>
        <v>3.3333333333333335</v>
      </c>
      <c r="G1107" s="7">
        <f t="shared" si="260"/>
        <v>3.5</v>
      </c>
      <c r="H1107" s="16">
        <f t="shared" si="261"/>
        <v>6.5</v>
      </c>
      <c r="I1107" s="11">
        <f t="shared" si="266"/>
        <v>6.7341975958526951E-2</v>
      </c>
      <c r="J1107" s="33">
        <f t="shared" si="267"/>
        <v>2.0202592787558083E-2</v>
      </c>
      <c r="K1107" s="33">
        <f t="shared" si="268"/>
        <v>49.498597062049257</v>
      </c>
      <c r="L1107" s="8">
        <v>1</v>
      </c>
      <c r="M1107" s="9">
        <v>0</v>
      </c>
      <c r="N1107" s="8">
        <v>0</v>
      </c>
      <c r="O1107" s="9">
        <v>1</v>
      </c>
      <c r="P1107" s="9">
        <v>0</v>
      </c>
      <c r="Q1107" s="9">
        <v>0</v>
      </c>
      <c r="R1107" s="9">
        <v>0</v>
      </c>
      <c r="S1107" s="8">
        <v>2451</v>
      </c>
      <c r="T1107" s="9">
        <v>11</v>
      </c>
      <c r="U1107" s="9">
        <f t="shared" si="262"/>
        <v>2439</v>
      </c>
      <c r="V1107" s="9">
        <f t="shared" si="263"/>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69"/>
        <v>1</v>
      </c>
      <c r="AS1107">
        <v>0.82199999999999995</v>
      </c>
      <c r="AT1107" s="40">
        <v>0.17799999999999999</v>
      </c>
      <c r="AU1107">
        <v>0</v>
      </c>
      <c r="AV1107" s="18">
        <v>1</v>
      </c>
      <c r="AW1107">
        <v>0</v>
      </c>
      <c r="AX1107" s="18">
        <v>1</v>
      </c>
      <c r="AY1107" s="18" t="s">
        <v>5</v>
      </c>
      <c r="AZ1107">
        <v>0</v>
      </c>
      <c r="BA1107">
        <v>1</v>
      </c>
      <c r="BB1107">
        <v>0</v>
      </c>
      <c r="BC1107">
        <v>0</v>
      </c>
      <c r="BD1107">
        <v>0</v>
      </c>
      <c r="BE1107">
        <v>0</v>
      </c>
      <c r="BF1107" s="18">
        <v>0</v>
      </c>
      <c r="BG1107">
        <v>0</v>
      </c>
      <c r="BH1107">
        <v>1</v>
      </c>
      <c r="BI1107" s="18">
        <v>0</v>
      </c>
      <c r="BJ1107">
        <v>1732</v>
      </c>
      <c r="BK1107">
        <v>201</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4059</v>
      </c>
      <c r="D1108" s="12">
        <v>6.3</v>
      </c>
      <c r="E1108" s="14">
        <v>1.3</v>
      </c>
      <c r="F1108" s="7">
        <f t="shared" si="270"/>
        <v>4.8461538461538458</v>
      </c>
      <c r="G1108" s="7">
        <f t="shared" si="260"/>
        <v>5</v>
      </c>
      <c r="H1108" s="16">
        <f t="shared" si="261"/>
        <v>7.6</v>
      </c>
      <c r="I1108" s="11">
        <f t="shared" si="266"/>
        <v>9.7678410112133671E-2</v>
      </c>
      <c r="J1108" s="33">
        <f t="shared" si="267"/>
        <v>2.0155862404091077E-2</v>
      </c>
      <c r="K1108" s="33">
        <f t="shared" si="268"/>
        <v>49.613357144025152</v>
      </c>
      <c r="L1108" s="8">
        <v>1</v>
      </c>
      <c r="M1108" s="9">
        <v>0</v>
      </c>
      <c r="N1108" s="8">
        <v>0</v>
      </c>
      <c r="O1108" s="9">
        <v>1</v>
      </c>
      <c r="P1108" s="9">
        <v>0</v>
      </c>
      <c r="Q1108" s="9">
        <v>0</v>
      </c>
      <c r="R1108" s="9">
        <v>0</v>
      </c>
      <c r="S1108" s="8">
        <v>2451</v>
      </c>
      <c r="T1108" s="9">
        <v>12</v>
      </c>
      <c r="U1108" s="9">
        <f t="shared" si="262"/>
        <v>2438</v>
      </c>
      <c r="V1108" s="9">
        <f t="shared" si="263"/>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69"/>
        <v>1</v>
      </c>
      <c r="AS1108">
        <v>0.82199999999999995</v>
      </c>
      <c r="AT1108" s="40">
        <v>0.17799999999999999</v>
      </c>
      <c r="AU1108">
        <v>0</v>
      </c>
      <c r="AV1108" s="18">
        <v>1</v>
      </c>
      <c r="AW1108">
        <v>0</v>
      </c>
      <c r="AX1108" s="18">
        <v>1</v>
      </c>
      <c r="AY1108" s="18" t="s">
        <v>5</v>
      </c>
      <c r="AZ1108">
        <v>0</v>
      </c>
      <c r="BA1108">
        <v>1</v>
      </c>
      <c r="BB1108">
        <v>0</v>
      </c>
      <c r="BC1108">
        <v>0</v>
      </c>
      <c r="BD1108">
        <v>0</v>
      </c>
      <c r="BE1108">
        <v>0</v>
      </c>
      <c r="BF1108" s="18">
        <v>0</v>
      </c>
      <c r="BG1108">
        <v>0</v>
      </c>
      <c r="BH1108">
        <v>1</v>
      </c>
      <c r="BI1108" s="18">
        <v>0</v>
      </c>
      <c r="BJ1108">
        <v>1732</v>
      </c>
      <c r="BK1108">
        <v>201</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4059</v>
      </c>
      <c r="D1109" s="12">
        <v>4.5</v>
      </c>
      <c r="E1109" s="14">
        <v>0.9</v>
      </c>
      <c r="F1109" s="7">
        <f t="shared" si="270"/>
        <v>5</v>
      </c>
      <c r="G1109" s="7">
        <f t="shared" si="260"/>
        <v>3.6</v>
      </c>
      <c r="H1109" s="16">
        <f t="shared" si="261"/>
        <v>5.4</v>
      </c>
      <c r="I1109" s="11">
        <f t="shared" si="266"/>
        <v>0.13277976293203617</v>
      </c>
      <c r="J1109" s="33">
        <f t="shared" si="267"/>
        <v>2.6555952586407236E-2</v>
      </c>
      <c r="K1109" s="33">
        <f t="shared" si="268"/>
        <v>37.656340767525464</v>
      </c>
      <c r="L1109" s="8">
        <v>1</v>
      </c>
      <c r="M1109" s="9">
        <v>0</v>
      </c>
      <c r="N1109" s="8">
        <v>0</v>
      </c>
      <c r="O1109" s="9">
        <v>1</v>
      </c>
      <c r="P1109" s="9">
        <v>0</v>
      </c>
      <c r="Q1109" s="9">
        <v>0</v>
      </c>
      <c r="R1109" s="9">
        <v>0</v>
      </c>
      <c r="S1109" s="8">
        <v>1405</v>
      </c>
      <c r="T1109" s="9">
        <v>11</v>
      </c>
      <c r="U1109" s="9">
        <f t="shared" si="262"/>
        <v>1393</v>
      </c>
      <c r="V1109" s="9">
        <f t="shared" si="263"/>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69"/>
        <v>0</v>
      </c>
      <c r="AS1109">
        <v>0.94499999999999995</v>
      </c>
      <c r="AT1109" s="40">
        <v>0.55000000000000004</v>
      </c>
      <c r="AU1109">
        <v>0</v>
      </c>
      <c r="AV1109" s="18">
        <v>1</v>
      </c>
      <c r="AW1109">
        <v>0</v>
      </c>
      <c r="AX1109" s="18">
        <v>1</v>
      </c>
      <c r="AY1109" s="18" t="s">
        <v>5</v>
      </c>
      <c r="AZ1109">
        <v>0</v>
      </c>
      <c r="BA1109">
        <v>1</v>
      </c>
      <c r="BB1109">
        <v>0</v>
      </c>
      <c r="BC1109">
        <v>0</v>
      </c>
      <c r="BD1109">
        <v>0</v>
      </c>
      <c r="BE1109">
        <v>0</v>
      </c>
      <c r="BF1109" s="18">
        <v>0</v>
      </c>
      <c r="BG1109">
        <v>0</v>
      </c>
      <c r="BH1109">
        <v>1</v>
      </c>
      <c r="BI1109" s="18">
        <v>0</v>
      </c>
      <c r="BJ1109">
        <v>1732</v>
      </c>
      <c r="BK1109">
        <v>201</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4059</v>
      </c>
      <c r="D1110" s="12">
        <v>8</v>
      </c>
      <c r="E1110" s="14">
        <v>3.4</v>
      </c>
      <c r="F1110" s="7">
        <f t="shared" si="270"/>
        <v>2.3529411764705883</v>
      </c>
      <c r="G1110" s="7">
        <f t="shared" si="260"/>
        <v>4.5999999999999996</v>
      </c>
      <c r="H1110" s="16">
        <f t="shared" si="261"/>
        <v>11.4</v>
      </c>
      <c r="I1110" s="11">
        <f t="shared" si="266"/>
        <v>6.2872956111088646E-2</v>
      </c>
      <c r="J1110" s="33">
        <f t="shared" si="267"/>
        <v>2.6721006347212674E-2</v>
      </c>
      <c r="K1110" s="33">
        <f t="shared" si="268"/>
        <v>37.423740221681889</v>
      </c>
      <c r="L1110" s="8">
        <v>1</v>
      </c>
      <c r="M1110" s="9">
        <v>0</v>
      </c>
      <c r="N1110" s="8">
        <v>0</v>
      </c>
      <c r="O1110" s="9">
        <v>1</v>
      </c>
      <c r="P1110" s="9">
        <v>0</v>
      </c>
      <c r="Q1110" s="9">
        <v>0</v>
      </c>
      <c r="R1110" s="9">
        <v>0</v>
      </c>
      <c r="S1110" s="8">
        <v>1405</v>
      </c>
      <c r="T1110" s="9">
        <v>9</v>
      </c>
      <c r="U1110" s="9">
        <f t="shared" si="262"/>
        <v>1395</v>
      </c>
      <c r="V1110" s="9">
        <f t="shared" si="263"/>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69"/>
        <v>0</v>
      </c>
      <c r="AS1110">
        <v>0.94499999999999995</v>
      </c>
      <c r="AT1110" s="40">
        <v>0.55000000000000004</v>
      </c>
      <c r="AU1110">
        <v>0</v>
      </c>
      <c r="AV1110" s="18">
        <v>1</v>
      </c>
      <c r="AW1110">
        <v>0</v>
      </c>
      <c r="AX1110" s="18">
        <v>1</v>
      </c>
      <c r="AY1110" s="18" t="s">
        <v>5</v>
      </c>
      <c r="AZ1110">
        <v>0</v>
      </c>
      <c r="BA1110">
        <v>1</v>
      </c>
      <c r="BB1110">
        <v>0</v>
      </c>
      <c r="BC1110">
        <v>0</v>
      </c>
      <c r="BD1110">
        <v>0</v>
      </c>
      <c r="BE1110">
        <v>0</v>
      </c>
      <c r="BF1110" s="18">
        <v>0</v>
      </c>
      <c r="BG1110">
        <v>0</v>
      </c>
      <c r="BH1110">
        <v>1</v>
      </c>
      <c r="BI1110" s="18">
        <v>0</v>
      </c>
      <c r="BJ1110">
        <v>1732</v>
      </c>
      <c r="BK1110">
        <v>201</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4059</v>
      </c>
      <c r="D1111" s="12">
        <v>8</v>
      </c>
      <c r="E1111" s="14">
        <v>3.5</v>
      </c>
      <c r="F1111" s="7">
        <f t="shared" si="270"/>
        <v>2.2857142857142856</v>
      </c>
      <c r="G1111" s="7">
        <f t="shared" si="260"/>
        <v>4.5</v>
      </c>
      <c r="H1111" s="16">
        <f t="shared" si="261"/>
        <v>11.5</v>
      </c>
      <c r="I1111" s="11">
        <f t="shared" si="266"/>
        <v>6.1083386705926834E-2</v>
      </c>
      <c r="J1111" s="33">
        <f t="shared" si="267"/>
        <v>2.6723981683842993E-2</v>
      </c>
      <c r="K1111" s="33">
        <f t="shared" si="268"/>
        <v>37.419573618574525</v>
      </c>
      <c r="L1111" s="8">
        <v>1</v>
      </c>
      <c r="M1111" s="9">
        <v>0</v>
      </c>
      <c r="N1111" s="8">
        <v>0</v>
      </c>
      <c r="O1111" s="9">
        <v>1</v>
      </c>
      <c r="P1111" s="9">
        <v>0</v>
      </c>
      <c r="Q1111" s="9">
        <v>0</v>
      </c>
      <c r="R1111" s="9">
        <v>0</v>
      </c>
      <c r="S1111" s="8">
        <v>1405</v>
      </c>
      <c r="T1111" s="9">
        <v>9</v>
      </c>
      <c r="U1111" s="9">
        <f t="shared" si="262"/>
        <v>1395</v>
      </c>
      <c r="V1111" s="9">
        <f t="shared" si="263"/>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69"/>
        <v>0</v>
      </c>
      <c r="AS1111">
        <v>0.94499999999999995</v>
      </c>
      <c r="AT1111" s="40">
        <v>0.55000000000000004</v>
      </c>
      <c r="AU1111">
        <v>0</v>
      </c>
      <c r="AV1111" s="18">
        <v>1</v>
      </c>
      <c r="AW1111">
        <v>0</v>
      </c>
      <c r="AX1111" s="18">
        <v>1</v>
      </c>
      <c r="AY1111" s="18" t="s">
        <v>5</v>
      </c>
      <c r="AZ1111">
        <v>0</v>
      </c>
      <c r="BA1111">
        <v>1</v>
      </c>
      <c r="BB1111">
        <v>0</v>
      </c>
      <c r="BC1111">
        <v>0</v>
      </c>
      <c r="BD1111">
        <v>0</v>
      </c>
      <c r="BE1111">
        <v>0</v>
      </c>
      <c r="BF1111" s="18">
        <v>0</v>
      </c>
      <c r="BG1111">
        <v>0</v>
      </c>
      <c r="BH1111">
        <v>1</v>
      </c>
      <c r="BI1111" s="18">
        <v>0</v>
      </c>
      <c r="BJ1111">
        <v>1732</v>
      </c>
      <c r="BK1111">
        <v>201</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4059</v>
      </c>
      <c r="D1112" s="12">
        <v>8.4</v>
      </c>
      <c r="E1112" s="14">
        <v>3.8</v>
      </c>
      <c r="F1112" s="7">
        <f t="shared" si="270"/>
        <v>2.2105263157894739</v>
      </c>
      <c r="G1112" s="7">
        <f t="shared" si="260"/>
        <v>4.6000000000000005</v>
      </c>
      <c r="H1112" s="16">
        <f t="shared" si="261"/>
        <v>12.2</v>
      </c>
      <c r="I1112" s="11">
        <f t="shared" si="266"/>
        <v>5.908119733986171E-2</v>
      </c>
      <c r="J1112" s="33">
        <f t="shared" si="267"/>
        <v>2.6727208320413625E-2</v>
      </c>
      <c r="K1112" s="33">
        <f t="shared" si="268"/>
        <v>37.415056148465126</v>
      </c>
      <c r="L1112" s="8">
        <v>1</v>
      </c>
      <c r="M1112" s="9">
        <v>0</v>
      </c>
      <c r="N1112" s="8">
        <v>0</v>
      </c>
      <c r="O1112" s="9">
        <v>1</v>
      </c>
      <c r="P1112" s="9">
        <v>0</v>
      </c>
      <c r="Q1112" s="9">
        <v>0</v>
      </c>
      <c r="R1112" s="9">
        <v>0</v>
      </c>
      <c r="S1112" s="8">
        <v>1405</v>
      </c>
      <c r="T1112" s="9">
        <v>9</v>
      </c>
      <c r="U1112" s="9">
        <f t="shared" si="262"/>
        <v>1395</v>
      </c>
      <c r="V1112" s="9">
        <f t="shared" si="263"/>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69"/>
        <v>0</v>
      </c>
      <c r="AS1112">
        <v>0.94499999999999995</v>
      </c>
      <c r="AT1112" s="40">
        <v>0.55000000000000004</v>
      </c>
      <c r="AU1112">
        <v>0</v>
      </c>
      <c r="AV1112" s="18">
        <v>1</v>
      </c>
      <c r="AW1112">
        <v>0</v>
      </c>
      <c r="AX1112" s="18">
        <v>1</v>
      </c>
      <c r="AY1112" s="18" t="s">
        <v>5</v>
      </c>
      <c r="AZ1112">
        <v>0</v>
      </c>
      <c r="BA1112">
        <v>1</v>
      </c>
      <c r="BB1112">
        <v>0</v>
      </c>
      <c r="BC1112">
        <v>0</v>
      </c>
      <c r="BD1112">
        <v>0</v>
      </c>
      <c r="BE1112">
        <v>0</v>
      </c>
      <c r="BF1112" s="18">
        <v>0</v>
      </c>
      <c r="BG1112">
        <v>0</v>
      </c>
      <c r="BH1112">
        <v>1</v>
      </c>
      <c r="BI1112" s="18">
        <v>0</v>
      </c>
      <c r="BJ1112">
        <v>1732</v>
      </c>
      <c r="BK1112">
        <v>201</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4059</v>
      </c>
      <c r="D1113" s="12">
        <v>3.6</v>
      </c>
      <c r="E1113" s="14">
        <v>0.8</v>
      </c>
      <c r="F1113" s="7">
        <f t="shared" si="270"/>
        <v>4.5</v>
      </c>
      <c r="G1113" s="7">
        <f t="shared" si="260"/>
        <v>2.8</v>
      </c>
      <c r="H1113" s="16">
        <f t="shared" si="261"/>
        <v>4.4000000000000004</v>
      </c>
      <c r="I1113" s="11">
        <f t="shared" si="266"/>
        <v>0.14575018235653436</v>
      </c>
      <c r="J1113" s="33">
        <f t="shared" si="267"/>
        <v>3.2388929412563189E-2</v>
      </c>
      <c r="K1113" s="33">
        <f t="shared" si="268"/>
        <v>30.874746962525865</v>
      </c>
      <c r="L1113" s="8">
        <v>1</v>
      </c>
      <c r="M1113" s="9">
        <v>0</v>
      </c>
      <c r="N1113" s="8">
        <v>0</v>
      </c>
      <c r="O1113" s="9">
        <v>1</v>
      </c>
      <c r="P1113" s="9">
        <v>0</v>
      </c>
      <c r="Q1113" s="9">
        <v>0</v>
      </c>
      <c r="R1113" s="9">
        <v>0</v>
      </c>
      <c r="S1113" s="8">
        <v>945</v>
      </c>
      <c r="T1113" s="9">
        <v>11</v>
      </c>
      <c r="U1113" s="9">
        <f t="shared" si="262"/>
        <v>933</v>
      </c>
      <c r="V1113" s="9">
        <f t="shared" si="263"/>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69"/>
        <v>1</v>
      </c>
      <c r="AS1113">
        <v>0.94499999999999995</v>
      </c>
      <c r="AT1113" s="40">
        <v>0.55000000000000004</v>
      </c>
      <c r="AU1113">
        <v>0</v>
      </c>
      <c r="AV1113" s="18">
        <v>1</v>
      </c>
      <c r="AW1113">
        <v>0</v>
      </c>
      <c r="AX1113" s="18">
        <v>1</v>
      </c>
      <c r="AY1113" s="18" t="s">
        <v>5</v>
      </c>
      <c r="AZ1113">
        <v>0</v>
      </c>
      <c r="BA1113">
        <v>1</v>
      </c>
      <c r="BB1113">
        <v>0</v>
      </c>
      <c r="BC1113">
        <v>0</v>
      </c>
      <c r="BD1113">
        <v>0</v>
      </c>
      <c r="BE1113">
        <v>0</v>
      </c>
      <c r="BF1113" s="18">
        <v>0</v>
      </c>
      <c r="BG1113">
        <v>0</v>
      </c>
      <c r="BH1113">
        <v>1</v>
      </c>
      <c r="BI1113" s="18">
        <v>0</v>
      </c>
      <c r="BJ1113">
        <v>1732</v>
      </c>
      <c r="BK1113">
        <v>201</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4059</v>
      </c>
      <c r="D1114" s="12">
        <v>3.3</v>
      </c>
      <c r="E1114" s="14">
        <v>0.9</v>
      </c>
      <c r="F1114" s="7">
        <f t="shared" si="270"/>
        <v>3.6666666666666665</v>
      </c>
      <c r="G1114" s="7">
        <f t="shared" si="260"/>
        <v>2.4</v>
      </c>
      <c r="H1114" s="16">
        <f t="shared" si="261"/>
        <v>4.2</v>
      </c>
      <c r="I1114" s="11">
        <f t="shared" si="266"/>
        <v>0.11323970232334872</v>
      </c>
      <c r="J1114" s="33">
        <f t="shared" si="267"/>
        <v>3.0883555179095103E-2</v>
      </c>
      <c r="K1114" s="33">
        <f t="shared" si="268"/>
        <v>32.379691852215707</v>
      </c>
      <c r="L1114" s="8">
        <v>1</v>
      </c>
      <c r="M1114" s="9">
        <v>0</v>
      </c>
      <c r="N1114" s="8">
        <v>0</v>
      </c>
      <c r="O1114" s="9">
        <v>1</v>
      </c>
      <c r="P1114" s="9">
        <v>0</v>
      </c>
      <c r="Q1114" s="9">
        <v>0</v>
      </c>
      <c r="R1114" s="9">
        <v>0</v>
      </c>
      <c r="S1114" s="8">
        <v>1047</v>
      </c>
      <c r="T1114" s="9">
        <v>11</v>
      </c>
      <c r="U1114" s="9">
        <f t="shared" si="262"/>
        <v>1035</v>
      </c>
      <c r="V1114" s="9">
        <f t="shared" si="263"/>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69"/>
        <v>1</v>
      </c>
      <c r="AS1114">
        <v>0.94499999999999995</v>
      </c>
      <c r="AT1114" s="40">
        <v>0.55000000000000004</v>
      </c>
      <c r="AU1114">
        <v>0</v>
      </c>
      <c r="AV1114" s="18">
        <v>1</v>
      </c>
      <c r="AW1114">
        <v>0</v>
      </c>
      <c r="AX1114" s="18">
        <v>1</v>
      </c>
      <c r="AY1114" s="18" t="s">
        <v>5</v>
      </c>
      <c r="AZ1114">
        <v>0</v>
      </c>
      <c r="BA1114">
        <v>1</v>
      </c>
      <c r="BB1114">
        <v>0</v>
      </c>
      <c r="BC1114">
        <v>0</v>
      </c>
      <c r="BD1114">
        <v>0</v>
      </c>
      <c r="BE1114">
        <v>0</v>
      </c>
      <c r="BF1114" s="18">
        <v>0</v>
      </c>
      <c r="BG1114">
        <v>0</v>
      </c>
      <c r="BH1114">
        <v>1</v>
      </c>
      <c r="BI1114" s="18">
        <v>0</v>
      </c>
      <c r="BJ1114">
        <v>1732</v>
      </c>
      <c r="BK1114">
        <v>201</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4059</v>
      </c>
      <c r="D1115" s="12">
        <v>7.4</v>
      </c>
      <c r="E1115" s="14">
        <v>3.2</v>
      </c>
      <c r="F1115" s="7">
        <f t="shared" si="270"/>
        <v>2.3125</v>
      </c>
      <c r="G1115" s="7">
        <f t="shared" si="260"/>
        <v>4.2</v>
      </c>
      <c r="H1115" s="16">
        <f t="shared" si="261"/>
        <v>10.600000000000001</v>
      </c>
      <c r="I1115" s="11">
        <f t="shared" si="266"/>
        <v>7.5451619050317345E-2</v>
      </c>
      <c r="J1115" s="33">
        <f t="shared" si="267"/>
        <v>3.2627727156893979E-2</v>
      </c>
      <c r="K1115" s="33">
        <f t="shared" si="268"/>
        <v>30.648779033592842</v>
      </c>
      <c r="L1115" s="8">
        <v>1</v>
      </c>
      <c r="M1115" s="9">
        <v>0</v>
      </c>
      <c r="N1115" s="8">
        <v>0</v>
      </c>
      <c r="O1115" s="9">
        <v>1</v>
      </c>
      <c r="P1115" s="9">
        <v>0</v>
      </c>
      <c r="Q1115" s="9">
        <v>0</v>
      </c>
      <c r="R1115" s="9">
        <v>0</v>
      </c>
      <c r="S1115" s="8">
        <v>945</v>
      </c>
      <c r="T1115" s="9">
        <v>10</v>
      </c>
      <c r="U1115" s="9">
        <f t="shared" si="262"/>
        <v>934</v>
      </c>
      <c r="V1115" s="9">
        <f t="shared" si="263"/>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69"/>
        <v>1</v>
      </c>
      <c r="AS1115">
        <v>0.94499999999999995</v>
      </c>
      <c r="AT1115" s="40">
        <v>0.55000000000000004</v>
      </c>
      <c r="AU1115">
        <v>0</v>
      </c>
      <c r="AV1115" s="18">
        <v>1</v>
      </c>
      <c r="AW1115">
        <v>0</v>
      </c>
      <c r="AX1115" s="18">
        <v>1</v>
      </c>
      <c r="AY1115" s="18" t="s">
        <v>5</v>
      </c>
      <c r="AZ1115">
        <v>0</v>
      </c>
      <c r="BA1115">
        <v>1</v>
      </c>
      <c r="BB1115">
        <v>0</v>
      </c>
      <c r="BC1115">
        <v>0</v>
      </c>
      <c r="BD1115">
        <v>0</v>
      </c>
      <c r="BE1115">
        <v>0</v>
      </c>
      <c r="BF1115" s="18">
        <v>0</v>
      </c>
      <c r="BG1115">
        <v>0</v>
      </c>
      <c r="BH1115">
        <v>1</v>
      </c>
      <c r="BI1115" s="18">
        <v>0</v>
      </c>
      <c r="BJ1115">
        <v>1732</v>
      </c>
      <c r="BK1115">
        <v>201</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4059</v>
      </c>
      <c r="D1116" s="12">
        <v>7.2</v>
      </c>
      <c r="E1116" s="14">
        <v>4</v>
      </c>
      <c r="F1116" s="7">
        <f t="shared" si="270"/>
        <v>1.8</v>
      </c>
      <c r="G1116" s="7">
        <f t="shared" si="260"/>
        <v>3.2</v>
      </c>
      <c r="H1116" s="16">
        <f t="shared" si="261"/>
        <v>11.2</v>
      </c>
      <c r="I1116" s="11">
        <f t="shared" si="266"/>
        <v>5.8764565986251648E-2</v>
      </c>
      <c r="J1116" s="33">
        <f t="shared" si="267"/>
        <v>3.2646981103473138E-2</v>
      </c>
      <c r="K1116" s="33">
        <f t="shared" si="268"/>
        <v>30.630703550522632</v>
      </c>
      <c r="L1116" s="8">
        <v>1</v>
      </c>
      <c r="M1116" s="9">
        <v>0</v>
      </c>
      <c r="N1116" s="8">
        <v>0</v>
      </c>
      <c r="O1116" s="9">
        <v>1</v>
      </c>
      <c r="P1116" s="9">
        <v>0</v>
      </c>
      <c r="Q1116" s="9">
        <v>0</v>
      </c>
      <c r="R1116" s="9">
        <v>0</v>
      </c>
      <c r="S1116" s="8">
        <v>945</v>
      </c>
      <c r="T1116" s="9">
        <v>9</v>
      </c>
      <c r="U1116" s="9">
        <f t="shared" si="262"/>
        <v>935</v>
      </c>
      <c r="V1116" s="9">
        <f t="shared" si="263"/>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69"/>
        <v>1</v>
      </c>
      <c r="AS1116">
        <v>0.94499999999999995</v>
      </c>
      <c r="AT1116" s="40">
        <v>0.55000000000000004</v>
      </c>
      <c r="AU1116">
        <v>0</v>
      </c>
      <c r="AV1116" s="18">
        <v>1</v>
      </c>
      <c r="AW1116">
        <v>0</v>
      </c>
      <c r="AX1116" s="18">
        <v>1</v>
      </c>
      <c r="AY1116" s="18" t="s">
        <v>5</v>
      </c>
      <c r="AZ1116">
        <v>0</v>
      </c>
      <c r="BA1116">
        <v>1</v>
      </c>
      <c r="BB1116">
        <v>0</v>
      </c>
      <c r="BC1116">
        <v>0</v>
      </c>
      <c r="BD1116">
        <v>0</v>
      </c>
      <c r="BE1116">
        <v>0</v>
      </c>
      <c r="BF1116" s="18">
        <v>0</v>
      </c>
      <c r="BG1116">
        <v>0</v>
      </c>
      <c r="BH1116">
        <v>1</v>
      </c>
      <c r="BI1116" s="18">
        <v>0</v>
      </c>
      <c r="BJ1116">
        <v>1732</v>
      </c>
      <c r="BK1116">
        <v>201</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F1117" s="18"/>
      <c r="BI1117" s="18"/>
      <c r="BT1117" s="18"/>
      <c r="BX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F1118" s="18"/>
      <c r="BI1118" s="18"/>
      <c r="BT1118" s="18"/>
      <c r="BX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F1119" s="18"/>
      <c r="BI1119" s="18"/>
      <c r="BT1119" s="18"/>
      <c r="BX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F1120" s="18"/>
      <c r="BI1120" s="18"/>
      <c r="BT1120" s="18"/>
      <c r="BX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F1121" s="18"/>
      <c r="BI1121" s="18"/>
      <c r="BT1121" s="18"/>
      <c r="BX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F1122" s="18"/>
      <c r="BI1122" s="18"/>
      <c r="BT1122" s="18"/>
      <c r="BX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F1123" s="18"/>
      <c r="BI1123" s="18"/>
      <c r="BT1123" s="18"/>
      <c r="BX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F1124" s="18"/>
      <c r="BI1124" s="18"/>
      <c r="BT1124" s="18"/>
      <c r="BX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F1125" s="18"/>
      <c r="BI1125" s="18"/>
      <c r="BT1125" s="18"/>
      <c r="BX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F1126" s="18"/>
      <c r="BI1126" s="18"/>
      <c r="BT1126" s="18"/>
      <c r="BX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F1127" s="18"/>
      <c r="BI1127" s="18"/>
      <c r="BT1127" s="18"/>
      <c r="BX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F1128" s="18"/>
      <c r="BI1128" s="18"/>
      <c r="BT1128" s="18"/>
      <c r="BX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F1129" s="18"/>
      <c r="BI1129" s="18"/>
      <c r="BT1129" s="18"/>
      <c r="BX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F1130" s="18"/>
      <c r="BI1130" s="18"/>
      <c r="BT1130" s="18"/>
      <c r="BX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F1131" s="18"/>
      <c r="BI1131" s="18"/>
      <c r="BT1131" s="18"/>
      <c r="BX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F1132" s="18"/>
      <c r="BI1132" s="18"/>
      <c r="BT1132" s="18"/>
      <c r="BX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F1133" s="18"/>
      <c r="BI1133" s="18"/>
      <c r="BT1133" s="18"/>
      <c r="BX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F1134" s="18"/>
      <c r="BI1134" s="18"/>
      <c r="BT1134" s="18"/>
      <c r="BX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F1135" s="18"/>
      <c r="BI1135" s="18"/>
      <c r="BT1135" s="18"/>
      <c r="BX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F1136" s="18"/>
      <c r="BI1136" s="18"/>
      <c r="BT1136" s="18"/>
      <c r="BX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F1137" s="18"/>
      <c r="BI1137" s="18"/>
      <c r="BT1137" s="18"/>
      <c r="BX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F1138" s="18"/>
      <c r="BI1138" s="18"/>
      <c r="BT1138" s="18"/>
      <c r="BX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F1139" s="18"/>
      <c r="BI1139" s="18"/>
      <c r="BT1139" s="18"/>
      <c r="BX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F1140" s="18"/>
      <c r="BI1140" s="18"/>
      <c r="BT1140" s="18"/>
      <c r="BX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F1141" s="18"/>
      <c r="BI1141" s="18"/>
      <c r="BT1141" s="18"/>
      <c r="BX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F1142" s="18"/>
      <c r="BI1142" s="18"/>
      <c r="BT1142" s="18"/>
      <c r="BX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F1143" s="18"/>
      <c r="BI1143" s="18"/>
      <c r="BT1143" s="18"/>
      <c r="BX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F1144" s="18"/>
      <c r="BI1144" s="18"/>
      <c r="BT1144" s="18"/>
      <c r="BX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F1145" s="18"/>
      <c r="BI1145" s="18"/>
      <c r="BT1145" s="18"/>
      <c r="BX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F1146" s="18"/>
      <c r="BI1146" s="18"/>
      <c r="BT1146" s="18"/>
      <c r="BX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F1147" s="18"/>
      <c r="BI1147" s="18"/>
      <c r="BT1147" s="18"/>
      <c r="BX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F1148" s="18"/>
      <c r="BI1148" s="18"/>
      <c r="BT1148" s="18"/>
      <c r="BX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F1149" s="18"/>
      <c r="BI1149" s="18"/>
      <c r="BT1149" s="18"/>
      <c r="BX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F1150" s="18"/>
      <c r="BI1150" s="18"/>
      <c r="BT1150" s="18"/>
      <c r="BX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F1151" s="18"/>
      <c r="BI1151" s="18"/>
      <c r="BT1151" s="18"/>
      <c r="BX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F1152" s="18"/>
      <c r="BI1152" s="18"/>
      <c r="BT1152" s="18"/>
      <c r="BX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F1153" s="18"/>
      <c r="BI1153" s="18"/>
      <c r="BT1153" s="18"/>
      <c r="BX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F1154" s="18"/>
      <c r="BI1154" s="18"/>
      <c r="BT1154" s="18"/>
      <c r="BX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F1155" s="18"/>
      <c r="BI1155" s="18"/>
      <c r="BT1155" s="18"/>
      <c r="BX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F1156" s="18"/>
      <c r="BI1156" s="18"/>
      <c r="BT1156" s="18"/>
      <c r="BX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F1157" s="18"/>
      <c r="BI1157" s="18"/>
      <c r="BT1157" s="18"/>
      <c r="BX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F1158" s="18"/>
      <c r="BI1158" s="18"/>
      <c r="BT1158" s="18"/>
      <c r="BX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F1159" s="18"/>
      <c r="BI1159" s="18"/>
      <c r="BT1159" s="18"/>
      <c r="BX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F1160" s="18"/>
      <c r="BI1160" s="18"/>
      <c r="BT1160" s="18"/>
      <c r="BX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F1161" s="18"/>
      <c r="BI1161" s="18"/>
      <c r="BT1161" s="18"/>
      <c r="BX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F1162" s="18"/>
      <c r="BI1162" s="18"/>
      <c r="BT1162" s="18"/>
      <c r="BX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F1163" s="18"/>
      <c r="BI1163" s="18"/>
      <c r="BT1163" s="18"/>
      <c r="BX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F1164" s="18"/>
      <c r="BI1164" s="18"/>
      <c r="BT1164" s="18"/>
      <c r="BX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F1165" s="18"/>
      <c r="BI1165" s="18"/>
      <c r="BT1165" s="18"/>
      <c r="BX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F1166" s="18"/>
      <c r="BI1166" s="18"/>
      <c r="BT1166" s="18"/>
      <c r="BX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F1167" s="18"/>
      <c r="BI1167" s="18"/>
      <c r="BT1167" s="18"/>
      <c r="BX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F1168" s="18"/>
      <c r="BI1168" s="18"/>
      <c r="BT1168" s="18"/>
      <c r="BX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F1169" s="18"/>
      <c r="BI1169" s="18"/>
      <c r="BT1169" s="18"/>
      <c r="BX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F1170" s="18"/>
      <c r="BI1170" s="18"/>
      <c r="BT1170" s="18"/>
      <c r="BX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F1171" s="18"/>
      <c r="BI1171" s="18"/>
      <c r="BT1171" s="18"/>
      <c r="BX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F1172" s="18"/>
      <c r="BI1172" s="18"/>
      <c r="BT1172" s="18"/>
      <c r="BX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F1173" s="18"/>
      <c r="BI1173" s="18"/>
      <c r="BT1173" s="18"/>
      <c r="BX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F1174" s="18"/>
      <c r="BI1174" s="18"/>
      <c r="BT1174" s="18"/>
      <c r="BX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F1175" s="18"/>
      <c r="BI1175" s="18"/>
      <c r="BT1175" s="18"/>
      <c r="BX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F1176" s="18"/>
      <c r="BI1176" s="18"/>
      <c r="BT1176" s="18"/>
      <c r="BX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F1177" s="18"/>
      <c r="BI1177" s="18"/>
      <c r="BT1177" s="18"/>
      <c r="BX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F1178" s="18"/>
      <c r="BI1178" s="18"/>
      <c r="BT1178" s="18"/>
      <c r="BX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F1179" s="18"/>
      <c r="BI1179" s="18"/>
      <c r="BT1179" s="18"/>
      <c r="BX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F1180" s="18"/>
      <c r="BI1180" s="18"/>
      <c r="BT1180" s="18"/>
      <c r="BX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F1181" s="18"/>
      <c r="BI1181" s="18"/>
      <c r="BT1181" s="18"/>
      <c r="BX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F1182" s="18"/>
      <c r="BI1182" s="18"/>
      <c r="BT1182" s="18"/>
      <c r="BX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F1183" s="18"/>
      <c r="BI1183" s="18"/>
      <c r="BT1183" s="18"/>
      <c r="BX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F1184" s="18"/>
      <c r="BI1184" s="18"/>
      <c r="BT1184" s="18"/>
      <c r="BX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F1185" s="18"/>
      <c r="BI1185" s="18"/>
      <c r="BT1185" s="18"/>
      <c r="BX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F1186" s="18"/>
      <c r="BI1186" s="18"/>
      <c r="BT1186" s="18"/>
      <c r="BX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F1187" s="18"/>
      <c r="BI1187" s="18"/>
      <c r="BT1187" s="18"/>
      <c r="BX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F1188" s="18"/>
      <c r="BI1188" s="18"/>
      <c r="BT1188" s="18"/>
      <c r="BX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F1189" s="18"/>
      <c r="BI1189" s="18"/>
      <c r="BT1189" s="18"/>
      <c r="BX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F1190" s="18"/>
      <c r="BI1190" s="18"/>
      <c r="BT1190" s="18"/>
      <c r="BX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F1191" s="18"/>
      <c r="BI1191" s="18"/>
      <c r="BT1191" s="18"/>
      <c r="BX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F1192" s="18"/>
      <c r="BI1192" s="18"/>
      <c r="BT1192" s="18"/>
      <c r="BX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F1193" s="18"/>
      <c r="BI1193" s="18"/>
      <c r="BT1193" s="18"/>
      <c r="BX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F1194" s="18"/>
      <c r="BI1194" s="18"/>
      <c r="BT1194" s="18"/>
      <c r="BX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F1195" s="18"/>
      <c r="BI1195" s="18"/>
      <c r="BT1195" s="18"/>
      <c r="BX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F1196" s="18"/>
      <c r="BI1196" s="18"/>
      <c r="BT1196" s="18"/>
      <c r="BX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F1197" s="18"/>
      <c r="BI1197" s="18"/>
      <c r="BT1197" s="18"/>
      <c r="BX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F1198" s="18"/>
      <c r="BI1198" s="18"/>
      <c r="BT1198" s="18"/>
      <c r="BX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F1199" s="18"/>
      <c r="BI1199" s="18"/>
      <c r="BT1199" s="18"/>
      <c r="BX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F1200" s="18"/>
      <c r="BI1200" s="18"/>
      <c r="BT1200" s="18"/>
      <c r="BX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F1201" s="18"/>
      <c r="BI1201" s="18"/>
      <c r="BT1201" s="18"/>
      <c r="BX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F1202" s="18"/>
      <c r="BI1202" s="18"/>
      <c r="BT1202" s="18"/>
      <c r="BX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F1203" s="18"/>
      <c r="BI1203" s="18"/>
      <c r="BT1203" s="18"/>
      <c r="BX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F1204" s="18"/>
      <c r="BI1204" s="18"/>
      <c r="BT1204" s="18"/>
      <c r="BX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F1205" s="18"/>
      <c r="BI1205" s="18"/>
      <c r="BT1205" s="18"/>
      <c r="BX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F1206" s="18"/>
      <c r="BI1206" s="18"/>
      <c r="BT1206" s="18"/>
      <c r="BX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F1207" s="18"/>
      <c r="BI1207" s="18"/>
      <c r="BT1207" s="18"/>
      <c r="BX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F1208" s="18"/>
      <c r="BI1208" s="18"/>
      <c r="BT1208" s="18"/>
      <c r="BX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F1209" s="18"/>
      <c r="BI1209" s="18"/>
      <c r="BT1209" s="18"/>
      <c r="BX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F1210" s="18"/>
      <c r="BI1210" s="18"/>
      <c r="BT1210" s="18"/>
      <c r="BX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F1211" s="18"/>
      <c r="BI1211" s="18"/>
      <c r="BT1211" s="18"/>
      <c r="BX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F1212" s="18"/>
      <c r="BI1212" s="18"/>
      <c r="BT1212" s="18"/>
      <c r="BX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F1213" s="18"/>
      <c r="BI1213" s="18"/>
      <c r="BT1213" s="18"/>
      <c r="BX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F1214" s="18"/>
      <c r="BI1214" s="18"/>
      <c r="BT1214" s="18"/>
      <c r="BX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F1215" s="18"/>
      <c r="BI1215" s="18"/>
      <c r="BT1215" s="18"/>
      <c r="BX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F1216" s="18"/>
      <c r="BI1216" s="18"/>
      <c r="BT1216" s="18"/>
      <c r="BX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F1217" s="18"/>
      <c r="BI1217" s="18"/>
      <c r="BT1217" s="18"/>
      <c r="BX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F1218" s="18"/>
      <c r="BI1218" s="18"/>
      <c r="BT1218" s="18"/>
      <c r="BX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F1219" s="18"/>
      <c r="BI1219" s="18"/>
      <c r="BT1219" s="18"/>
      <c r="BX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F1220" s="18"/>
      <c r="BI1220" s="18"/>
      <c r="BT1220" s="18"/>
      <c r="BX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F1221" s="18"/>
      <c r="BI1221" s="18"/>
      <c r="BT1221" s="18"/>
      <c r="BX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F1222" s="18"/>
      <c r="BI1222" s="18"/>
      <c r="BT1222" s="18"/>
      <c r="BX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F1223" s="18"/>
      <c r="BI1223" s="18"/>
      <c r="BT1223" s="18"/>
      <c r="BX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F1224" s="18"/>
      <c r="BI1224" s="18"/>
      <c r="BT1224" s="18"/>
      <c r="BX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F1225" s="18"/>
      <c r="BI1225" s="18"/>
      <c r="BT1225" s="18"/>
      <c r="BX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F1226" s="18"/>
      <c r="BI1226" s="18"/>
      <c r="BT1226" s="18"/>
      <c r="BX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F1227" s="18"/>
      <c r="BI1227" s="18"/>
      <c r="BT1227" s="18"/>
      <c r="BX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F1228" s="18"/>
      <c r="BI1228" s="18"/>
      <c r="BT1228" s="18"/>
      <c r="BX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F1229" s="18"/>
      <c r="BI1229" s="18"/>
      <c r="BT1229" s="18"/>
      <c r="BX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F1230" s="18"/>
      <c r="BI1230" s="18"/>
      <c r="BT1230" s="18"/>
      <c r="BX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F1231" s="18"/>
      <c r="BI1231" s="18"/>
      <c r="BT1231" s="18"/>
      <c r="BX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F1232" s="18"/>
      <c r="BI1232" s="18"/>
      <c r="BT1232" s="18"/>
      <c r="BX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F1233" s="18"/>
      <c r="BI1233" s="18"/>
      <c r="BT1233" s="18"/>
      <c r="BX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F1234" s="18"/>
      <c r="BI1234" s="18"/>
      <c r="BT1234" s="18"/>
      <c r="BX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F1235" s="18"/>
      <c r="BI1235" s="18"/>
      <c r="BT1235" s="18"/>
      <c r="BX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F1236" s="18"/>
      <c r="BI1236" s="18"/>
      <c r="BT1236" s="18"/>
      <c r="BX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F1237" s="18"/>
      <c r="BI1237" s="18"/>
      <c r="BT1237" s="18"/>
      <c r="BX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F1238" s="18"/>
      <c r="BI1238" s="18"/>
      <c r="BT1238" s="18"/>
      <c r="BX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F1239" s="18"/>
      <c r="BI1239" s="18"/>
      <c r="BT1239" s="18"/>
      <c r="BX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F1240" s="18"/>
      <c r="BI1240" s="18"/>
      <c r="BT1240" s="18"/>
      <c r="BX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F1241" s="18"/>
      <c r="BI1241" s="18"/>
      <c r="BT1241" s="18"/>
      <c r="BX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F1242" s="18"/>
      <c r="BI1242" s="18"/>
      <c r="BT1242" s="18"/>
      <c r="BX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F1243" s="18"/>
      <c r="BI1243" s="18"/>
      <c r="BT1243" s="18"/>
      <c r="BX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F1244" s="18"/>
      <c r="BI1244" s="18"/>
      <c r="BT1244" s="18"/>
      <c r="BX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F1245" s="18"/>
      <c r="BI1245" s="18"/>
      <c r="BT1245" s="18"/>
      <c r="BX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F1246" s="18"/>
      <c r="BI1246" s="18"/>
      <c r="BT1246" s="18"/>
      <c r="BX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F1247" s="18"/>
      <c r="BI1247" s="18"/>
      <c r="BT1247" s="18"/>
      <c r="BX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F1248" s="18"/>
      <c r="BI1248" s="18"/>
      <c r="BT1248" s="18"/>
      <c r="BX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F1249" s="18"/>
      <c r="BI1249" s="18"/>
      <c r="BT1249" s="18"/>
      <c r="BX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F1250" s="18"/>
      <c r="BI1250" s="18"/>
      <c r="BT1250" s="18"/>
      <c r="BX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F1251" s="18"/>
      <c r="BI1251" s="18"/>
      <c r="BT1251" s="18"/>
      <c r="BX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F1252" s="18"/>
      <c r="BI1252" s="18"/>
      <c r="BT1252" s="18"/>
      <c r="BX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F1253" s="18"/>
      <c r="BI1253" s="18"/>
      <c r="BT1253" s="18"/>
      <c r="BX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F1254" s="18"/>
      <c r="BI1254" s="18"/>
      <c r="BT1254" s="18"/>
      <c r="BX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F1255" s="18"/>
      <c r="BI1255" s="18"/>
      <c r="BT1255" s="18"/>
      <c r="BX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F1256" s="18"/>
      <c r="BI1256" s="18"/>
      <c r="BT1256" s="18"/>
      <c r="BX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F1257" s="18"/>
      <c r="BI1257" s="18"/>
      <c r="BT1257" s="18"/>
      <c r="BX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F1258" s="18"/>
      <c r="BI1258" s="18"/>
      <c r="BT1258" s="18"/>
      <c r="BX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F1259" s="18"/>
      <c r="BI1259" s="18"/>
      <c r="BT1259" s="18"/>
      <c r="BX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F1260" s="18"/>
      <c r="BI1260" s="18"/>
      <c r="BT1260" s="18"/>
      <c r="BX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F1261" s="18"/>
      <c r="BI1261" s="18"/>
      <c r="BT1261" s="18"/>
      <c r="BX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F1262" s="18"/>
      <c r="BI1262" s="18"/>
      <c r="BT1262" s="18"/>
      <c r="BX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F1263" s="18"/>
      <c r="BI1263" s="18"/>
      <c r="BT1263" s="18"/>
      <c r="BX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F1264" s="18"/>
      <c r="BI1264" s="18"/>
      <c r="BT1264" s="18"/>
      <c r="BX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F1265" s="18"/>
      <c r="BI1265" s="18"/>
      <c r="BT1265" s="18"/>
      <c r="BX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F1266" s="18"/>
      <c r="BI1266" s="18"/>
      <c r="BT1266" s="18"/>
      <c r="BX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F1267" s="18"/>
      <c r="BI1267" s="18"/>
      <c r="BT1267" s="18"/>
      <c r="BX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F1268" s="18"/>
      <c r="BI1268" s="18"/>
      <c r="BT1268" s="18"/>
      <c r="BX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F1269" s="18"/>
      <c r="BI1269" s="18"/>
      <c r="BT1269" s="18"/>
      <c r="BX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F1270" s="18"/>
      <c r="BI1270" s="18"/>
      <c r="BT1270" s="18"/>
      <c r="BX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F1271" s="18"/>
      <c r="BI1271" s="18"/>
      <c r="BT1271" s="18"/>
      <c r="BX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F1272" s="18"/>
      <c r="BI1272" s="18"/>
      <c r="BT1272" s="18"/>
      <c r="BX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F1273" s="18"/>
      <c r="BI1273" s="18"/>
      <c r="BT1273" s="18"/>
      <c r="BX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F1274" s="18"/>
      <c r="BI1274" s="18"/>
      <c r="BT1274" s="18"/>
      <c r="BX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F1275" s="18"/>
      <c r="BI1275" s="18"/>
      <c r="BT1275" s="18"/>
      <c r="BX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F1276" s="18"/>
      <c r="BI1276" s="18"/>
      <c r="BT1276" s="18"/>
      <c r="BX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F1277" s="18"/>
      <c r="BI1277" s="18"/>
      <c r="BT1277" s="18"/>
      <c r="BX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F1278" s="18"/>
      <c r="BI1278" s="18"/>
      <c r="BT1278" s="18"/>
      <c r="BX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F1279" s="18"/>
      <c r="BI1279" s="18"/>
      <c r="BT1279" s="18"/>
      <c r="BX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F1280" s="18"/>
      <c r="BI1280" s="18"/>
      <c r="BT1280" s="18"/>
      <c r="BX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F1281" s="18"/>
      <c r="BI1281" s="18"/>
      <c r="BT1281" s="18"/>
      <c r="BX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F1282" s="18"/>
      <c r="BI1282" s="18"/>
      <c r="BT1282" s="18"/>
      <c r="BX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F1283" s="18"/>
      <c r="BI1283" s="18"/>
      <c r="BT1283" s="18"/>
      <c r="BX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F1284" s="18"/>
      <c r="BI1284" s="18"/>
      <c r="BT1284" s="18"/>
      <c r="BX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F1285" s="18"/>
      <c r="BI1285" s="18"/>
      <c r="BT1285" s="18"/>
      <c r="BX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F1286" s="18"/>
      <c r="BI1286" s="18"/>
      <c r="BT1286" s="18"/>
      <c r="BX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F1287" s="18"/>
      <c r="BI1287" s="18"/>
      <c r="BT1287" s="18"/>
      <c r="BX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F1288" s="18"/>
      <c r="BI1288" s="18"/>
      <c r="BT1288" s="18"/>
      <c r="BX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F1289" s="18"/>
      <c r="BI1289" s="18"/>
      <c r="BT1289" s="18"/>
      <c r="BX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F1290" s="18"/>
      <c r="BI1290" s="18"/>
      <c r="BT1290" s="18"/>
      <c r="BX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F1291" s="18"/>
      <c r="BI1291" s="18"/>
      <c r="BT1291" s="18"/>
      <c r="BX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F1292" s="18"/>
      <c r="BI1292" s="18"/>
      <c r="BT1292" s="18"/>
      <c r="BX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F1293" s="18"/>
      <c r="BI1293" s="18"/>
      <c r="BT1293" s="18"/>
      <c r="BX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F1294" s="18"/>
      <c r="BI1294" s="18"/>
      <c r="BT1294" s="18"/>
      <c r="BX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F1295" s="18"/>
      <c r="BI1295" s="18"/>
      <c r="BT1295" s="18"/>
      <c r="BX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F1296" s="18"/>
      <c r="BI1296" s="18"/>
      <c r="BT1296" s="18"/>
      <c r="BX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F1297" s="18"/>
      <c r="BI1297" s="18"/>
      <c r="BT1297" s="18"/>
      <c r="BX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F1298" s="18"/>
      <c r="BI1298" s="18"/>
      <c r="BT1298" s="18"/>
      <c r="BX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F1299" s="18"/>
      <c r="BI1299" s="18"/>
      <c r="BT1299" s="18"/>
      <c r="BX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F1300" s="18"/>
      <c r="BI1300" s="18"/>
      <c r="BT1300" s="18"/>
      <c r="BX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F1301" s="18"/>
      <c r="BI1301" s="18"/>
      <c r="BT1301" s="18"/>
      <c r="BX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F1302" s="18"/>
      <c r="BI1302" s="18"/>
      <c r="BT1302" s="18"/>
      <c r="BX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F1303" s="18"/>
      <c r="BI1303" s="18"/>
      <c r="BT1303" s="18"/>
      <c r="BX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F1304" s="18"/>
      <c r="BI1304" s="18"/>
      <c r="BT1304" s="18"/>
      <c r="BX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F1305" s="18"/>
      <c r="BI1305" s="18"/>
      <c r="BT1305" s="18"/>
      <c r="BX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F1306" s="18"/>
      <c r="BI1306" s="18"/>
      <c r="BT1306" s="18"/>
      <c r="BX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F1307" s="18"/>
      <c r="BI1307" s="18"/>
      <c r="BT1307" s="18"/>
      <c r="BX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F1308" s="18"/>
      <c r="BI1308" s="18"/>
      <c r="BT1308" s="18"/>
      <c r="BX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F1309" s="18"/>
      <c r="BI1309" s="18"/>
      <c r="BT1309" s="18"/>
      <c r="BX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F1310" s="18"/>
      <c r="BI1310" s="18"/>
      <c r="BT1310" s="18"/>
      <c r="BX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F1311" s="18"/>
      <c r="BI1311" s="18"/>
      <c r="BT1311" s="18"/>
      <c r="BX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F1312" s="18"/>
      <c r="BI1312" s="18"/>
      <c r="BT1312" s="18"/>
      <c r="BX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F1313" s="18"/>
      <c r="BI1313" s="18"/>
      <c r="BT1313" s="18"/>
      <c r="BX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F1314" s="18"/>
      <c r="BI1314" s="18"/>
      <c r="BT1314" s="18"/>
      <c r="BX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F1315" s="18"/>
      <c r="BI1315" s="18"/>
      <c r="BT1315" s="18"/>
      <c r="BX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F1316" s="18"/>
      <c r="BI1316" s="18"/>
      <c r="BT1316" s="18"/>
      <c r="BX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F1317" s="18"/>
      <c r="BI1317" s="18"/>
      <c r="BT1317" s="18"/>
      <c r="BX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F1318" s="18"/>
      <c r="BI1318" s="18"/>
      <c r="BT1318" s="18"/>
      <c r="BX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F1319" s="18"/>
      <c r="BI1319" s="18"/>
      <c r="BT1319" s="18"/>
      <c r="BX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F1320" s="18"/>
      <c r="BI1320" s="18"/>
      <c r="BT1320" s="18"/>
      <c r="BX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F1321" s="18"/>
      <c r="BI1321" s="18"/>
      <c r="BT1321" s="18"/>
      <c r="BX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F1322" s="18"/>
      <c r="BI1322" s="18"/>
      <c r="BT1322" s="18"/>
      <c r="BX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F1323" s="18"/>
      <c r="BI1323" s="18"/>
      <c r="BT1323" s="18"/>
      <c r="BX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F1324" s="18"/>
      <c r="BI1324" s="18"/>
      <c r="BT1324" s="18"/>
      <c r="BX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F1325" s="18"/>
      <c r="BI1325" s="18"/>
      <c r="BT1325" s="18"/>
      <c r="BX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F1326" s="18"/>
      <c r="BI1326" s="18"/>
      <c r="BT1326" s="18"/>
      <c r="BX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F1327" s="18"/>
      <c r="BI1327" s="18"/>
      <c r="BT1327" s="18"/>
      <c r="BX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F1328" s="18"/>
      <c r="BI1328" s="18"/>
      <c r="BT1328" s="18"/>
      <c r="BX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F1329" s="18"/>
      <c r="BI1329" s="18"/>
      <c r="BT1329" s="18"/>
      <c r="BX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F1330" s="18"/>
      <c r="BI1330" s="18"/>
      <c r="BT1330" s="18"/>
      <c r="BX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F1331" s="18"/>
      <c r="BI1331" s="18"/>
      <c r="BT1331" s="18"/>
      <c r="BX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F1332" s="18"/>
      <c r="BI1332" s="18"/>
      <c r="BT1332" s="18"/>
      <c r="BX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F1333" s="18"/>
      <c r="BI1333" s="18"/>
      <c r="BT1333" s="18"/>
      <c r="BX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F1334" s="18"/>
      <c r="BI1334" s="18"/>
      <c r="BT1334" s="18"/>
      <c r="BX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F1335" s="18"/>
      <c r="BI1335" s="18"/>
      <c r="BT1335" s="18"/>
      <c r="BX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F1336" s="18"/>
      <c r="BI1336" s="18"/>
      <c r="BT1336" s="18"/>
      <c r="BX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F1337" s="18"/>
      <c r="BI1337" s="18"/>
      <c r="BT1337" s="18"/>
      <c r="BX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F1338" s="18"/>
      <c r="BI1338" s="18"/>
      <c r="BT1338" s="18"/>
      <c r="BX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F1339" s="18"/>
      <c r="BI1339" s="18"/>
      <c r="BT1339" s="18"/>
      <c r="BX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F1340" s="18"/>
      <c r="BI1340" s="18"/>
      <c r="BT1340" s="18"/>
      <c r="BX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F1341" s="18"/>
      <c r="BI1341" s="18"/>
      <c r="BT1341" s="18"/>
      <c r="BX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F1342" s="18"/>
      <c r="BI1342" s="18"/>
      <c r="BT1342" s="18"/>
      <c r="BX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F1343" s="18"/>
      <c r="BI1343" s="18"/>
      <c r="BT1343" s="18"/>
      <c r="BX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F1344" s="18"/>
      <c r="BI1344" s="18"/>
      <c r="BT1344" s="18"/>
      <c r="BX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F1345" s="18"/>
      <c r="BI1345" s="18"/>
      <c r="BT1345" s="18"/>
      <c r="BX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F1346" s="18"/>
      <c r="BI1346" s="18"/>
      <c r="BT1346" s="18"/>
      <c r="BX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F1347" s="18"/>
      <c r="BI1347" s="18"/>
      <c r="BT1347" s="18"/>
      <c r="BX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F1348" s="18"/>
      <c r="BI1348" s="18"/>
      <c r="BT1348" s="18"/>
      <c r="BX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F1349" s="18"/>
      <c r="BI1349" s="18"/>
      <c r="BT1349" s="18"/>
      <c r="BX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F1350" s="18"/>
      <c r="BI1350" s="18"/>
      <c r="BT1350" s="18"/>
      <c r="BX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F1351" s="18"/>
      <c r="BI1351" s="18"/>
      <c r="BT1351" s="18"/>
      <c r="BX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F1352" s="18"/>
      <c r="BI1352" s="18"/>
      <c r="BT1352" s="18"/>
      <c r="BX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F1353" s="18"/>
      <c r="BI1353" s="18"/>
      <c r="BT1353" s="18"/>
      <c r="BX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F1354" s="18"/>
      <c r="BI1354" s="18"/>
      <c r="BT1354" s="18"/>
      <c r="BX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F1355" s="18"/>
      <c r="BI1355" s="18"/>
      <c r="BT1355" s="18"/>
      <c r="BX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F1356" s="18"/>
      <c r="BI1356" s="18"/>
      <c r="BT1356" s="18"/>
      <c r="BX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F1357" s="18"/>
      <c r="BI1357" s="18"/>
      <c r="BT1357" s="18"/>
      <c r="BX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F1358" s="18"/>
      <c r="BI1358" s="18"/>
      <c r="BT1358" s="18"/>
      <c r="BX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F1359" s="18"/>
      <c r="BI1359" s="18"/>
      <c r="BT1359" s="18"/>
      <c r="BX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F1360" s="18"/>
      <c r="BI1360" s="18"/>
      <c r="BT1360" s="18"/>
      <c r="BX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F1361" s="18"/>
      <c r="BI1361" s="18"/>
      <c r="BT1361" s="18"/>
      <c r="BX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F1362" s="18"/>
      <c r="BI1362" s="18"/>
      <c r="BT1362" s="18"/>
      <c r="BX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F1363" s="18"/>
      <c r="BI1363" s="18"/>
      <c r="BT1363" s="18"/>
      <c r="BX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F1364" s="18"/>
      <c r="BI1364" s="18"/>
      <c r="BT1364" s="18"/>
      <c r="BX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F1365" s="18"/>
      <c r="BI1365" s="18"/>
      <c r="BT1365" s="18"/>
      <c r="BX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F1366" s="18"/>
      <c r="BI1366" s="18"/>
      <c r="BT1366" s="18"/>
      <c r="BX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F1367" s="18"/>
      <c r="BI1367" s="18"/>
      <c r="BT1367" s="18"/>
      <c r="BX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F1368" s="18"/>
      <c r="BI1368" s="18"/>
      <c r="BT1368" s="18"/>
      <c r="BX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F1369" s="18"/>
      <c r="BI1369" s="18"/>
      <c r="BT1369" s="18"/>
      <c r="BX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F1370" s="18"/>
      <c r="BI1370" s="18"/>
      <c r="BT1370" s="18"/>
      <c r="BX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F1371" s="18"/>
      <c r="BI1371" s="18"/>
      <c r="BT1371" s="18"/>
      <c r="BX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F1372" s="18"/>
      <c r="BI1372" s="18"/>
      <c r="BT1372" s="18"/>
      <c r="BX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F1373" s="18"/>
      <c r="BI1373" s="18"/>
      <c r="BT1373" s="18"/>
      <c r="BX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F1374" s="18"/>
      <c r="BI1374" s="18"/>
      <c r="BT1374" s="18"/>
      <c r="BX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F1375" s="18"/>
      <c r="BI1375" s="18"/>
      <c r="BT1375" s="18"/>
      <c r="BX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F1376" s="18"/>
      <c r="BI1376" s="18"/>
      <c r="BT1376" s="18"/>
      <c r="BX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F1377" s="18"/>
      <c r="BI1377" s="18"/>
      <c r="BT1377" s="18"/>
      <c r="BX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F1378" s="18"/>
      <c r="BI1378" s="18"/>
      <c r="BT1378" s="18"/>
      <c r="BX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F1379" s="18"/>
      <c r="BI1379" s="18"/>
      <c r="BT1379" s="18"/>
      <c r="BX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F1380" s="18"/>
      <c r="BI1380" s="18"/>
      <c r="BT1380" s="18"/>
      <c r="BX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F1381" s="18"/>
      <c r="BI1381" s="18"/>
      <c r="BT1381" s="18"/>
      <c r="BX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F1382" s="18"/>
      <c r="BI1382" s="18"/>
      <c r="BT1382" s="18"/>
      <c r="BX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F1383" s="18"/>
      <c r="BI1383" s="18"/>
      <c r="BT1383" s="18"/>
      <c r="BX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F1384" s="18"/>
      <c r="BI1384" s="18"/>
      <c r="BT1384" s="18"/>
      <c r="BX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F1385" s="18"/>
      <c r="BI1385" s="18"/>
      <c r="BT1385" s="18"/>
      <c r="BX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F1386" s="18"/>
      <c r="BI1386" s="18"/>
      <c r="BT1386" s="18"/>
      <c r="BX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F1387" s="18"/>
      <c r="BI1387" s="18"/>
      <c r="BT1387" s="18"/>
      <c r="BX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F1388" s="18"/>
      <c r="BI1388" s="18"/>
      <c r="BT1388" s="18"/>
      <c r="BX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F1389" s="18"/>
      <c r="BI1389" s="18"/>
      <c r="BT1389" s="18"/>
      <c r="BX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F1390" s="18"/>
      <c r="BI1390" s="18"/>
      <c r="BT1390" s="18"/>
      <c r="BX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F1391" s="18"/>
      <c r="BI1391" s="18"/>
      <c r="BT1391" s="18"/>
      <c r="BX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F1392" s="18"/>
      <c r="BI1392" s="18"/>
      <c r="BT1392" s="18"/>
      <c r="BX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F1393" s="18"/>
      <c r="BI1393" s="18"/>
      <c r="BT1393" s="18"/>
      <c r="BX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F1394" s="18"/>
      <c r="BI1394" s="18"/>
      <c r="BT1394" s="18"/>
      <c r="BX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F1395" s="18"/>
      <c r="BI1395" s="18"/>
      <c r="BT1395" s="18"/>
      <c r="BX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F1396" s="18"/>
      <c r="BI1396" s="18"/>
      <c r="BT1396" s="18"/>
      <c r="BX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F1397" s="18"/>
      <c r="BI1397" s="18"/>
      <c r="BT1397" s="18"/>
      <c r="BX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F1398" s="18"/>
      <c r="BI1398" s="18"/>
      <c r="BT1398" s="18"/>
      <c r="BX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F1399" s="18"/>
      <c r="BI1399" s="18"/>
      <c r="BT1399" s="18"/>
      <c r="BX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F1400" s="18"/>
      <c r="BI1400" s="18"/>
      <c r="BT1400" s="18"/>
      <c r="BX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F1401" s="18"/>
      <c r="BI1401" s="18"/>
      <c r="BT1401" s="18"/>
      <c r="BX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F1402" s="18"/>
      <c r="BI1402" s="18"/>
      <c r="BT1402" s="18"/>
      <c r="BX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F1403" s="18"/>
      <c r="BI1403" s="18"/>
      <c r="BT1403" s="18"/>
      <c r="BX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F1404" s="18"/>
      <c r="BI1404" s="18"/>
      <c r="BT1404" s="18"/>
      <c r="BX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F1405" s="18"/>
      <c r="BI1405" s="18"/>
      <c r="BT1405" s="18"/>
      <c r="BX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F1406" s="18"/>
      <c r="BI1406" s="18"/>
      <c r="BT1406" s="18"/>
      <c r="BX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F1407" s="18"/>
      <c r="BI1407" s="18"/>
      <c r="BT1407" s="18"/>
      <c r="BX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F1408" s="18"/>
      <c r="BI1408" s="18"/>
      <c r="BT1408" s="18"/>
      <c r="BX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F1409" s="18"/>
      <c r="BI1409" s="18"/>
      <c r="BT1409" s="18"/>
      <c r="BX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F1410" s="18"/>
      <c r="BI1410" s="18"/>
      <c r="BT1410" s="18"/>
      <c r="BX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F1411" s="18"/>
      <c r="BI1411" s="18"/>
      <c r="BT1411" s="18"/>
      <c r="BX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F1412" s="18"/>
      <c r="BI1412" s="18"/>
      <c r="BT1412" s="18"/>
      <c r="BX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F1413" s="18"/>
      <c r="BI1413" s="18"/>
      <c r="BT1413" s="18"/>
      <c r="BX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F1414" s="18"/>
      <c r="BI1414" s="18"/>
      <c r="BT1414" s="18"/>
      <c r="BX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F1415" s="18"/>
      <c r="BI1415" s="18"/>
      <c r="BT1415" s="18"/>
      <c r="BX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F1416" s="18"/>
      <c r="BI1416" s="18"/>
      <c r="BT1416" s="18"/>
      <c r="BX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F1417" s="18"/>
      <c r="BI1417" s="18"/>
      <c r="BT1417" s="18"/>
      <c r="BX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F1418" s="18"/>
      <c r="BI1418" s="18"/>
      <c r="BT1418" s="18"/>
      <c r="BX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F1419" s="18"/>
      <c r="BI1419" s="18"/>
      <c r="BT1419" s="18"/>
      <c r="BX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F1420" s="18"/>
      <c r="BI1420" s="18"/>
      <c r="BT1420" s="18"/>
      <c r="BX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F1421" s="18"/>
      <c r="BI1421" s="18"/>
      <c r="BT1421" s="18"/>
      <c r="BX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F1422" s="18"/>
      <c r="BI1422" s="18"/>
      <c r="BT1422" s="18"/>
      <c r="BX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F1423" s="18"/>
      <c r="BI1423" s="18"/>
      <c r="BT1423" s="18"/>
      <c r="BX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F1424" s="18"/>
      <c r="BI1424" s="18"/>
      <c r="BT1424" s="18"/>
      <c r="BX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F1425" s="18"/>
      <c r="BI1425" s="18"/>
      <c r="BT1425" s="18"/>
      <c r="BX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F1426" s="18"/>
      <c r="BI1426" s="18"/>
      <c r="BT1426" s="18"/>
      <c r="BX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F1427" s="18"/>
      <c r="BI1427" s="18"/>
      <c r="BT1427" s="18"/>
      <c r="BX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F1428" s="18"/>
      <c r="BI1428" s="18"/>
      <c r="BT1428" s="18"/>
      <c r="BX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F1429" s="18"/>
      <c r="BI1429" s="18"/>
      <c r="BT1429" s="18"/>
      <c r="BX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F1430" s="18"/>
      <c r="BI1430" s="18"/>
      <c r="BT1430" s="18"/>
      <c r="BX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F1431" s="18"/>
      <c r="BI1431" s="18"/>
      <c r="BT1431" s="18"/>
      <c r="BX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F1432" s="18"/>
      <c r="BI1432" s="18"/>
      <c r="BT1432" s="18"/>
      <c r="BX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F1433" s="18"/>
      <c r="BI1433" s="18"/>
      <c r="BT1433" s="18"/>
      <c r="BX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F1434" s="18"/>
      <c r="BI1434" s="18"/>
      <c r="BT1434" s="18"/>
      <c r="BX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F1435" s="18"/>
      <c r="BI1435" s="18"/>
      <c r="BT1435" s="18"/>
      <c r="BX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F1436" s="18"/>
      <c r="BI1436" s="18"/>
      <c r="BT1436" s="18"/>
      <c r="BX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F1437" s="18"/>
      <c r="BI1437" s="18"/>
      <c r="BT1437" s="18"/>
      <c r="BX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F1438" s="18"/>
      <c r="BI1438" s="18"/>
      <c r="BT1438" s="18"/>
      <c r="BX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F1439" s="18"/>
      <c r="BI1439" s="18"/>
      <c r="BT1439" s="18"/>
      <c r="BX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F1440" s="18"/>
      <c r="BI1440" s="18"/>
      <c r="BT1440" s="18"/>
      <c r="BX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F1441" s="18"/>
      <c r="BI1441" s="18"/>
      <c r="BT1441" s="18"/>
      <c r="BX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F1442" s="18"/>
      <c r="BI1442" s="18"/>
      <c r="BT1442" s="18"/>
      <c r="BX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F1443" s="18"/>
      <c r="BI1443" s="18"/>
      <c r="BT1443" s="18"/>
      <c r="BX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F1444" s="18"/>
      <c r="BI1444" s="18"/>
      <c r="BT1444" s="18"/>
      <c r="BX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F1445" s="18"/>
      <c r="BI1445" s="18"/>
      <c r="BT1445" s="18"/>
      <c r="BX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F1446" s="18"/>
      <c r="BI1446" s="18"/>
      <c r="BT1446" s="18"/>
      <c r="BX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F1447" s="18"/>
      <c r="BI1447" s="18"/>
      <c r="BT1447" s="18"/>
      <c r="BX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F1448" s="18"/>
      <c r="BI1448" s="18"/>
      <c r="BT1448" s="18"/>
      <c r="BX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F1449" s="18"/>
      <c r="BI1449" s="18"/>
      <c r="BT1449" s="18"/>
      <c r="BX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F1450" s="18"/>
      <c r="BI1450" s="18"/>
      <c r="BT1450" s="18"/>
      <c r="BX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F1451" s="18"/>
      <c r="BI1451" s="18"/>
      <c r="BT1451" s="18"/>
      <c r="BX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F1452" s="18"/>
      <c r="BI1452" s="18"/>
      <c r="BT1452" s="18"/>
      <c r="BX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F1453" s="18"/>
      <c r="BI1453" s="18"/>
      <c r="BT1453" s="18"/>
      <c r="BX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F1454" s="18"/>
      <c r="BI1454" s="18"/>
      <c r="BT1454" s="18"/>
      <c r="BX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F1455" s="18"/>
      <c r="BI1455" s="18"/>
      <c r="BT1455" s="18"/>
      <c r="BX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F1456" s="18"/>
      <c r="BI1456" s="18"/>
      <c r="BT1456" s="18"/>
      <c r="BX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F1457" s="18"/>
      <c r="BI1457" s="18"/>
      <c r="BT1457" s="18"/>
      <c r="BX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F1458" s="18"/>
      <c r="BI1458" s="18"/>
      <c r="BT1458" s="18"/>
      <c r="BX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F1459" s="18"/>
      <c r="BI1459" s="18"/>
      <c r="BT1459" s="18"/>
      <c r="BX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F1460" s="18"/>
      <c r="BI1460" s="18"/>
      <c r="BT1460" s="18"/>
      <c r="BX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F1461" s="18"/>
      <c r="BI1461" s="18"/>
      <c r="BT1461" s="18"/>
      <c r="BX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F1462" s="18"/>
      <c r="BI1462" s="18"/>
      <c r="BT1462" s="18"/>
      <c r="BX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F1463" s="18"/>
      <c r="BI1463" s="18"/>
      <c r="BT1463" s="18"/>
      <c r="BX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F1464" s="18"/>
      <c r="BI1464" s="18"/>
      <c r="BT1464" s="18"/>
      <c r="BX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F1465" s="18"/>
      <c r="BI1465" s="18"/>
      <c r="BT1465" s="18"/>
      <c r="BX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F1466" s="18"/>
      <c r="BI1466" s="18"/>
      <c r="BT1466" s="18"/>
      <c r="BX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F1467" s="18"/>
      <c r="BI1467" s="18"/>
      <c r="BT1467" s="18"/>
      <c r="BX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F1468" s="18"/>
      <c r="BI1468" s="18"/>
      <c r="BT1468" s="18"/>
      <c r="BX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F1469" s="18"/>
      <c r="BI1469" s="18"/>
      <c r="BT1469" s="18"/>
      <c r="BX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F1470" s="18"/>
      <c r="BI1470" s="18"/>
      <c r="BT1470" s="18"/>
      <c r="BX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F1471" s="18"/>
      <c r="BI1471" s="18"/>
      <c r="BT1471" s="18"/>
      <c r="BX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F1472" s="18"/>
      <c r="BI1472" s="18"/>
      <c r="BT1472" s="18"/>
      <c r="BX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F1473" s="18"/>
      <c r="BI1473" s="18"/>
      <c r="BT1473" s="18"/>
      <c r="BX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F1474" s="18"/>
      <c r="BI1474" s="18"/>
      <c r="BT1474" s="18"/>
      <c r="BX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F1475" s="18"/>
      <c r="BI1475" s="18"/>
      <c r="BT1475" s="18"/>
      <c r="BX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F1476" s="18"/>
      <c r="BI1476" s="18"/>
      <c r="BT1476" s="18"/>
      <c r="BX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F1477" s="18"/>
      <c r="BI1477" s="18"/>
      <c r="BT1477" s="18"/>
      <c r="BX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F1478" s="18"/>
      <c r="BI1478" s="18"/>
      <c r="BT1478" s="18"/>
      <c r="BX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F1479" s="18"/>
      <c r="BI1479" s="18"/>
      <c r="BT1479" s="18"/>
      <c r="BX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F1480" s="18"/>
      <c r="BI1480" s="18"/>
      <c r="BT1480" s="18"/>
      <c r="BX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F1481" s="18"/>
      <c r="BI1481" s="18"/>
      <c r="BT1481" s="18"/>
      <c r="BX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F1482" s="18"/>
      <c r="BI1482" s="18"/>
      <c r="BT1482" s="18"/>
      <c r="BX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F1483" s="18"/>
      <c r="BI1483" s="18"/>
      <c r="BT1483" s="18"/>
      <c r="BX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F1484" s="18"/>
      <c r="BI1484" s="18"/>
      <c r="BT1484" s="18"/>
      <c r="BX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F1485" s="18"/>
      <c r="BI1485" s="18"/>
      <c r="BT1485" s="18"/>
      <c r="BX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F1486" s="18"/>
      <c r="BI1486" s="18"/>
      <c r="BT1486" s="18"/>
      <c r="BX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F1487" s="18"/>
      <c r="BI1487" s="18"/>
      <c r="BT1487" s="18"/>
      <c r="BX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F1488" s="18"/>
      <c r="BI1488" s="18"/>
      <c r="BT1488" s="18"/>
      <c r="BX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F1489" s="18"/>
      <c r="BI1489" s="18"/>
      <c r="BT1489" s="18"/>
      <c r="BX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F1490" s="18"/>
      <c r="BI1490" s="18"/>
      <c r="BT1490" s="18"/>
      <c r="BX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F1491" s="18"/>
      <c r="BI1491" s="18"/>
      <c r="BT1491" s="18"/>
      <c r="BX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F1492" s="18"/>
      <c r="BI1492" s="18"/>
      <c r="BT1492" s="18"/>
      <c r="BX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F1493" s="18"/>
      <c r="BI1493" s="18"/>
      <c r="BT1493" s="18"/>
      <c r="BX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F1494" s="18"/>
      <c r="BI1494" s="18"/>
      <c r="BT1494" s="18"/>
      <c r="BX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F1495" s="18"/>
      <c r="BI1495" s="18"/>
      <c r="BT1495" s="18"/>
      <c r="BX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F1496" s="18"/>
      <c r="BI1496" s="18"/>
      <c r="BT1496" s="18"/>
      <c r="BX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F1497" s="18"/>
      <c r="BI1497" s="18"/>
      <c r="BT1497" s="18"/>
      <c r="BX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F1498" s="18"/>
      <c r="BI1498" s="18"/>
      <c r="BT1498" s="18"/>
      <c r="BX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F1499" s="18"/>
      <c r="BI1499" s="18"/>
      <c r="BT1499" s="18"/>
      <c r="BX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F1500" s="18"/>
      <c r="BI1500" s="18"/>
      <c r="BT1500" s="18"/>
      <c r="BX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F1501" s="18"/>
      <c r="BI1501" s="18"/>
      <c r="BT1501" s="18"/>
      <c r="BX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F1502" s="18"/>
      <c r="BI1502" s="18"/>
      <c r="BT1502" s="18"/>
      <c r="BX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F1503" s="18"/>
      <c r="BI1503" s="18"/>
      <c r="BT1503" s="18"/>
      <c r="BX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F1504" s="18"/>
      <c r="BI1504" s="18"/>
      <c r="BT1504" s="18"/>
      <c r="BX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F1505" s="18"/>
      <c r="BI1505" s="18"/>
      <c r="BT1505" s="18"/>
      <c r="BX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F1506" s="18"/>
      <c r="BI1506" s="18"/>
      <c r="BT1506" s="18"/>
      <c r="BX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F1507" s="18"/>
      <c r="BI1507" s="18"/>
      <c r="BT1507" s="18"/>
      <c r="BX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F1508" s="18"/>
      <c r="BI1508" s="18"/>
      <c r="BT1508" s="18"/>
      <c r="BX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F1509" s="18"/>
      <c r="BI1509" s="18"/>
      <c r="BT1509" s="18"/>
      <c r="BX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F1510" s="18"/>
      <c r="BI1510" s="18"/>
      <c r="BT1510" s="18"/>
      <c r="BX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F1511" s="18"/>
      <c r="BI1511" s="18"/>
      <c r="BT1511" s="18"/>
      <c r="BX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F1512" s="18"/>
      <c r="BI1512" s="18"/>
      <c r="BT1512" s="18"/>
      <c r="BX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F1513" s="18"/>
      <c r="BI1513" s="18"/>
      <c r="BT1513" s="18"/>
      <c r="BX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F1514" s="18"/>
      <c r="BI1514" s="18"/>
      <c r="BT1514" s="18"/>
      <c r="BX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F1515" s="18"/>
      <c r="BI1515" s="18"/>
      <c r="BT1515" s="18"/>
      <c r="BX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F1516" s="18"/>
      <c r="BI1516" s="18"/>
      <c r="BT1516" s="18"/>
      <c r="BX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F1517" s="18"/>
      <c r="BI1517" s="18"/>
      <c r="BT1517" s="18"/>
      <c r="BX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F1518" s="18"/>
      <c r="BI1518" s="18"/>
      <c r="BT1518" s="18"/>
      <c r="BX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F1519" s="18"/>
      <c r="BI1519" s="18"/>
      <c r="BT1519" s="18"/>
      <c r="BX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F1520" s="18"/>
      <c r="BI1520" s="18"/>
      <c r="BT1520" s="18"/>
      <c r="BX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F1521" s="18"/>
      <c r="BI1521" s="18"/>
      <c r="BT1521" s="18"/>
      <c r="BX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F1522" s="18"/>
      <c r="BI1522" s="18"/>
      <c r="BT1522" s="18"/>
      <c r="BX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F1523" s="18"/>
      <c r="BI1523" s="18"/>
      <c r="BT1523" s="18"/>
      <c r="BX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F1524" s="18"/>
      <c r="BI1524" s="18"/>
      <c r="BT1524" s="18"/>
      <c r="BX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F1525" s="18"/>
      <c r="BI1525" s="18"/>
      <c r="BT1525" s="18"/>
      <c r="BX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F1526" s="18"/>
      <c r="BI1526" s="18"/>
      <c r="BT1526" s="18"/>
      <c r="BX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F1527" s="18"/>
      <c r="BI1527" s="18"/>
      <c r="BT1527" s="18"/>
      <c r="BX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F1528" s="18"/>
      <c r="BI1528" s="18"/>
      <c r="BT1528" s="18"/>
      <c r="BX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F1529" s="18"/>
      <c r="BI1529" s="18"/>
      <c r="BT1529" s="18"/>
      <c r="BX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F1530" s="18"/>
      <c r="BI1530" s="18"/>
      <c r="BT1530" s="18"/>
      <c r="BX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F1531" s="18"/>
      <c r="BI1531" s="18"/>
      <c r="BT1531" s="18"/>
      <c r="BX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F1532" s="18"/>
      <c r="BI1532" s="18"/>
      <c r="BT1532" s="18"/>
      <c r="BX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F1533" s="18"/>
      <c r="BI1533" s="18"/>
      <c r="BT1533" s="18"/>
      <c r="BX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F1534" s="18"/>
      <c r="BI1534" s="18"/>
      <c r="BT1534" s="18"/>
      <c r="BX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F1535" s="18"/>
      <c r="BI1535" s="18"/>
      <c r="BT1535" s="18"/>
      <c r="BX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F1536" s="18"/>
      <c r="BI1536" s="18"/>
      <c r="BT1536" s="18"/>
      <c r="BX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F1537" s="18"/>
      <c r="BI1537" s="18"/>
      <c r="BT1537" s="18"/>
      <c r="BX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F1538" s="18"/>
      <c r="BI1538" s="18"/>
      <c r="BT1538" s="18"/>
      <c r="BX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F1539" s="18"/>
      <c r="BI1539" s="18"/>
      <c r="BT1539" s="18"/>
      <c r="BX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F1540" s="18"/>
      <c r="BI1540" s="18"/>
      <c r="BT1540" s="18"/>
      <c r="BX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F1541" s="18"/>
      <c r="BI1541" s="18"/>
      <c r="BT1541" s="18"/>
      <c r="BX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F1542" s="18"/>
      <c r="BI1542" s="18"/>
      <c r="BT1542" s="18"/>
      <c r="BX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F1543" s="18"/>
      <c r="BI1543" s="18"/>
      <c r="BT1543" s="18"/>
      <c r="BX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F1544" s="18"/>
      <c r="BI1544" s="18"/>
      <c r="BT1544" s="18"/>
      <c r="BX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F1545" s="18"/>
      <c r="BI1545" s="18"/>
      <c r="BT1545" s="18"/>
      <c r="BX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F1546" s="18"/>
      <c r="BI1546" s="18"/>
      <c r="BT1546" s="18"/>
      <c r="BX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F1547" s="18"/>
      <c r="BI1547" s="18"/>
      <c r="BT1547" s="18"/>
      <c r="BX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F1548" s="18"/>
      <c r="BI1548" s="18"/>
      <c r="BT1548" s="18"/>
      <c r="BX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F1549" s="18"/>
      <c r="BI1549" s="18"/>
      <c r="BT1549" s="18"/>
      <c r="BX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F1550" s="18"/>
      <c r="BI1550" s="18"/>
      <c r="BT1550" s="18"/>
      <c r="BX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F1551" s="18"/>
      <c r="BI1551" s="18"/>
      <c r="BT1551" s="18"/>
      <c r="BX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F1552" s="18"/>
      <c r="BI1552" s="18"/>
      <c r="BT1552" s="18"/>
      <c r="BX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F1553" s="18"/>
      <c r="BI1553" s="18"/>
      <c r="BT1553" s="18"/>
      <c r="BX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F1554" s="18"/>
      <c r="BI1554" s="18"/>
      <c r="BT1554" s="18"/>
      <c r="BX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F1555" s="18"/>
      <c r="BI1555" s="18"/>
      <c r="BT1555" s="18"/>
      <c r="BX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F1556" s="18"/>
      <c r="BI1556" s="18"/>
      <c r="BT1556" s="18"/>
      <c r="BX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F1557" s="18"/>
      <c r="BI1557" s="18"/>
      <c r="BT1557" s="18"/>
      <c r="BX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F1558" s="18"/>
      <c r="BI1558" s="18"/>
      <c r="BT1558" s="18"/>
      <c r="BX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F1559" s="18"/>
      <c r="BI1559" s="18"/>
      <c r="BT1559" s="18"/>
      <c r="BX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F1560" s="18"/>
      <c r="BI1560" s="18"/>
      <c r="BT1560" s="18"/>
      <c r="BX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F1561" s="18"/>
      <c r="BI1561" s="18"/>
      <c r="BT1561" s="18"/>
      <c r="BX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F1562" s="18"/>
      <c r="BI1562" s="18"/>
      <c r="BT1562" s="18"/>
      <c r="BX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F1563" s="18"/>
      <c r="BI1563" s="18"/>
      <c r="BT1563" s="18"/>
      <c r="BX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F1564" s="18"/>
      <c r="BI1564" s="18"/>
      <c r="BT1564" s="18"/>
      <c r="BX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F1565" s="18"/>
      <c r="BI1565" s="18"/>
      <c r="BT1565" s="18"/>
      <c r="BX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F1566" s="18"/>
      <c r="BI1566" s="18"/>
      <c r="BT1566" s="18"/>
      <c r="BX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F1567" s="18"/>
      <c r="BI1567" s="18"/>
      <c r="BT1567" s="18"/>
      <c r="BX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F1568" s="18"/>
      <c r="BI1568" s="18"/>
      <c r="BT1568" s="18"/>
      <c r="BX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F1569" s="18"/>
      <c r="BI1569" s="18"/>
      <c r="BT1569" s="18"/>
      <c r="BX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F1570" s="18"/>
      <c r="BI1570" s="18"/>
      <c r="BT1570" s="18"/>
      <c r="BX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F1571" s="18"/>
      <c r="BI1571" s="18"/>
      <c r="BT1571" s="18"/>
      <c r="BX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F1572" s="18"/>
      <c r="BI1572" s="18"/>
      <c r="BT1572" s="18"/>
      <c r="BX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F1573" s="18"/>
      <c r="BI1573" s="18"/>
      <c r="BT1573" s="18"/>
      <c r="BX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F1574" s="18"/>
      <c r="BI1574" s="18"/>
      <c r="BT1574" s="18"/>
      <c r="BX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F1575" s="18"/>
      <c r="BI1575" s="18"/>
      <c r="BT1575" s="18"/>
      <c r="BX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F1576" s="18"/>
      <c r="BI1576" s="18"/>
      <c r="BT1576" s="18"/>
      <c r="BX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F1577" s="18"/>
      <c r="BI1577" s="18"/>
      <c r="BT1577" s="18"/>
      <c r="BX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F1578" s="18"/>
      <c r="BI1578" s="18"/>
      <c r="BT1578" s="18"/>
      <c r="BX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F1579" s="18"/>
      <c r="BI1579" s="18"/>
      <c r="BT1579" s="18"/>
      <c r="BX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F1580" s="18"/>
      <c r="BI1580" s="18"/>
      <c r="BT1580" s="18"/>
      <c r="BX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F1581" s="18"/>
      <c r="BI1581" s="18"/>
      <c r="BT1581" s="18"/>
      <c r="BX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F1582" s="18"/>
      <c r="BI1582" s="18"/>
      <c r="BT1582" s="18"/>
      <c r="BX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F1583" s="18"/>
      <c r="BI1583" s="18"/>
      <c r="BT1583" s="18"/>
      <c r="BX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F1584" s="18"/>
      <c r="BI1584" s="18"/>
      <c r="BT1584" s="18"/>
      <c r="BX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F1585" s="18"/>
      <c r="BI1585" s="18"/>
      <c r="BT1585" s="18"/>
      <c r="BX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F1586" s="18"/>
      <c r="BI1586" s="18"/>
      <c r="BT1586" s="18"/>
      <c r="BX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F1587" s="18"/>
      <c r="BI1587" s="18"/>
      <c r="BT1587" s="18"/>
      <c r="BX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F1588" s="18"/>
      <c r="BI1588" s="18"/>
      <c r="BT1588" s="18"/>
      <c r="BX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F1589" s="18"/>
      <c r="BI1589" s="18"/>
      <c r="BT1589" s="18"/>
      <c r="BX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F1590" s="18"/>
      <c r="BI1590" s="18"/>
      <c r="BT1590" s="18"/>
      <c r="BX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F1591" s="18"/>
      <c r="BI1591" s="18"/>
      <c r="BT1591" s="18"/>
      <c r="BX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F1592" s="18"/>
      <c r="BI1592" s="18"/>
      <c r="BT1592" s="18"/>
      <c r="BX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F1593" s="18"/>
      <c r="BI1593" s="18"/>
      <c r="BT1593" s="18"/>
      <c r="BX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F1594" s="18"/>
      <c r="BI1594" s="18"/>
      <c r="BT1594" s="18"/>
      <c r="BX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F1595" s="18"/>
      <c r="BI1595" s="18"/>
      <c r="BT1595" s="18"/>
      <c r="BX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F1596" s="18"/>
      <c r="BI1596" s="18"/>
      <c r="BT1596" s="18"/>
      <c r="BX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F1597" s="18"/>
      <c r="BI1597" s="18"/>
      <c r="BT1597" s="18"/>
      <c r="BX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F1598" s="18"/>
      <c r="BI1598" s="18"/>
      <c r="BT1598" s="18"/>
      <c r="BX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F1599" s="18"/>
      <c r="BI1599" s="18"/>
      <c r="BT1599" s="18"/>
      <c r="BX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F1600" s="18"/>
      <c r="BI1600" s="18"/>
      <c r="BT1600" s="18"/>
      <c r="BX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F1601" s="18"/>
      <c r="BI1601" s="18"/>
      <c r="BT1601" s="18"/>
      <c r="BX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F1602" s="18"/>
      <c r="BI1602" s="18"/>
      <c r="BT1602" s="18"/>
      <c r="BX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F1603" s="18"/>
      <c r="BI1603" s="18"/>
      <c r="BT1603" s="18"/>
      <c r="BX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F1604" s="18"/>
      <c r="BI1604" s="18"/>
      <c r="BT1604" s="18"/>
      <c r="BX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F1605" s="18"/>
      <c r="BI1605" s="18"/>
      <c r="BT1605" s="18"/>
      <c r="BX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F1606" s="18"/>
      <c r="BI1606" s="18"/>
      <c r="BT1606" s="18"/>
      <c r="BX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F1607" s="18"/>
      <c r="BI1607" s="18"/>
      <c r="BT1607" s="18"/>
      <c r="BX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F1608" s="18"/>
      <c r="BI1608" s="18"/>
      <c r="BT1608" s="18"/>
      <c r="BX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F1609" s="18"/>
      <c r="BI1609" s="18"/>
      <c r="BT1609" s="18"/>
      <c r="BX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F1610" s="18"/>
      <c r="BI1610" s="18"/>
      <c r="BT1610" s="18"/>
      <c r="BX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F1611" s="18"/>
      <c r="BI1611" s="18"/>
      <c r="BT1611" s="18"/>
      <c r="BX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F1612" s="18"/>
      <c r="BI1612" s="18"/>
      <c r="BT1612" s="18"/>
      <c r="BX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F1613" s="18"/>
      <c r="BI1613" s="18"/>
      <c r="BT1613" s="18"/>
      <c r="BX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F1614" s="18"/>
      <c r="BI1614" s="18"/>
      <c r="BT1614" s="18"/>
      <c r="BX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F1615" s="18"/>
      <c r="BI1615" s="18"/>
      <c r="BT1615" s="18"/>
      <c r="BX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F1616" s="18"/>
      <c r="BI1616" s="18"/>
      <c r="BT1616" s="18"/>
      <c r="BX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F1617" s="18"/>
      <c r="BI1617" s="18"/>
      <c r="BT1617" s="18"/>
      <c r="BX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F1618" s="18"/>
      <c r="BI1618" s="18"/>
      <c r="BT1618" s="18"/>
      <c r="BX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F1619" s="18"/>
      <c r="BI1619" s="18"/>
      <c r="BT1619" s="18"/>
      <c r="BX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F1620" s="18"/>
      <c r="BI1620" s="18"/>
      <c r="BT1620" s="18"/>
      <c r="BX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F1621" s="18"/>
      <c r="BI1621" s="18"/>
      <c r="BT1621" s="18"/>
      <c r="BX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F1622" s="18"/>
      <c r="BI1622" s="18"/>
      <c r="BT1622" s="18"/>
      <c r="BX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F1623" s="18"/>
      <c r="BI1623" s="18"/>
      <c r="BT1623" s="18"/>
      <c r="BX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F1624" s="18"/>
      <c r="BI1624" s="18"/>
      <c r="BT1624" s="18"/>
      <c r="BX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F1625" s="18"/>
      <c r="BI1625" s="18"/>
      <c r="BT1625" s="18"/>
      <c r="BX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F1626" s="18"/>
      <c r="BI1626" s="18"/>
      <c r="BT1626" s="18"/>
      <c r="BX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F1627" s="18"/>
      <c r="BI1627" s="18"/>
      <c r="BT1627" s="18"/>
      <c r="BX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F1628" s="18"/>
      <c r="BI1628" s="18"/>
      <c r="BT1628" s="18"/>
      <c r="BX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F1629" s="18"/>
      <c r="BI1629" s="18"/>
      <c r="BT1629" s="18"/>
      <c r="BX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F1630" s="18"/>
      <c r="BI1630" s="18"/>
      <c r="BT1630" s="18"/>
      <c r="BX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F1631" s="18"/>
      <c r="BI1631" s="18"/>
      <c r="BT1631" s="18"/>
      <c r="BX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F1632" s="18"/>
      <c r="BI1632" s="18"/>
      <c r="BT1632" s="18"/>
      <c r="BX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F1633" s="18"/>
      <c r="BI1633" s="18"/>
      <c r="BT1633" s="18"/>
      <c r="BX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F1634" s="18"/>
      <c r="BI1634" s="18"/>
      <c r="BT1634" s="18"/>
      <c r="BX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F1635" s="18"/>
      <c r="BI1635" s="18"/>
      <c r="BT1635" s="18"/>
      <c r="BX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F1636" s="18"/>
      <c r="BI1636" s="18"/>
      <c r="BT1636" s="18"/>
      <c r="BX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F1637" s="18"/>
      <c r="BI1637" s="18"/>
      <c r="BT1637" s="18"/>
      <c r="BX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F1638" s="18"/>
      <c r="BI1638" s="18"/>
      <c r="BT1638" s="18"/>
      <c r="BX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F1639" s="18"/>
      <c r="BI1639" s="18"/>
      <c r="BT1639" s="18"/>
      <c r="BX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F1640" s="18"/>
      <c r="BI1640" s="18"/>
      <c r="BT1640" s="18"/>
      <c r="BX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F1641" s="18"/>
      <c r="BI1641" s="18"/>
      <c r="BT1641" s="18"/>
      <c r="BX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F1642" s="18"/>
      <c r="BI1642" s="18"/>
      <c r="BT1642" s="18"/>
      <c r="BX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F1643" s="18"/>
      <c r="BI1643" s="18"/>
      <c r="BT1643" s="18"/>
      <c r="BX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F1644" s="18"/>
      <c r="BI1644" s="18"/>
      <c r="BT1644" s="18"/>
      <c r="BX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F1645" s="18"/>
      <c r="BI1645" s="18"/>
      <c r="BT1645" s="18"/>
      <c r="BX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F1646" s="18"/>
      <c r="BI1646" s="18"/>
      <c r="BT1646" s="18"/>
      <c r="BX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F1647" s="18"/>
      <c r="BI1647" s="18"/>
      <c r="BT1647" s="18"/>
      <c r="BX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F1648" s="18"/>
      <c r="BI1648" s="18"/>
      <c r="BT1648" s="18"/>
      <c r="BX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F1649" s="18"/>
      <c r="BI1649" s="18"/>
      <c r="BT1649" s="18"/>
      <c r="BX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F1650" s="18"/>
      <c r="BI1650" s="18"/>
      <c r="BT1650" s="18"/>
      <c r="BX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F1651" s="18"/>
      <c r="BI1651" s="18"/>
      <c r="BT1651" s="18"/>
      <c r="BX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F1652" s="18"/>
      <c r="BI1652" s="18"/>
      <c r="BT1652" s="18"/>
      <c r="BX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F1653" s="18"/>
      <c r="BI1653" s="18"/>
      <c r="BT1653" s="18"/>
      <c r="BX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F1654" s="18"/>
      <c r="BI1654" s="18"/>
      <c r="BT1654" s="18"/>
      <c r="BX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F1655" s="18"/>
      <c r="BI1655" s="18"/>
      <c r="BT1655" s="18"/>
      <c r="BX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F1656" s="18"/>
      <c r="BI1656" s="18"/>
      <c r="BT1656" s="18"/>
      <c r="BX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F1657" s="18"/>
      <c r="BI1657" s="18"/>
      <c r="BT1657" s="18"/>
      <c r="BX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F1658" s="18"/>
      <c r="BI1658" s="18"/>
      <c r="BT1658" s="18"/>
      <c r="BX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F1659" s="18"/>
      <c r="BI1659" s="18"/>
      <c r="BT1659" s="18"/>
      <c r="BX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F1660" s="18"/>
      <c r="BI1660" s="18"/>
      <c r="BT1660" s="18"/>
      <c r="BX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F1661" s="18"/>
      <c r="BI1661" s="18"/>
      <c r="BT1661" s="18"/>
      <c r="BX1661" s="18"/>
      <c r="CC1661" s="18"/>
      <c r="CN1661" s="18"/>
      <c r="CY1661" s="34"/>
    </row>
  </sheetData>
  <autoFilter ref="A1:CX1116" xr:uid="{00000000-0009-0000-0000-000000000000}"/>
  <conditionalFormatting sqref="CZ1:XFD1116 A1117:XFD1048576">
    <cfRule type="expression" dxfId="221" priority="7">
      <formula>AND(NOT(ISBLANK($C1)),ISBLANK($C2))</formula>
    </cfRule>
    <cfRule type="containsBlanks" dxfId="220" priority="36">
      <formula>LEN(TRIM(A1))=0</formula>
    </cfRule>
  </conditionalFormatting>
  <conditionalFormatting sqref="CZ1:XFD1116 A1117:XFD1048576">
    <cfRule type="expression" dxfId="219" priority="276">
      <formula>$C1&lt;&gt;$C2</formula>
    </cfRule>
  </conditionalFormatting>
  <conditionalFormatting sqref="CY1:CY1116">
    <cfRule type="expression" dxfId="218" priority="4">
      <formula>AND(NOT(ISBLANK($C1)),ISBLANK($C2))</formula>
    </cfRule>
    <cfRule type="containsBlanks" dxfId="217" priority="5">
      <formula>LEN(TRIM(CY1))=0</formula>
    </cfRule>
    <cfRule type="expression" dxfId="216" priority="6">
      <formula>$C1&lt;&gt;$C2</formula>
    </cfRule>
  </conditionalFormatting>
  <conditionalFormatting sqref="A1:CX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2" activePane="bottomLeft" state="frozen"/>
      <selection pane="bottomLeft" activeCell="E8" sqref="E8"/>
    </sheetView>
  </sheetViews>
  <sheetFormatPr defaultRowHeight="15" x14ac:dyDescent="0.25"/>
  <cols>
    <col min="1" max="1" width="19.7109375" customWidth="1"/>
    <col min="2" max="2" width="40" style="113"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2" t="s">
        <v>358</v>
      </c>
      <c r="C1" s="92" t="s">
        <v>331</v>
      </c>
      <c r="D1" s="92" t="s">
        <v>351</v>
      </c>
      <c r="E1" s="92" t="s">
        <v>3899</v>
      </c>
      <c r="F1" s="119" t="s">
        <v>354</v>
      </c>
      <c r="G1" s="170" t="s">
        <v>3892</v>
      </c>
      <c r="H1" s="171" t="s">
        <v>355</v>
      </c>
      <c r="I1" s="172" t="s">
        <v>356</v>
      </c>
      <c r="J1" s="91" t="s">
        <v>4064</v>
      </c>
      <c r="K1" s="91" t="s">
        <v>323</v>
      </c>
      <c r="L1" s="91" t="s">
        <v>975</v>
      </c>
      <c r="M1" s="173" t="s">
        <v>324</v>
      </c>
    </row>
    <row r="2" spans="1:13" x14ac:dyDescent="0.25">
      <c r="A2" s="28" t="s">
        <v>0</v>
      </c>
      <c r="B2" s="121" t="s">
        <v>361</v>
      </c>
      <c r="C2" t="s">
        <v>349</v>
      </c>
      <c r="D2">
        <v>1</v>
      </c>
      <c r="E2" t="s">
        <v>3900</v>
      </c>
      <c r="F2" s="42" t="b">
        <v>0</v>
      </c>
      <c r="G2" s="42" t="b">
        <v>0</v>
      </c>
      <c r="J2" t="b">
        <v>0</v>
      </c>
      <c r="K2" t="b">
        <v>0</v>
      </c>
      <c r="L2" t="b">
        <v>0</v>
      </c>
    </row>
    <row r="3" spans="1:13" x14ac:dyDescent="0.25">
      <c r="A3" s="28" t="s">
        <v>1</v>
      </c>
      <c r="B3" s="121" t="s">
        <v>359</v>
      </c>
      <c r="C3" t="s">
        <v>349</v>
      </c>
      <c r="D3">
        <v>2</v>
      </c>
      <c r="E3" t="s">
        <v>3900</v>
      </c>
      <c r="F3" s="42" t="b">
        <v>0</v>
      </c>
      <c r="G3" s="42" t="b">
        <v>0</v>
      </c>
      <c r="J3" t="b">
        <v>0</v>
      </c>
      <c r="K3" t="b">
        <v>0</v>
      </c>
      <c r="L3" t="b">
        <v>0</v>
      </c>
    </row>
    <row r="4" spans="1:13" x14ac:dyDescent="0.25">
      <c r="A4" s="28" t="s">
        <v>327</v>
      </c>
      <c r="B4" s="121" t="s">
        <v>360</v>
      </c>
      <c r="C4" t="s">
        <v>357</v>
      </c>
      <c r="D4">
        <v>3</v>
      </c>
      <c r="E4" t="s">
        <v>3900</v>
      </c>
      <c r="F4" s="42" t="b">
        <v>0</v>
      </c>
      <c r="G4" s="42" t="b">
        <v>0</v>
      </c>
      <c r="J4" t="b">
        <v>0</v>
      </c>
      <c r="K4" t="b">
        <v>0</v>
      </c>
      <c r="L4" t="b">
        <v>0</v>
      </c>
    </row>
    <row r="5" spans="1:13" x14ac:dyDescent="0.25">
      <c r="A5" s="120" t="s">
        <v>3887</v>
      </c>
      <c r="B5" s="114" t="s">
        <v>4070</v>
      </c>
      <c r="C5" t="s">
        <v>350</v>
      </c>
      <c r="D5">
        <v>4</v>
      </c>
      <c r="E5" t="s">
        <v>3900</v>
      </c>
      <c r="F5" s="42" t="b">
        <v>1</v>
      </c>
      <c r="G5" s="42" t="b">
        <v>0</v>
      </c>
      <c r="J5" t="b">
        <v>0</v>
      </c>
      <c r="K5" t="b">
        <v>0</v>
      </c>
      <c r="L5" t="b">
        <v>0</v>
      </c>
    </row>
    <row r="6" spans="1:13" x14ac:dyDescent="0.25">
      <c r="A6" s="28" t="s">
        <v>147</v>
      </c>
      <c r="B6" s="121" t="s">
        <v>362</v>
      </c>
      <c r="C6" t="s">
        <v>350</v>
      </c>
      <c r="D6">
        <v>5</v>
      </c>
      <c r="E6" t="s">
        <v>3900</v>
      </c>
      <c r="F6" s="42" t="b">
        <v>1</v>
      </c>
      <c r="G6" s="42" t="b">
        <v>0</v>
      </c>
      <c r="J6" t="b">
        <v>0</v>
      </c>
      <c r="K6" t="b">
        <v>0</v>
      </c>
      <c r="L6" t="b">
        <v>0</v>
      </c>
    </row>
    <row r="7" spans="1:13" x14ac:dyDescent="0.25">
      <c r="A7" s="28" t="s">
        <v>86</v>
      </c>
      <c r="B7" s="121" t="s">
        <v>445</v>
      </c>
      <c r="C7" t="s">
        <v>350</v>
      </c>
      <c r="D7">
        <v>6</v>
      </c>
      <c r="E7" t="s">
        <v>3900</v>
      </c>
      <c r="F7" s="42" t="b">
        <v>1</v>
      </c>
      <c r="G7" s="42" t="b">
        <v>1</v>
      </c>
      <c r="I7" s="18" t="s">
        <v>3902</v>
      </c>
      <c r="J7" t="b">
        <v>0</v>
      </c>
      <c r="K7" t="b">
        <v>0</v>
      </c>
      <c r="L7" t="b">
        <v>0</v>
      </c>
    </row>
    <row r="8" spans="1:13" x14ac:dyDescent="0.25">
      <c r="A8" s="28" t="s">
        <v>87</v>
      </c>
      <c r="B8" s="121" t="s">
        <v>4071</v>
      </c>
      <c r="C8" t="s">
        <v>350</v>
      </c>
      <c r="D8">
        <v>7</v>
      </c>
      <c r="E8" t="s">
        <v>3900</v>
      </c>
      <c r="F8" s="42" t="b">
        <v>0</v>
      </c>
      <c r="G8" s="42" t="b">
        <v>0</v>
      </c>
      <c r="J8" t="b">
        <v>0</v>
      </c>
      <c r="K8" t="b">
        <v>0</v>
      </c>
      <c r="L8" t="b">
        <v>0</v>
      </c>
    </row>
    <row r="9" spans="1:13" x14ac:dyDescent="0.25">
      <c r="A9" s="28" t="s">
        <v>88</v>
      </c>
      <c r="B9" s="121" t="s">
        <v>4072</v>
      </c>
      <c r="C9" t="s">
        <v>350</v>
      </c>
      <c r="D9">
        <v>7</v>
      </c>
      <c r="E9" t="s">
        <v>3900</v>
      </c>
      <c r="F9" s="42" t="b">
        <v>0</v>
      </c>
      <c r="G9" s="42" t="b">
        <v>0</v>
      </c>
      <c r="J9" t="b">
        <v>0</v>
      </c>
      <c r="K9" t="b">
        <v>0</v>
      </c>
      <c r="L9" t="b">
        <v>0</v>
      </c>
    </row>
    <row r="10" spans="1:13" x14ac:dyDescent="0.25">
      <c r="A10" s="120" t="s">
        <v>4067</v>
      </c>
      <c r="B10" s="114" t="s">
        <v>4073</v>
      </c>
      <c r="C10" t="s">
        <v>350</v>
      </c>
      <c r="D10">
        <v>8</v>
      </c>
      <c r="E10" t="s">
        <v>3900</v>
      </c>
      <c r="F10" s="42" t="b">
        <v>1</v>
      </c>
      <c r="G10" s="42" t="b">
        <v>0</v>
      </c>
      <c r="J10" t="b">
        <v>0</v>
      </c>
      <c r="K10" t="b">
        <v>0</v>
      </c>
      <c r="L10" t="b">
        <v>0</v>
      </c>
    </row>
    <row r="11" spans="1:13" x14ac:dyDescent="0.25">
      <c r="A11" s="28" t="s">
        <v>4068</v>
      </c>
      <c r="B11" s="121" t="s">
        <v>4074</v>
      </c>
      <c r="C11" t="s">
        <v>350</v>
      </c>
      <c r="D11">
        <v>9</v>
      </c>
      <c r="E11" t="s">
        <v>3900</v>
      </c>
      <c r="F11" s="42" t="b">
        <v>0</v>
      </c>
      <c r="G11" s="42" t="b">
        <v>0</v>
      </c>
      <c r="J11" t="b">
        <v>0</v>
      </c>
      <c r="K11" t="b">
        <v>0</v>
      </c>
      <c r="L11" t="b">
        <v>0</v>
      </c>
    </row>
    <row r="12" spans="1:13" x14ac:dyDescent="0.25">
      <c r="A12" s="28" t="s">
        <v>4069</v>
      </c>
      <c r="B12" s="121" t="s">
        <v>3911</v>
      </c>
      <c r="C12" t="s">
        <v>350</v>
      </c>
      <c r="D12">
        <v>9</v>
      </c>
      <c r="E12" t="s">
        <v>3900</v>
      </c>
      <c r="F12" s="42" t="b">
        <v>1</v>
      </c>
      <c r="G12" s="42" t="b">
        <v>0</v>
      </c>
      <c r="J12" t="b">
        <v>0</v>
      </c>
      <c r="K12" t="b">
        <v>0</v>
      </c>
      <c r="L12" t="b">
        <v>0</v>
      </c>
    </row>
    <row r="13" spans="1:13" x14ac:dyDescent="0.25">
      <c r="A13" s="6" t="s">
        <v>43</v>
      </c>
      <c r="B13" s="115" t="s">
        <v>363</v>
      </c>
      <c r="C13" t="s">
        <v>332</v>
      </c>
      <c r="D13">
        <v>11</v>
      </c>
      <c r="E13" t="s">
        <v>3900</v>
      </c>
      <c r="F13" s="42" t="b">
        <v>1</v>
      </c>
      <c r="G13" s="42" t="b">
        <v>1</v>
      </c>
      <c r="H13">
        <v>1</v>
      </c>
      <c r="J13" t="b">
        <v>1</v>
      </c>
      <c r="K13" t="b">
        <v>1</v>
      </c>
      <c r="L13" t="b">
        <v>0</v>
      </c>
    </row>
    <row r="14" spans="1:13" x14ac:dyDescent="0.25">
      <c r="A14" s="6" t="s">
        <v>44</v>
      </c>
      <c r="B14" s="115" t="s">
        <v>364</v>
      </c>
      <c r="C14" t="s">
        <v>332</v>
      </c>
      <c r="D14">
        <v>11</v>
      </c>
      <c r="E14" t="s">
        <v>3900</v>
      </c>
      <c r="F14" s="42" t="b">
        <v>1</v>
      </c>
      <c r="G14" s="42" t="b">
        <v>1</v>
      </c>
      <c r="H14">
        <v>1</v>
      </c>
      <c r="J14" t="b">
        <v>0</v>
      </c>
      <c r="K14" t="b">
        <v>0</v>
      </c>
      <c r="L14" t="b">
        <v>0</v>
      </c>
    </row>
    <row r="15" spans="1:13" x14ac:dyDescent="0.25">
      <c r="A15" s="6" t="s">
        <v>41</v>
      </c>
      <c r="B15" s="115" t="s">
        <v>365</v>
      </c>
      <c r="C15" t="s">
        <v>332</v>
      </c>
      <c r="D15">
        <v>12</v>
      </c>
      <c r="E15" t="s">
        <v>3900</v>
      </c>
      <c r="F15" s="42" t="b">
        <v>1</v>
      </c>
      <c r="G15" s="42" t="b">
        <v>1</v>
      </c>
      <c r="H15">
        <v>1</v>
      </c>
      <c r="J15" t="b">
        <v>1</v>
      </c>
      <c r="K15" t="b">
        <v>1</v>
      </c>
      <c r="L15" t="b">
        <v>0</v>
      </c>
    </row>
    <row r="16" spans="1:13" x14ac:dyDescent="0.25">
      <c r="A16" s="6" t="s">
        <v>45</v>
      </c>
      <c r="B16" s="115" t="s">
        <v>366</v>
      </c>
      <c r="C16" t="s">
        <v>332</v>
      </c>
      <c r="D16">
        <v>12</v>
      </c>
      <c r="E16" t="s">
        <v>3900</v>
      </c>
      <c r="F16" s="42" t="b">
        <v>1</v>
      </c>
      <c r="G16" s="42" t="b">
        <v>1</v>
      </c>
      <c r="H16">
        <v>1</v>
      </c>
      <c r="J16" t="b">
        <v>1</v>
      </c>
      <c r="K16" t="b">
        <v>1</v>
      </c>
      <c r="L16" t="b">
        <v>0</v>
      </c>
    </row>
    <row r="17" spans="1:12" x14ac:dyDescent="0.25">
      <c r="A17" s="6" t="s">
        <v>40</v>
      </c>
      <c r="B17" s="115" t="s">
        <v>367</v>
      </c>
      <c r="C17" t="s">
        <v>332</v>
      </c>
      <c r="D17">
        <v>12</v>
      </c>
      <c r="E17" t="s">
        <v>3900</v>
      </c>
      <c r="F17" s="42" t="b">
        <v>1</v>
      </c>
      <c r="G17" s="42" t="b">
        <v>1</v>
      </c>
      <c r="H17">
        <v>1</v>
      </c>
      <c r="J17" t="b">
        <v>1</v>
      </c>
      <c r="K17" t="b">
        <v>1</v>
      </c>
      <c r="L17" t="b">
        <v>0</v>
      </c>
    </row>
    <row r="18" spans="1:12" x14ac:dyDescent="0.25">
      <c r="A18" s="6" t="s">
        <v>42</v>
      </c>
      <c r="B18" s="115" t="s">
        <v>368</v>
      </c>
      <c r="C18" t="s">
        <v>332</v>
      </c>
      <c r="D18">
        <v>12</v>
      </c>
      <c r="E18" t="s">
        <v>3900</v>
      </c>
      <c r="F18" s="42" t="b">
        <v>1</v>
      </c>
      <c r="G18" s="42" t="b">
        <v>1</v>
      </c>
      <c r="H18">
        <v>1</v>
      </c>
      <c r="J18" t="b">
        <v>1</v>
      </c>
      <c r="K18" t="b">
        <v>1</v>
      </c>
      <c r="L18" t="b">
        <v>0</v>
      </c>
    </row>
    <row r="19" spans="1:12" x14ac:dyDescent="0.25">
      <c r="A19" s="6" t="s">
        <v>276</v>
      </c>
      <c r="B19" s="115" t="s">
        <v>369</v>
      </c>
      <c r="C19" t="s">
        <v>332</v>
      </c>
      <c r="D19">
        <v>12</v>
      </c>
      <c r="E19" t="s">
        <v>3900</v>
      </c>
      <c r="F19" s="42" t="b">
        <v>1</v>
      </c>
      <c r="G19" s="42" t="b">
        <v>1</v>
      </c>
      <c r="H19">
        <v>1</v>
      </c>
      <c r="J19" t="b">
        <v>0</v>
      </c>
      <c r="K19" t="b">
        <v>0</v>
      </c>
      <c r="L19" t="b">
        <v>0</v>
      </c>
    </row>
    <row r="20" spans="1:12" x14ac:dyDescent="0.25">
      <c r="A20" s="6" t="s">
        <v>90</v>
      </c>
      <c r="B20" s="115" t="s">
        <v>370</v>
      </c>
      <c r="C20" t="s">
        <v>349</v>
      </c>
      <c r="D20">
        <v>13</v>
      </c>
      <c r="E20" t="s">
        <v>3900</v>
      </c>
      <c r="F20" s="42" t="b">
        <v>1</v>
      </c>
      <c r="G20" s="42" t="b">
        <v>1</v>
      </c>
      <c r="I20" s="18" t="s">
        <v>3902</v>
      </c>
      <c r="J20" t="b">
        <v>0</v>
      </c>
      <c r="K20" t="b">
        <v>0</v>
      </c>
      <c r="L20" t="b">
        <v>0</v>
      </c>
    </row>
    <row r="21" spans="1:12" x14ac:dyDescent="0.25">
      <c r="A21" s="6" t="s">
        <v>91</v>
      </c>
      <c r="B21" s="115" t="s">
        <v>371</v>
      </c>
      <c r="C21" t="s">
        <v>349</v>
      </c>
      <c r="D21">
        <v>13</v>
      </c>
      <c r="E21" t="s">
        <v>3900</v>
      </c>
      <c r="F21" s="42" t="b">
        <v>0</v>
      </c>
      <c r="G21" s="42" t="b">
        <v>0</v>
      </c>
      <c r="J21" t="b">
        <v>0</v>
      </c>
      <c r="K21" t="b">
        <v>0</v>
      </c>
      <c r="L21" t="b">
        <v>0</v>
      </c>
    </row>
    <row r="22" spans="1:12" x14ac:dyDescent="0.25">
      <c r="A22" s="6" t="s">
        <v>89</v>
      </c>
      <c r="B22" s="115" t="s">
        <v>372</v>
      </c>
      <c r="C22" t="s">
        <v>349</v>
      </c>
      <c r="D22">
        <v>13</v>
      </c>
      <c r="E22" t="s">
        <v>3900</v>
      </c>
      <c r="F22" s="42" t="b">
        <v>0</v>
      </c>
      <c r="G22" s="42" t="b">
        <v>0</v>
      </c>
      <c r="J22" t="b">
        <v>0</v>
      </c>
      <c r="K22" t="b">
        <v>0</v>
      </c>
      <c r="L22" t="b">
        <v>0</v>
      </c>
    </row>
    <row r="23" spans="1:12" x14ac:dyDescent="0.25">
      <c r="A23" s="2" t="s">
        <v>137</v>
      </c>
      <c r="B23" s="116" t="s">
        <v>373</v>
      </c>
      <c r="C23" t="s">
        <v>349</v>
      </c>
      <c r="D23">
        <v>14</v>
      </c>
      <c r="E23" t="s">
        <v>3900</v>
      </c>
      <c r="F23" s="42" t="b">
        <v>1</v>
      </c>
      <c r="G23" s="42" t="b">
        <v>1</v>
      </c>
      <c r="I23" s="18" t="s">
        <v>3902</v>
      </c>
      <c r="J23" t="b">
        <v>1</v>
      </c>
      <c r="K23" t="b">
        <v>1</v>
      </c>
      <c r="L23" t="b">
        <v>1</v>
      </c>
    </row>
    <row r="24" spans="1:12" x14ac:dyDescent="0.25">
      <c r="A24" s="2" t="s">
        <v>31</v>
      </c>
      <c r="B24" s="116" t="s">
        <v>374</v>
      </c>
      <c r="C24" t="s">
        <v>350</v>
      </c>
      <c r="D24">
        <v>15</v>
      </c>
      <c r="E24" t="s">
        <v>3902</v>
      </c>
      <c r="F24" s="42" t="b">
        <v>1</v>
      </c>
      <c r="G24" s="42" t="b">
        <v>1</v>
      </c>
      <c r="I24" s="18" t="s">
        <v>3902</v>
      </c>
      <c r="J24" t="b">
        <v>1</v>
      </c>
      <c r="K24" t="b">
        <v>1</v>
      </c>
      <c r="L24" t="b">
        <v>0</v>
      </c>
    </row>
    <row r="25" spans="1:12" x14ac:dyDescent="0.25">
      <c r="A25" s="2" t="s">
        <v>46</v>
      </c>
      <c r="B25" s="116" t="s">
        <v>375</v>
      </c>
      <c r="C25" t="s">
        <v>350</v>
      </c>
      <c r="D25">
        <v>16</v>
      </c>
      <c r="E25" t="s">
        <v>3902</v>
      </c>
      <c r="F25" s="42" t="b">
        <v>1</v>
      </c>
      <c r="G25" s="42" t="b">
        <v>1</v>
      </c>
      <c r="I25" s="18" t="s">
        <v>3902</v>
      </c>
      <c r="J25" t="b">
        <v>1</v>
      </c>
      <c r="K25" t="b">
        <v>1</v>
      </c>
      <c r="L25" t="b">
        <v>0</v>
      </c>
    </row>
    <row r="26" spans="1:12" x14ac:dyDescent="0.25">
      <c r="A26" s="2" t="s">
        <v>193</v>
      </c>
      <c r="B26" s="116" t="s">
        <v>376</v>
      </c>
      <c r="C26" t="s">
        <v>332</v>
      </c>
      <c r="D26">
        <v>17</v>
      </c>
      <c r="E26" t="s">
        <v>3900</v>
      </c>
      <c r="F26" s="42" t="b">
        <v>1</v>
      </c>
      <c r="G26" s="42" t="b">
        <v>1</v>
      </c>
      <c r="H26">
        <v>1</v>
      </c>
      <c r="J26" t="b">
        <v>1</v>
      </c>
      <c r="K26" t="b">
        <v>1</v>
      </c>
      <c r="L26" t="b">
        <v>0</v>
      </c>
    </row>
    <row r="27" spans="1:12" x14ac:dyDescent="0.25">
      <c r="A27" s="2" t="s">
        <v>194</v>
      </c>
      <c r="B27" s="116" t="s">
        <v>377</v>
      </c>
      <c r="C27" t="s">
        <v>332</v>
      </c>
      <c r="D27">
        <v>17</v>
      </c>
      <c r="E27" t="s">
        <v>3900</v>
      </c>
      <c r="F27" s="42" t="b">
        <v>1</v>
      </c>
      <c r="G27" s="42" t="b">
        <v>1</v>
      </c>
      <c r="H27">
        <v>1</v>
      </c>
      <c r="J27" t="b">
        <v>0</v>
      </c>
      <c r="K27" t="b">
        <v>0</v>
      </c>
      <c r="L27" t="b">
        <v>0</v>
      </c>
    </row>
    <row r="28" spans="1:12" x14ac:dyDescent="0.25">
      <c r="A28" s="2" t="s">
        <v>120</v>
      </c>
      <c r="B28" s="116" t="s">
        <v>379</v>
      </c>
      <c r="C28" t="s">
        <v>332</v>
      </c>
      <c r="D28">
        <v>18</v>
      </c>
      <c r="E28" t="s">
        <v>3900</v>
      </c>
      <c r="F28" s="42" t="b">
        <v>1</v>
      </c>
      <c r="G28" s="42" t="b">
        <v>1</v>
      </c>
      <c r="H28">
        <v>1</v>
      </c>
      <c r="J28" t="b">
        <v>1</v>
      </c>
      <c r="K28" t="b">
        <v>1</v>
      </c>
      <c r="L28" t="b">
        <v>0</v>
      </c>
    </row>
    <row r="29" spans="1:12" x14ac:dyDescent="0.25">
      <c r="A29" s="2" t="s">
        <v>135</v>
      </c>
      <c r="B29" s="116" t="s">
        <v>380</v>
      </c>
      <c r="C29" t="s">
        <v>332</v>
      </c>
      <c r="D29">
        <v>18</v>
      </c>
      <c r="E29" t="s">
        <v>3900</v>
      </c>
      <c r="F29" s="42" t="b">
        <v>1</v>
      </c>
      <c r="G29" s="42" t="b">
        <v>1</v>
      </c>
      <c r="H29">
        <v>1</v>
      </c>
      <c r="J29" t="b">
        <v>1</v>
      </c>
      <c r="K29" t="b">
        <v>1</v>
      </c>
      <c r="L29" t="b">
        <v>0</v>
      </c>
    </row>
    <row r="30" spans="1:12" x14ac:dyDescent="0.25">
      <c r="A30" s="2" t="s">
        <v>130</v>
      </c>
      <c r="B30" s="116" t="s">
        <v>381</v>
      </c>
      <c r="C30" t="s">
        <v>332</v>
      </c>
      <c r="D30">
        <v>18</v>
      </c>
      <c r="E30" t="s">
        <v>3900</v>
      </c>
      <c r="F30" s="42" t="b">
        <v>1</v>
      </c>
      <c r="G30" s="42" t="b">
        <v>1</v>
      </c>
      <c r="H30">
        <v>1</v>
      </c>
      <c r="J30" t="b">
        <v>1</v>
      </c>
      <c r="K30" t="b">
        <v>1</v>
      </c>
      <c r="L30" t="b">
        <v>0</v>
      </c>
    </row>
    <row r="31" spans="1:12" x14ac:dyDescent="0.25">
      <c r="A31" s="2" t="s">
        <v>121</v>
      </c>
      <c r="B31" s="116" t="s">
        <v>378</v>
      </c>
      <c r="C31" t="s">
        <v>332</v>
      </c>
      <c r="D31">
        <v>18</v>
      </c>
      <c r="E31" t="s">
        <v>3900</v>
      </c>
      <c r="F31" s="42" t="b">
        <v>1</v>
      </c>
      <c r="G31" s="42" t="b">
        <v>1</v>
      </c>
      <c r="H31">
        <v>1</v>
      </c>
      <c r="J31" t="b">
        <v>0</v>
      </c>
      <c r="K31" t="b">
        <v>0</v>
      </c>
      <c r="L31" t="b">
        <v>0</v>
      </c>
    </row>
    <row r="32" spans="1:12" x14ac:dyDescent="0.25">
      <c r="A32" s="2" t="s">
        <v>47</v>
      </c>
      <c r="B32" s="116" t="s">
        <v>382</v>
      </c>
      <c r="C32" t="s">
        <v>332</v>
      </c>
      <c r="D32">
        <v>19</v>
      </c>
      <c r="E32" t="s">
        <v>3900</v>
      </c>
      <c r="F32" s="42" t="b">
        <v>1</v>
      </c>
      <c r="G32" s="42" t="b">
        <v>1</v>
      </c>
      <c r="H32">
        <v>1</v>
      </c>
      <c r="J32" t="b">
        <v>1</v>
      </c>
      <c r="K32" t="b">
        <v>1</v>
      </c>
      <c r="L32" t="b">
        <v>0</v>
      </c>
    </row>
    <row r="33" spans="1:12" x14ac:dyDescent="0.25">
      <c r="A33" s="2" t="s">
        <v>48</v>
      </c>
      <c r="B33" s="116" t="s">
        <v>383</v>
      </c>
      <c r="C33" t="s">
        <v>332</v>
      </c>
      <c r="D33">
        <v>19</v>
      </c>
      <c r="E33" t="s">
        <v>3900</v>
      </c>
      <c r="F33" s="42" t="b">
        <v>1</v>
      </c>
      <c r="G33" s="42" t="b">
        <v>1</v>
      </c>
      <c r="H33">
        <v>1</v>
      </c>
      <c r="J33" t="b">
        <v>1</v>
      </c>
      <c r="K33" t="b">
        <v>1</v>
      </c>
      <c r="L33" t="b">
        <v>0</v>
      </c>
    </row>
    <row r="34" spans="1:12" x14ac:dyDescent="0.25">
      <c r="A34" s="2" t="s">
        <v>49</v>
      </c>
      <c r="B34" s="116" t="s">
        <v>384</v>
      </c>
      <c r="C34" t="s">
        <v>332</v>
      </c>
      <c r="D34">
        <v>19</v>
      </c>
      <c r="E34" t="s">
        <v>3900</v>
      </c>
      <c r="F34" s="42" t="b">
        <v>1</v>
      </c>
      <c r="G34" s="42" t="b">
        <v>1</v>
      </c>
      <c r="H34">
        <v>1</v>
      </c>
      <c r="J34" t="b">
        <v>0</v>
      </c>
      <c r="K34" t="b">
        <v>0</v>
      </c>
      <c r="L34" t="b">
        <v>0</v>
      </c>
    </row>
    <row r="35" spans="1:12" x14ac:dyDescent="0.25">
      <c r="A35" s="2" t="s">
        <v>50</v>
      </c>
      <c r="B35" s="116" t="s">
        <v>385</v>
      </c>
      <c r="C35" t="s">
        <v>332</v>
      </c>
      <c r="D35">
        <v>20</v>
      </c>
      <c r="E35" t="s">
        <v>3900</v>
      </c>
      <c r="F35" s="42" t="b">
        <v>1</v>
      </c>
      <c r="G35" s="42" t="b">
        <v>1</v>
      </c>
      <c r="H35">
        <v>1</v>
      </c>
      <c r="J35" t="b">
        <v>1</v>
      </c>
      <c r="K35" t="b">
        <v>1</v>
      </c>
      <c r="L35" t="b">
        <v>0</v>
      </c>
    </row>
    <row r="36" spans="1:12" x14ac:dyDescent="0.25">
      <c r="A36" s="2" t="s">
        <v>51</v>
      </c>
      <c r="B36" s="116" t="s">
        <v>386</v>
      </c>
      <c r="C36" t="s">
        <v>332</v>
      </c>
      <c r="D36">
        <v>20</v>
      </c>
      <c r="E36" t="s">
        <v>3900</v>
      </c>
      <c r="F36" s="42" t="b">
        <v>1</v>
      </c>
      <c r="G36" s="42" t="b">
        <v>1</v>
      </c>
      <c r="H36">
        <v>1</v>
      </c>
      <c r="J36" t="b">
        <v>0</v>
      </c>
      <c r="K36" t="b">
        <v>0</v>
      </c>
      <c r="L36" t="b">
        <v>0</v>
      </c>
    </row>
    <row r="37" spans="1:12" x14ac:dyDescent="0.25">
      <c r="A37" s="2" t="s">
        <v>64</v>
      </c>
      <c r="B37" s="116" t="s">
        <v>4075</v>
      </c>
      <c r="C37" t="s">
        <v>349</v>
      </c>
      <c r="D37">
        <v>21</v>
      </c>
      <c r="E37" t="s">
        <v>3902</v>
      </c>
      <c r="F37" s="42" t="b">
        <v>1</v>
      </c>
      <c r="G37" s="42" t="b">
        <v>1</v>
      </c>
      <c r="I37" s="18" t="s">
        <v>3902</v>
      </c>
      <c r="J37" t="b">
        <v>1</v>
      </c>
      <c r="K37" t="b">
        <v>1</v>
      </c>
      <c r="L37" t="b">
        <v>1</v>
      </c>
    </row>
    <row r="38" spans="1:12" x14ac:dyDescent="0.25">
      <c r="A38" s="38" t="s">
        <v>103</v>
      </c>
      <c r="B38" s="122" t="s">
        <v>387</v>
      </c>
      <c r="C38" t="s">
        <v>352</v>
      </c>
      <c r="D38">
        <v>22</v>
      </c>
      <c r="E38" t="s">
        <v>3901</v>
      </c>
      <c r="F38" s="42" t="b">
        <v>1</v>
      </c>
      <c r="G38" s="42" t="b">
        <v>0</v>
      </c>
      <c r="J38" t="b">
        <v>0</v>
      </c>
      <c r="K38" t="b">
        <v>0</v>
      </c>
      <c r="L38" t="b">
        <v>0</v>
      </c>
    </row>
    <row r="39" spans="1:12" x14ac:dyDescent="0.25">
      <c r="A39" s="38" t="s">
        <v>99</v>
      </c>
      <c r="B39" s="122" t="s">
        <v>388</v>
      </c>
      <c r="C39" t="s">
        <v>352</v>
      </c>
      <c r="D39">
        <v>22</v>
      </c>
      <c r="E39" t="s">
        <v>3901</v>
      </c>
      <c r="F39" s="42" t="b">
        <v>1</v>
      </c>
      <c r="G39" s="42" t="b">
        <v>0</v>
      </c>
      <c r="J39" t="b">
        <v>1</v>
      </c>
      <c r="K39" t="b">
        <v>1</v>
      </c>
      <c r="L39" t="b">
        <v>0</v>
      </c>
    </row>
    <row r="40" spans="1:12" x14ac:dyDescent="0.25">
      <c r="A40" s="38" t="s">
        <v>100</v>
      </c>
      <c r="B40" s="122" t="s">
        <v>389</v>
      </c>
      <c r="C40" t="s">
        <v>352</v>
      </c>
      <c r="D40">
        <v>22</v>
      </c>
      <c r="E40" t="s">
        <v>3901</v>
      </c>
      <c r="F40" s="42" t="b">
        <v>1</v>
      </c>
      <c r="G40" s="42" t="b">
        <v>0</v>
      </c>
      <c r="J40" t="b">
        <v>1</v>
      </c>
      <c r="K40" t="b">
        <v>1</v>
      </c>
      <c r="L40" t="b">
        <v>0</v>
      </c>
    </row>
    <row r="41" spans="1:12" x14ac:dyDescent="0.25">
      <c r="A41" s="38" t="s">
        <v>101</v>
      </c>
      <c r="B41" s="122" t="s">
        <v>390</v>
      </c>
      <c r="C41" t="s">
        <v>352</v>
      </c>
      <c r="D41">
        <v>22</v>
      </c>
      <c r="E41" t="s">
        <v>3901</v>
      </c>
      <c r="F41" s="42" t="b">
        <v>1</v>
      </c>
      <c r="G41" s="42" t="b">
        <v>1</v>
      </c>
      <c r="I41" s="18">
        <v>0.5</v>
      </c>
      <c r="J41" t="b">
        <v>1</v>
      </c>
      <c r="K41" t="b">
        <v>1</v>
      </c>
      <c r="L41" t="b">
        <v>0</v>
      </c>
    </row>
    <row r="42" spans="1:12" x14ac:dyDescent="0.25">
      <c r="A42" s="38" t="s">
        <v>93</v>
      </c>
      <c r="B42" s="122" t="s">
        <v>391</v>
      </c>
      <c r="C42" t="s">
        <v>352</v>
      </c>
      <c r="D42">
        <v>24</v>
      </c>
      <c r="E42" t="s">
        <v>3901</v>
      </c>
      <c r="F42" s="42" t="b">
        <v>1</v>
      </c>
      <c r="G42" s="42" t="b">
        <v>1</v>
      </c>
      <c r="I42" s="18">
        <v>0.5</v>
      </c>
      <c r="J42" t="b">
        <v>1</v>
      </c>
      <c r="K42" t="b">
        <v>1</v>
      </c>
      <c r="L42" t="b">
        <v>0</v>
      </c>
    </row>
    <row r="43" spans="1:12" x14ac:dyDescent="0.25">
      <c r="A43" s="38" t="s">
        <v>92</v>
      </c>
      <c r="B43" s="122" t="s">
        <v>392</v>
      </c>
      <c r="C43" t="s">
        <v>352</v>
      </c>
      <c r="D43">
        <v>24</v>
      </c>
      <c r="E43" t="s">
        <v>3901</v>
      </c>
      <c r="F43" s="42" t="b">
        <v>1</v>
      </c>
      <c r="G43" s="42" t="b">
        <v>0</v>
      </c>
      <c r="J43" t="b">
        <v>0</v>
      </c>
      <c r="K43" t="b">
        <v>0</v>
      </c>
      <c r="L43" t="b">
        <v>0</v>
      </c>
    </row>
    <row r="44" spans="1:12" x14ac:dyDescent="0.25">
      <c r="A44" s="38" t="s">
        <v>32</v>
      </c>
      <c r="B44" s="122" t="s">
        <v>393</v>
      </c>
      <c r="C44" t="s">
        <v>352</v>
      </c>
      <c r="D44">
        <v>25</v>
      </c>
      <c r="E44" t="s">
        <v>3901</v>
      </c>
      <c r="F44" s="42" t="b">
        <v>1</v>
      </c>
      <c r="G44" s="42" t="b">
        <v>1</v>
      </c>
      <c r="I44" s="18">
        <v>0.5</v>
      </c>
      <c r="J44" t="b">
        <v>1</v>
      </c>
      <c r="K44" t="b">
        <v>1</v>
      </c>
      <c r="L44" t="b">
        <v>0</v>
      </c>
    </row>
    <row r="45" spans="1:12" x14ac:dyDescent="0.25">
      <c r="A45" s="38" t="s">
        <v>33</v>
      </c>
      <c r="B45" s="122" t="s">
        <v>394</v>
      </c>
      <c r="C45" t="s">
        <v>352</v>
      </c>
      <c r="D45">
        <v>25</v>
      </c>
      <c r="E45" t="s">
        <v>3901</v>
      </c>
      <c r="F45" s="42" t="b">
        <v>1</v>
      </c>
      <c r="G45" s="42" t="b">
        <v>0</v>
      </c>
      <c r="J45" t="b">
        <v>0</v>
      </c>
      <c r="K45" t="b">
        <v>0</v>
      </c>
      <c r="L45" t="b">
        <v>0</v>
      </c>
    </row>
    <row r="46" spans="1:12" x14ac:dyDescent="0.25">
      <c r="A46" s="38" t="s">
        <v>34</v>
      </c>
      <c r="B46" s="122" t="s">
        <v>395</v>
      </c>
      <c r="C46" t="s">
        <v>352</v>
      </c>
      <c r="D46">
        <v>26</v>
      </c>
      <c r="E46" t="s">
        <v>3901</v>
      </c>
      <c r="F46" s="42" t="b">
        <v>1</v>
      </c>
      <c r="G46" s="42" t="b">
        <v>1</v>
      </c>
      <c r="I46" s="18">
        <v>0.5</v>
      </c>
      <c r="J46" t="b">
        <v>1</v>
      </c>
      <c r="K46" t="b">
        <v>1</v>
      </c>
      <c r="L46" t="b">
        <v>0</v>
      </c>
    </row>
    <row r="47" spans="1:12" x14ac:dyDescent="0.25">
      <c r="A47" s="38" t="s">
        <v>35</v>
      </c>
      <c r="B47" s="122" t="s">
        <v>396</v>
      </c>
      <c r="C47" t="s">
        <v>352</v>
      </c>
      <c r="D47">
        <v>26</v>
      </c>
      <c r="E47" t="s">
        <v>3901</v>
      </c>
      <c r="F47" s="42" t="b">
        <v>1</v>
      </c>
      <c r="G47" s="42" t="b">
        <v>0</v>
      </c>
      <c r="J47" t="b">
        <v>0</v>
      </c>
      <c r="K47" t="b">
        <v>0</v>
      </c>
      <c r="L47" t="b">
        <v>0</v>
      </c>
    </row>
    <row r="48" spans="1:12" x14ac:dyDescent="0.25">
      <c r="A48" s="38" t="s">
        <v>52</v>
      </c>
      <c r="B48" s="122" t="s">
        <v>397</v>
      </c>
      <c r="C48" t="s">
        <v>352</v>
      </c>
      <c r="D48">
        <v>27</v>
      </c>
      <c r="E48" t="s">
        <v>3901</v>
      </c>
      <c r="F48" s="42" t="b">
        <v>1</v>
      </c>
      <c r="G48" s="42" t="b">
        <v>1</v>
      </c>
      <c r="I48" s="18">
        <v>0.5</v>
      </c>
      <c r="J48" t="b">
        <v>1</v>
      </c>
      <c r="K48" t="b">
        <v>1</v>
      </c>
      <c r="L48" t="b">
        <v>0</v>
      </c>
    </row>
    <row r="49" spans="1:12" x14ac:dyDescent="0.25">
      <c r="A49" s="38" t="s">
        <v>53</v>
      </c>
      <c r="B49" s="122" t="s">
        <v>398</v>
      </c>
      <c r="C49" t="s">
        <v>352</v>
      </c>
      <c r="D49">
        <v>27</v>
      </c>
      <c r="E49" t="s">
        <v>3901</v>
      </c>
      <c r="F49" s="42" t="b">
        <v>1</v>
      </c>
      <c r="G49" s="42" t="b">
        <v>0</v>
      </c>
      <c r="J49" t="b">
        <v>0</v>
      </c>
      <c r="K49" t="b">
        <v>0</v>
      </c>
      <c r="L49" t="b">
        <v>0</v>
      </c>
    </row>
    <row r="50" spans="1:12" x14ac:dyDescent="0.25">
      <c r="A50" s="38" t="s">
        <v>224</v>
      </c>
      <c r="B50" s="122" t="s">
        <v>399</v>
      </c>
      <c r="C50" t="s">
        <v>352</v>
      </c>
      <c r="D50">
        <v>28</v>
      </c>
      <c r="E50" t="s">
        <v>3901</v>
      </c>
      <c r="F50" s="42" t="b">
        <v>1</v>
      </c>
      <c r="G50" s="42" t="b">
        <v>1</v>
      </c>
      <c r="I50" s="18">
        <v>0.5</v>
      </c>
      <c r="J50" t="b">
        <v>1</v>
      </c>
      <c r="K50" t="b">
        <v>1</v>
      </c>
      <c r="L50" t="b">
        <v>0</v>
      </c>
    </row>
    <row r="51" spans="1:12" x14ac:dyDescent="0.25">
      <c r="A51" s="38" t="s">
        <v>223</v>
      </c>
      <c r="B51" s="122" t="s">
        <v>400</v>
      </c>
      <c r="C51" t="s">
        <v>352</v>
      </c>
      <c r="D51">
        <v>28</v>
      </c>
      <c r="E51" t="s">
        <v>3901</v>
      </c>
      <c r="F51" s="42" t="b">
        <v>1</v>
      </c>
      <c r="G51" s="42" t="b">
        <v>0</v>
      </c>
      <c r="J51" t="b">
        <v>0</v>
      </c>
      <c r="K51" t="b">
        <v>0</v>
      </c>
      <c r="L51" t="b">
        <v>0</v>
      </c>
    </row>
    <row r="52" spans="1:12" x14ac:dyDescent="0.25">
      <c r="A52" s="38" t="s">
        <v>36</v>
      </c>
      <c r="B52" s="122" t="s">
        <v>291</v>
      </c>
      <c r="C52" t="s">
        <v>357</v>
      </c>
      <c r="D52">
        <v>29</v>
      </c>
      <c r="E52" t="s">
        <v>3900</v>
      </c>
      <c r="F52" s="42" t="b">
        <v>0</v>
      </c>
      <c r="G52" s="42" t="b">
        <v>0</v>
      </c>
      <c r="J52" t="b">
        <v>0</v>
      </c>
      <c r="K52" t="b">
        <v>0</v>
      </c>
      <c r="L52" t="b">
        <v>0</v>
      </c>
    </row>
    <row r="53" spans="1:12" x14ac:dyDescent="0.25">
      <c r="A53" s="38" t="s">
        <v>57</v>
      </c>
      <c r="B53" s="122" t="s">
        <v>401</v>
      </c>
      <c r="C53" t="s">
        <v>332</v>
      </c>
      <c r="D53">
        <v>30</v>
      </c>
      <c r="E53" t="s">
        <v>3900</v>
      </c>
      <c r="F53" s="42" t="b">
        <v>1</v>
      </c>
      <c r="G53" s="42" t="b">
        <v>1</v>
      </c>
      <c r="H53">
        <v>1</v>
      </c>
      <c r="J53" t="b">
        <v>0</v>
      </c>
      <c r="K53" t="b">
        <v>0</v>
      </c>
      <c r="L53" t="b">
        <v>0</v>
      </c>
    </row>
    <row r="54" spans="1:12" x14ac:dyDescent="0.25">
      <c r="A54" s="38" t="s">
        <v>58</v>
      </c>
      <c r="B54" s="122" t="s">
        <v>402</v>
      </c>
      <c r="C54" t="s">
        <v>332</v>
      </c>
      <c r="D54">
        <v>30</v>
      </c>
      <c r="E54" t="s">
        <v>3900</v>
      </c>
      <c r="F54" s="42" t="b">
        <v>1</v>
      </c>
      <c r="G54" s="42" t="b">
        <v>1</v>
      </c>
      <c r="H54">
        <v>1</v>
      </c>
      <c r="J54" t="b">
        <v>1</v>
      </c>
      <c r="K54" t="b">
        <v>1</v>
      </c>
      <c r="L54" t="b">
        <v>0</v>
      </c>
    </row>
    <row r="55" spans="1:12" x14ac:dyDescent="0.25">
      <c r="A55" s="38" t="s">
        <v>59</v>
      </c>
      <c r="B55" s="122" t="s">
        <v>403</v>
      </c>
      <c r="C55" t="s">
        <v>332</v>
      </c>
      <c r="D55">
        <v>30</v>
      </c>
      <c r="E55" t="s">
        <v>3900</v>
      </c>
      <c r="F55" s="42" t="b">
        <v>1</v>
      </c>
      <c r="G55" s="42" t="b">
        <v>1</v>
      </c>
      <c r="H55">
        <v>1</v>
      </c>
      <c r="J55" t="b">
        <v>1</v>
      </c>
      <c r="K55" t="b">
        <v>1</v>
      </c>
      <c r="L55" t="b">
        <v>0</v>
      </c>
    </row>
    <row r="56" spans="1:12" x14ac:dyDescent="0.25">
      <c r="A56" s="38" t="s">
        <v>60</v>
      </c>
      <c r="B56" s="122" t="s">
        <v>4076</v>
      </c>
      <c r="C56" t="s">
        <v>332</v>
      </c>
      <c r="D56">
        <v>30</v>
      </c>
      <c r="E56" t="s">
        <v>3900</v>
      </c>
      <c r="F56" s="42" t="b">
        <v>1</v>
      </c>
      <c r="G56" s="42" t="b">
        <v>1</v>
      </c>
      <c r="H56">
        <v>1</v>
      </c>
      <c r="J56" t="b">
        <v>0</v>
      </c>
      <c r="K56" t="b">
        <v>0</v>
      </c>
      <c r="L56" t="b">
        <v>0</v>
      </c>
    </row>
    <row r="57" spans="1:12" x14ac:dyDescent="0.25">
      <c r="A57" s="38" t="s">
        <v>61</v>
      </c>
      <c r="B57" s="122" t="s">
        <v>404</v>
      </c>
      <c r="C57" t="s">
        <v>332</v>
      </c>
      <c r="D57">
        <v>30</v>
      </c>
      <c r="E57" t="s">
        <v>3900</v>
      </c>
      <c r="F57" s="42" t="b">
        <v>1</v>
      </c>
      <c r="G57" s="42" t="b">
        <v>1</v>
      </c>
      <c r="H57">
        <v>1</v>
      </c>
      <c r="J57" t="b">
        <v>1</v>
      </c>
      <c r="K57" t="b">
        <v>1</v>
      </c>
      <c r="L57" t="b">
        <v>0</v>
      </c>
    </row>
    <row r="58" spans="1:12" x14ac:dyDescent="0.25">
      <c r="A58" s="38" t="s">
        <v>62</v>
      </c>
      <c r="B58" s="122" t="s">
        <v>405</v>
      </c>
      <c r="C58" t="s">
        <v>332</v>
      </c>
      <c r="D58">
        <v>30</v>
      </c>
      <c r="E58" t="s">
        <v>3900</v>
      </c>
      <c r="F58" s="42" t="b">
        <v>1</v>
      </c>
      <c r="G58" s="42" t="b">
        <v>1</v>
      </c>
      <c r="H58">
        <v>1</v>
      </c>
      <c r="J58" t="b">
        <v>1</v>
      </c>
      <c r="K58" t="b">
        <v>1</v>
      </c>
      <c r="L58" t="b">
        <v>0</v>
      </c>
    </row>
    <row r="59" spans="1:12" x14ac:dyDescent="0.25">
      <c r="A59" s="38" t="s">
        <v>63</v>
      </c>
      <c r="B59" s="122" t="s">
        <v>406</v>
      </c>
      <c r="C59" t="s">
        <v>332</v>
      </c>
      <c r="D59">
        <v>30</v>
      </c>
      <c r="E59" t="s">
        <v>3900</v>
      </c>
      <c r="F59" s="42" t="b">
        <v>1</v>
      </c>
      <c r="G59" s="42" t="b">
        <v>1</v>
      </c>
      <c r="H59">
        <v>1</v>
      </c>
      <c r="J59" t="b">
        <v>1</v>
      </c>
      <c r="K59" t="b">
        <v>1</v>
      </c>
      <c r="L59" t="b">
        <v>0</v>
      </c>
    </row>
    <row r="60" spans="1:12" x14ac:dyDescent="0.25">
      <c r="A60" s="38" t="s">
        <v>56</v>
      </c>
      <c r="B60" s="122" t="s">
        <v>407</v>
      </c>
      <c r="C60" t="s">
        <v>332</v>
      </c>
      <c r="D60">
        <v>31</v>
      </c>
      <c r="E60" t="s">
        <v>3900</v>
      </c>
      <c r="F60" s="42" t="b">
        <v>1</v>
      </c>
      <c r="G60" s="42" t="b">
        <v>1</v>
      </c>
      <c r="H60">
        <v>1</v>
      </c>
      <c r="J60" t="b">
        <v>0</v>
      </c>
      <c r="K60" t="b">
        <v>0</v>
      </c>
      <c r="L60" t="b">
        <v>0</v>
      </c>
    </row>
    <row r="61" spans="1:12" x14ac:dyDescent="0.25">
      <c r="A61" s="38" t="s">
        <v>55</v>
      </c>
      <c r="B61" s="122" t="s">
        <v>408</v>
      </c>
      <c r="C61" t="s">
        <v>332</v>
      </c>
      <c r="D61">
        <v>31</v>
      </c>
      <c r="E61" t="s">
        <v>3900</v>
      </c>
      <c r="F61" s="42" t="b">
        <v>1</v>
      </c>
      <c r="G61" s="42" t="b">
        <v>1</v>
      </c>
      <c r="H61">
        <v>1</v>
      </c>
      <c r="J61" t="b">
        <v>1</v>
      </c>
      <c r="K61" t="b">
        <v>1</v>
      </c>
      <c r="L61" t="b">
        <v>0</v>
      </c>
    </row>
    <row r="62" spans="1:12" x14ac:dyDescent="0.25">
      <c r="A62" s="38" t="s">
        <v>54</v>
      </c>
      <c r="B62" s="122" t="s">
        <v>409</v>
      </c>
      <c r="C62" t="s">
        <v>332</v>
      </c>
      <c r="D62">
        <v>31</v>
      </c>
      <c r="E62" t="s">
        <v>3900</v>
      </c>
      <c r="F62" s="42" t="b">
        <v>1</v>
      </c>
      <c r="G62" s="42" t="b">
        <v>1</v>
      </c>
      <c r="H62">
        <v>1</v>
      </c>
      <c r="J62" t="b">
        <v>1</v>
      </c>
      <c r="K62" t="b">
        <v>1</v>
      </c>
      <c r="L62" t="b">
        <v>0</v>
      </c>
    </row>
    <row r="63" spans="1:12" x14ac:dyDescent="0.25">
      <c r="A63" s="38" t="s">
        <v>65</v>
      </c>
      <c r="B63" s="122" t="s">
        <v>410</v>
      </c>
      <c r="C63" t="s">
        <v>350</v>
      </c>
      <c r="D63">
        <v>32</v>
      </c>
      <c r="E63" t="s">
        <v>3902</v>
      </c>
      <c r="F63" s="42" t="b">
        <v>1</v>
      </c>
      <c r="G63" s="42" t="b">
        <v>1</v>
      </c>
      <c r="I63" s="18" t="s">
        <v>3902</v>
      </c>
      <c r="J63" t="b">
        <v>1</v>
      </c>
      <c r="K63" t="b">
        <v>1</v>
      </c>
      <c r="L63" t="b">
        <v>1</v>
      </c>
    </row>
    <row r="64" spans="1:12" x14ac:dyDescent="0.25">
      <c r="A64" s="38" t="s">
        <v>66</v>
      </c>
      <c r="B64" s="122" t="s">
        <v>411</v>
      </c>
      <c r="C64" t="s">
        <v>350</v>
      </c>
      <c r="D64">
        <v>33</v>
      </c>
      <c r="E64" t="s">
        <v>3902</v>
      </c>
      <c r="F64" s="42" t="b">
        <v>1</v>
      </c>
      <c r="G64" s="42" t="b">
        <v>1</v>
      </c>
      <c r="I64" s="18" t="s">
        <v>3902</v>
      </c>
      <c r="J64" t="b">
        <v>1</v>
      </c>
      <c r="K64" t="b">
        <v>1</v>
      </c>
      <c r="L64" t="b">
        <v>1</v>
      </c>
    </row>
    <row r="65" spans="1:12" x14ac:dyDescent="0.25">
      <c r="A65" s="38" t="s">
        <v>67</v>
      </c>
      <c r="B65" s="122" t="s">
        <v>412</v>
      </c>
      <c r="C65" t="s">
        <v>350</v>
      </c>
      <c r="D65">
        <v>34</v>
      </c>
      <c r="E65" t="s">
        <v>3902</v>
      </c>
      <c r="F65" s="42" t="b">
        <v>1</v>
      </c>
      <c r="G65" s="42" t="b">
        <v>1</v>
      </c>
      <c r="I65" s="18" t="s">
        <v>3902</v>
      </c>
      <c r="J65" t="b">
        <v>1</v>
      </c>
      <c r="K65" t="b">
        <v>1</v>
      </c>
      <c r="L65" t="b">
        <v>1</v>
      </c>
    </row>
    <row r="66" spans="1:12" x14ac:dyDescent="0.25">
      <c r="A66" s="4" t="s">
        <v>68</v>
      </c>
      <c r="B66" s="117" t="s">
        <v>413</v>
      </c>
      <c r="C66" t="s">
        <v>332</v>
      </c>
      <c r="D66">
        <v>35</v>
      </c>
      <c r="E66" t="s">
        <v>3900</v>
      </c>
      <c r="F66" s="42" t="b">
        <v>1</v>
      </c>
      <c r="G66" s="42" t="b">
        <v>1</v>
      </c>
      <c r="H66">
        <v>1</v>
      </c>
      <c r="J66" t="b">
        <v>1</v>
      </c>
      <c r="K66" t="b">
        <v>1</v>
      </c>
      <c r="L66" t="b">
        <v>0</v>
      </c>
    </row>
    <row r="67" spans="1:12" x14ac:dyDescent="0.25">
      <c r="A67" s="4" t="s">
        <v>231</v>
      </c>
      <c r="B67" s="117" t="s">
        <v>414</v>
      </c>
      <c r="C67" t="s">
        <v>332</v>
      </c>
      <c r="D67">
        <v>35</v>
      </c>
      <c r="E67" t="s">
        <v>3900</v>
      </c>
      <c r="F67" s="42" t="b">
        <v>1</v>
      </c>
      <c r="G67" s="42" t="b">
        <v>1</v>
      </c>
      <c r="H67">
        <v>1</v>
      </c>
      <c r="J67" t="b">
        <v>1</v>
      </c>
      <c r="K67" t="b">
        <v>1</v>
      </c>
      <c r="L67" t="b">
        <v>0</v>
      </c>
    </row>
    <row r="68" spans="1:12" x14ac:dyDescent="0.25">
      <c r="A68" s="4" t="s">
        <v>262</v>
      </c>
      <c r="B68" s="117" t="s">
        <v>415</v>
      </c>
      <c r="C68" t="s">
        <v>332</v>
      </c>
      <c r="D68">
        <v>35</v>
      </c>
      <c r="E68" t="s">
        <v>3900</v>
      </c>
      <c r="F68" s="42" t="b">
        <v>1</v>
      </c>
      <c r="G68" s="42" t="b">
        <v>1</v>
      </c>
      <c r="H68">
        <v>1</v>
      </c>
      <c r="J68" t="b">
        <v>1</v>
      </c>
      <c r="K68" t="b">
        <v>1</v>
      </c>
      <c r="L68" t="b">
        <v>0</v>
      </c>
    </row>
    <row r="69" spans="1:12" x14ac:dyDescent="0.25">
      <c r="A69" s="4" t="s">
        <v>151</v>
      </c>
      <c r="B69" s="117" t="s">
        <v>416</v>
      </c>
      <c r="C69" t="s">
        <v>332</v>
      </c>
      <c r="D69">
        <v>35</v>
      </c>
      <c r="E69" t="s">
        <v>3900</v>
      </c>
      <c r="F69" s="42" t="b">
        <v>1</v>
      </c>
      <c r="G69" s="42" t="b">
        <v>1</v>
      </c>
      <c r="H69">
        <v>1</v>
      </c>
      <c r="J69" t="b">
        <v>1</v>
      </c>
      <c r="K69" t="b">
        <v>1</v>
      </c>
      <c r="L69" t="b">
        <v>0</v>
      </c>
    </row>
    <row r="70" spans="1:12" x14ac:dyDescent="0.25">
      <c r="A70" s="4" t="s">
        <v>123</v>
      </c>
      <c r="B70" s="117" t="s">
        <v>417</v>
      </c>
      <c r="C70" t="s">
        <v>332</v>
      </c>
      <c r="D70">
        <v>35</v>
      </c>
      <c r="E70" t="s">
        <v>3900</v>
      </c>
      <c r="F70" s="42" t="b">
        <v>1</v>
      </c>
      <c r="G70" s="42" t="b">
        <v>1</v>
      </c>
      <c r="H70">
        <v>1</v>
      </c>
      <c r="J70" t="b">
        <v>1</v>
      </c>
      <c r="K70" t="b">
        <v>1</v>
      </c>
      <c r="L70" t="b">
        <v>0</v>
      </c>
    </row>
    <row r="71" spans="1:12" x14ac:dyDescent="0.25">
      <c r="A71" s="4" t="s">
        <v>133</v>
      </c>
      <c r="B71" s="117" t="s">
        <v>418</v>
      </c>
      <c r="C71" t="s">
        <v>332</v>
      </c>
      <c r="D71">
        <v>35</v>
      </c>
      <c r="E71" t="s">
        <v>3900</v>
      </c>
      <c r="F71" s="42" t="b">
        <v>1</v>
      </c>
      <c r="G71" s="42" t="b">
        <v>1</v>
      </c>
      <c r="H71">
        <v>1</v>
      </c>
      <c r="J71" t="b">
        <v>1</v>
      </c>
      <c r="K71" t="b">
        <v>1</v>
      </c>
      <c r="L71" t="b">
        <v>0</v>
      </c>
    </row>
    <row r="72" spans="1:12" x14ac:dyDescent="0.25">
      <c r="A72" s="4" t="s">
        <v>132</v>
      </c>
      <c r="B72" s="117" t="s">
        <v>419</v>
      </c>
      <c r="C72" t="s">
        <v>332</v>
      </c>
      <c r="D72">
        <v>35</v>
      </c>
      <c r="E72" t="s">
        <v>3900</v>
      </c>
      <c r="F72" s="42" t="b">
        <v>1</v>
      </c>
      <c r="G72" s="42" t="b">
        <v>1</v>
      </c>
      <c r="H72">
        <v>1</v>
      </c>
      <c r="J72" t="b">
        <v>1</v>
      </c>
      <c r="K72" t="b">
        <v>1</v>
      </c>
      <c r="L72" t="b">
        <v>0</v>
      </c>
    </row>
    <row r="73" spans="1:12" x14ac:dyDescent="0.25">
      <c r="A73" s="4" t="s">
        <v>69</v>
      </c>
      <c r="B73" s="117" t="s">
        <v>420</v>
      </c>
      <c r="C73" t="s">
        <v>332</v>
      </c>
      <c r="D73">
        <v>35</v>
      </c>
      <c r="E73" t="s">
        <v>3900</v>
      </c>
      <c r="F73" s="42" t="b">
        <v>1</v>
      </c>
      <c r="G73" s="42" t="b">
        <v>1</v>
      </c>
      <c r="H73">
        <v>1</v>
      </c>
      <c r="J73" t="b">
        <v>0</v>
      </c>
      <c r="K73" t="b">
        <v>0</v>
      </c>
      <c r="L73" t="b">
        <v>0</v>
      </c>
    </row>
    <row r="74" spans="1:12" x14ac:dyDescent="0.25">
      <c r="A74" s="4" t="s">
        <v>70</v>
      </c>
      <c r="B74" s="117" t="s">
        <v>421</v>
      </c>
      <c r="C74" t="s">
        <v>332</v>
      </c>
      <c r="D74">
        <v>36</v>
      </c>
      <c r="E74" t="s">
        <v>3900</v>
      </c>
      <c r="F74" s="42" t="b">
        <v>1</v>
      </c>
      <c r="G74" s="42" t="b">
        <v>1</v>
      </c>
      <c r="H74">
        <v>1</v>
      </c>
      <c r="J74" t="b">
        <v>1</v>
      </c>
      <c r="K74" t="b">
        <v>1</v>
      </c>
      <c r="L74" t="b">
        <v>0</v>
      </c>
    </row>
    <row r="75" spans="1:12" x14ac:dyDescent="0.25">
      <c r="A75" s="4" t="s">
        <v>71</v>
      </c>
      <c r="B75" s="117" t="s">
        <v>422</v>
      </c>
      <c r="C75" t="s">
        <v>332</v>
      </c>
      <c r="D75">
        <v>36</v>
      </c>
      <c r="E75" t="s">
        <v>3900</v>
      </c>
      <c r="F75" s="42" t="b">
        <v>1</v>
      </c>
      <c r="G75" s="42" t="b">
        <v>1</v>
      </c>
      <c r="H75">
        <v>1</v>
      </c>
      <c r="J75" t="b">
        <v>1</v>
      </c>
      <c r="K75" t="b">
        <v>1</v>
      </c>
      <c r="L75" t="b">
        <v>0</v>
      </c>
    </row>
    <row r="76" spans="1:12" x14ac:dyDescent="0.25">
      <c r="A76" s="4" t="s">
        <v>117</v>
      </c>
      <c r="B76" s="117" t="s">
        <v>423</v>
      </c>
      <c r="C76" t="s">
        <v>332</v>
      </c>
      <c r="D76">
        <v>36</v>
      </c>
      <c r="E76" t="s">
        <v>3900</v>
      </c>
      <c r="F76" s="42" t="b">
        <v>1</v>
      </c>
      <c r="G76" s="42" t="b">
        <v>1</v>
      </c>
      <c r="H76">
        <v>1</v>
      </c>
      <c r="J76" t="b">
        <v>1</v>
      </c>
      <c r="K76" t="b">
        <v>1</v>
      </c>
      <c r="L76" t="b">
        <v>0</v>
      </c>
    </row>
    <row r="77" spans="1:12" x14ac:dyDescent="0.25">
      <c r="A77" s="4" t="s">
        <v>118</v>
      </c>
      <c r="B77" s="117" t="s">
        <v>424</v>
      </c>
      <c r="C77" t="s">
        <v>332</v>
      </c>
      <c r="D77">
        <v>36</v>
      </c>
      <c r="E77" t="s">
        <v>3900</v>
      </c>
      <c r="F77" s="42" t="b">
        <v>1</v>
      </c>
      <c r="G77" s="42" t="b">
        <v>1</v>
      </c>
      <c r="H77">
        <v>1</v>
      </c>
      <c r="J77" t="b">
        <v>0</v>
      </c>
      <c r="K77" t="b">
        <v>0</v>
      </c>
      <c r="L77" t="b">
        <v>0</v>
      </c>
    </row>
    <row r="78" spans="1:12" x14ac:dyDescent="0.25">
      <c r="A78" s="4" t="s">
        <v>126</v>
      </c>
      <c r="B78" s="117" t="s">
        <v>425</v>
      </c>
      <c r="C78" t="s">
        <v>349</v>
      </c>
      <c r="D78">
        <v>37</v>
      </c>
      <c r="E78" t="s">
        <v>3900</v>
      </c>
      <c r="F78" s="42" t="b">
        <v>1</v>
      </c>
      <c r="G78" s="42" t="b">
        <v>1</v>
      </c>
      <c r="H78">
        <v>1</v>
      </c>
      <c r="J78" t="b">
        <v>0</v>
      </c>
      <c r="K78" t="b">
        <v>0</v>
      </c>
      <c r="L78" t="b">
        <v>0</v>
      </c>
    </row>
    <row r="79" spans="1:12" x14ac:dyDescent="0.25">
      <c r="A79" s="4" t="s">
        <v>136</v>
      </c>
      <c r="B79" s="117" t="s">
        <v>426</v>
      </c>
      <c r="C79" t="s">
        <v>349</v>
      </c>
      <c r="D79">
        <v>37</v>
      </c>
      <c r="E79" t="s">
        <v>3900</v>
      </c>
      <c r="F79" s="42" t="b">
        <v>1</v>
      </c>
      <c r="G79" s="42" t="b">
        <v>1</v>
      </c>
      <c r="H79">
        <v>1</v>
      </c>
      <c r="J79" t="b">
        <v>0</v>
      </c>
      <c r="K79" t="b">
        <v>0</v>
      </c>
      <c r="L79" t="b">
        <v>0</v>
      </c>
    </row>
    <row r="80" spans="1:12" x14ac:dyDescent="0.25">
      <c r="A80" s="4" t="s">
        <v>152</v>
      </c>
      <c r="B80" s="117" t="s">
        <v>427</v>
      </c>
      <c r="C80" t="s">
        <v>349</v>
      </c>
      <c r="D80">
        <v>37</v>
      </c>
      <c r="E80" t="s">
        <v>3900</v>
      </c>
      <c r="F80" s="42" t="b">
        <v>1</v>
      </c>
      <c r="G80" s="42" t="b">
        <v>1</v>
      </c>
      <c r="H80">
        <v>1</v>
      </c>
      <c r="J80" t="b">
        <v>0</v>
      </c>
      <c r="K80" t="b">
        <v>0</v>
      </c>
      <c r="L80" t="b">
        <v>0</v>
      </c>
    </row>
    <row r="81" spans="1:12" x14ac:dyDescent="0.25">
      <c r="A81" s="4" t="s">
        <v>479</v>
      </c>
      <c r="B81" s="117" t="s">
        <v>428</v>
      </c>
      <c r="C81" t="s">
        <v>349</v>
      </c>
      <c r="D81">
        <v>37</v>
      </c>
      <c r="E81" t="s">
        <v>3900</v>
      </c>
      <c r="F81" s="42" t="b">
        <v>1</v>
      </c>
      <c r="G81" s="42" t="b">
        <v>1</v>
      </c>
      <c r="H81">
        <v>1</v>
      </c>
      <c r="J81" t="b">
        <v>0</v>
      </c>
      <c r="K81" t="b">
        <v>0</v>
      </c>
      <c r="L81" t="b">
        <v>0</v>
      </c>
    </row>
    <row r="82" spans="1:12" x14ac:dyDescent="0.25">
      <c r="A82" s="4" t="s">
        <v>127</v>
      </c>
      <c r="B82" s="117" t="s">
        <v>482</v>
      </c>
      <c r="C82" t="s">
        <v>349</v>
      </c>
      <c r="D82">
        <v>37</v>
      </c>
      <c r="E82" t="s">
        <v>3900</v>
      </c>
      <c r="F82" s="42" t="b">
        <v>1</v>
      </c>
      <c r="G82" s="42" t="b">
        <v>1</v>
      </c>
      <c r="H82">
        <v>1</v>
      </c>
      <c r="J82" t="b">
        <v>0</v>
      </c>
      <c r="K82" t="b">
        <v>0</v>
      </c>
      <c r="L82" t="b">
        <v>0</v>
      </c>
    </row>
    <row r="83" spans="1:12" x14ac:dyDescent="0.25">
      <c r="A83" s="4" t="s">
        <v>72</v>
      </c>
      <c r="B83" s="117" t="s">
        <v>429</v>
      </c>
      <c r="C83" t="s">
        <v>349</v>
      </c>
      <c r="D83">
        <v>38</v>
      </c>
      <c r="E83" t="s">
        <v>3900</v>
      </c>
      <c r="F83" s="42" t="b">
        <v>1</v>
      </c>
      <c r="G83" s="42" t="b">
        <v>1</v>
      </c>
      <c r="H83">
        <v>1</v>
      </c>
      <c r="J83" t="b">
        <v>1</v>
      </c>
      <c r="K83" t="b">
        <v>1</v>
      </c>
      <c r="L83" t="b">
        <v>0</v>
      </c>
    </row>
    <row r="84" spans="1:12" x14ac:dyDescent="0.25">
      <c r="A84" s="4" t="s">
        <v>73</v>
      </c>
      <c r="B84" s="117" t="s">
        <v>430</v>
      </c>
      <c r="C84" t="s">
        <v>349</v>
      </c>
      <c r="D84">
        <v>38</v>
      </c>
      <c r="E84" t="s">
        <v>3900</v>
      </c>
      <c r="F84" s="42" t="b">
        <v>1</v>
      </c>
      <c r="G84" s="42" t="b">
        <v>1</v>
      </c>
      <c r="H84">
        <v>1</v>
      </c>
      <c r="J84" t="b">
        <v>1</v>
      </c>
      <c r="K84" t="b">
        <v>1</v>
      </c>
      <c r="L84" t="b">
        <v>0</v>
      </c>
    </row>
    <row r="85" spans="1:12" x14ac:dyDescent="0.25">
      <c r="A85" s="4" t="s">
        <v>74</v>
      </c>
      <c r="B85" s="117" t="s">
        <v>431</v>
      </c>
      <c r="C85" t="s">
        <v>349</v>
      </c>
      <c r="D85">
        <v>38</v>
      </c>
      <c r="E85" t="s">
        <v>3900</v>
      </c>
      <c r="F85" s="42" t="b">
        <v>1</v>
      </c>
      <c r="G85" s="42" t="b">
        <v>1</v>
      </c>
      <c r="H85">
        <v>1</v>
      </c>
      <c r="J85" t="b">
        <v>1</v>
      </c>
      <c r="K85" t="b">
        <v>1</v>
      </c>
      <c r="L85" t="b">
        <v>0</v>
      </c>
    </row>
    <row r="86" spans="1:12" x14ac:dyDescent="0.25">
      <c r="A86" s="4" t="s">
        <v>102</v>
      </c>
      <c r="B86" s="117" t="s">
        <v>432</v>
      </c>
      <c r="C86" t="s">
        <v>349</v>
      </c>
      <c r="D86">
        <v>38</v>
      </c>
      <c r="E86" t="s">
        <v>3900</v>
      </c>
      <c r="F86" s="42" t="b">
        <v>1</v>
      </c>
      <c r="G86" s="42" t="b">
        <v>1</v>
      </c>
      <c r="H86">
        <v>1</v>
      </c>
      <c r="J86" t="b">
        <v>1</v>
      </c>
      <c r="K86" t="b">
        <v>1</v>
      </c>
      <c r="L86" t="b">
        <v>0</v>
      </c>
    </row>
    <row r="87" spans="1:12" x14ac:dyDescent="0.25">
      <c r="A87" s="4" t="s">
        <v>75</v>
      </c>
      <c r="B87" s="117" t="s">
        <v>433</v>
      </c>
      <c r="C87" t="s">
        <v>349</v>
      </c>
      <c r="D87">
        <v>38</v>
      </c>
      <c r="E87" t="s">
        <v>3900</v>
      </c>
      <c r="F87" s="42" t="b">
        <v>1</v>
      </c>
      <c r="G87" s="42" t="b">
        <v>1</v>
      </c>
      <c r="H87">
        <v>1</v>
      </c>
      <c r="J87" t="b">
        <v>1</v>
      </c>
      <c r="K87" t="b">
        <v>1</v>
      </c>
      <c r="L87" t="b">
        <v>0</v>
      </c>
    </row>
    <row r="88" spans="1:12" x14ac:dyDescent="0.25">
      <c r="A88" s="4" t="s">
        <v>76</v>
      </c>
      <c r="B88" s="117" t="s">
        <v>434</v>
      </c>
      <c r="C88" t="s">
        <v>349</v>
      </c>
      <c r="D88">
        <v>38</v>
      </c>
      <c r="E88" t="s">
        <v>3900</v>
      </c>
      <c r="F88" s="42" t="b">
        <v>1</v>
      </c>
      <c r="G88" s="42" t="b">
        <v>1</v>
      </c>
      <c r="H88">
        <v>1</v>
      </c>
      <c r="J88" t="b">
        <v>1</v>
      </c>
      <c r="K88" t="b">
        <v>1</v>
      </c>
      <c r="L88" t="b">
        <v>0</v>
      </c>
    </row>
    <row r="89" spans="1:12" x14ac:dyDescent="0.25">
      <c r="A89" s="4" t="s">
        <v>77</v>
      </c>
      <c r="B89" s="117" t="s">
        <v>435</v>
      </c>
      <c r="C89" t="s">
        <v>349</v>
      </c>
      <c r="D89">
        <v>38</v>
      </c>
      <c r="E89" t="s">
        <v>3900</v>
      </c>
      <c r="F89" s="42" t="b">
        <v>1</v>
      </c>
      <c r="G89" s="42" t="b">
        <v>1</v>
      </c>
      <c r="H89">
        <v>1</v>
      </c>
      <c r="J89" t="b">
        <v>1</v>
      </c>
      <c r="K89" t="b">
        <v>1</v>
      </c>
      <c r="L89" t="b">
        <v>0</v>
      </c>
    </row>
    <row r="90" spans="1:12" x14ac:dyDescent="0.25">
      <c r="A90" s="4" t="s">
        <v>78</v>
      </c>
      <c r="B90" s="117" t="s">
        <v>436</v>
      </c>
      <c r="C90" t="s">
        <v>349</v>
      </c>
      <c r="D90">
        <v>38</v>
      </c>
      <c r="E90" t="s">
        <v>3900</v>
      </c>
      <c r="F90" s="42" t="b">
        <v>1</v>
      </c>
      <c r="G90" s="42" t="b">
        <v>1</v>
      </c>
      <c r="H90">
        <v>1</v>
      </c>
      <c r="J90" t="b">
        <v>1</v>
      </c>
      <c r="K90" t="b">
        <v>1</v>
      </c>
      <c r="L90" t="b">
        <v>0</v>
      </c>
    </row>
    <row r="91" spans="1:12" x14ac:dyDescent="0.25">
      <c r="A91" s="4" t="s">
        <v>80</v>
      </c>
      <c r="B91" s="117" t="s">
        <v>437</v>
      </c>
      <c r="C91" t="s">
        <v>349</v>
      </c>
      <c r="D91">
        <v>38</v>
      </c>
      <c r="E91" t="s">
        <v>3900</v>
      </c>
      <c r="F91" s="42" t="b">
        <v>1</v>
      </c>
      <c r="G91" s="42" t="b">
        <v>1</v>
      </c>
      <c r="H91">
        <v>1</v>
      </c>
      <c r="J91" t="b">
        <v>1</v>
      </c>
      <c r="K91" t="b">
        <v>1</v>
      </c>
      <c r="L91" t="b">
        <v>0</v>
      </c>
    </row>
    <row r="92" spans="1:12" x14ac:dyDescent="0.25">
      <c r="A92" s="4" t="s">
        <v>134</v>
      </c>
      <c r="B92" s="117" t="s">
        <v>438</v>
      </c>
      <c r="C92" t="s">
        <v>349</v>
      </c>
      <c r="D92">
        <v>38</v>
      </c>
      <c r="E92" t="s">
        <v>3900</v>
      </c>
      <c r="F92" s="42" t="b">
        <v>1</v>
      </c>
      <c r="G92" s="42" t="b">
        <v>1</v>
      </c>
      <c r="H92">
        <v>1</v>
      </c>
      <c r="J92" t="b">
        <v>1</v>
      </c>
      <c r="K92" t="b">
        <v>1</v>
      </c>
      <c r="L92" t="b">
        <v>0</v>
      </c>
    </row>
    <row r="93" spans="1:12" x14ac:dyDescent="0.25">
      <c r="A93" s="4" t="s">
        <v>79</v>
      </c>
      <c r="B93" s="117" t="s">
        <v>439</v>
      </c>
      <c r="C93" t="s">
        <v>349</v>
      </c>
      <c r="D93">
        <v>38</v>
      </c>
      <c r="E93" t="s">
        <v>3900</v>
      </c>
      <c r="F93" s="42" t="b">
        <v>1</v>
      </c>
      <c r="G93" s="42" t="b">
        <v>1</v>
      </c>
      <c r="H93">
        <v>1</v>
      </c>
      <c r="J93" t="b">
        <v>1</v>
      </c>
      <c r="K93" t="b">
        <v>1</v>
      </c>
      <c r="L93" t="b">
        <v>0</v>
      </c>
    </row>
    <row r="94" spans="1:12" x14ac:dyDescent="0.25">
      <c r="A94" s="44" t="s">
        <v>81</v>
      </c>
      <c r="B94" s="118" t="s">
        <v>440</v>
      </c>
      <c r="C94" t="s">
        <v>350</v>
      </c>
      <c r="D94">
        <v>39</v>
      </c>
      <c r="E94" t="s">
        <v>3900</v>
      </c>
      <c r="F94" s="42" t="b">
        <v>1</v>
      </c>
      <c r="G94" s="42" t="b">
        <v>1</v>
      </c>
      <c r="I94" s="18" t="s">
        <v>3902</v>
      </c>
      <c r="J94" t="b">
        <v>1</v>
      </c>
      <c r="K94" t="b">
        <v>1</v>
      </c>
      <c r="L94" t="b">
        <v>1</v>
      </c>
    </row>
    <row r="95" spans="1:12" x14ac:dyDescent="0.25">
      <c r="A95" s="44" t="s">
        <v>82</v>
      </c>
      <c r="B95" s="118" t="s">
        <v>441</v>
      </c>
      <c r="C95" t="s">
        <v>349</v>
      </c>
      <c r="D95">
        <v>40</v>
      </c>
      <c r="E95" t="s">
        <v>3900</v>
      </c>
      <c r="F95" s="42" t="b">
        <v>1</v>
      </c>
      <c r="G95" s="42" t="b">
        <v>1</v>
      </c>
      <c r="I95" s="18" t="s">
        <v>3902</v>
      </c>
      <c r="J95" t="b">
        <v>1</v>
      </c>
      <c r="K95" t="b">
        <v>1</v>
      </c>
      <c r="L95" t="b">
        <v>1</v>
      </c>
    </row>
    <row r="96" spans="1:12" x14ac:dyDescent="0.25">
      <c r="A96" s="44" t="s">
        <v>83</v>
      </c>
      <c r="B96" s="118" t="s">
        <v>442</v>
      </c>
      <c r="C96" t="s">
        <v>332</v>
      </c>
      <c r="D96">
        <v>41</v>
      </c>
      <c r="E96" t="s">
        <v>3900</v>
      </c>
      <c r="F96" s="42" t="b">
        <v>1</v>
      </c>
      <c r="G96" s="42" t="b">
        <v>1</v>
      </c>
      <c r="H96">
        <v>1</v>
      </c>
      <c r="J96" t="b">
        <v>1</v>
      </c>
      <c r="K96" t="b">
        <v>1</v>
      </c>
      <c r="L96" t="b">
        <v>0</v>
      </c>
    </row>
    <row r="97" spans="1:12" x14ac:dyDescent="0.25">
      <c r="A97" s="44" t="s">
        <v>353</v>
      </c>
      <c r="B97" s="118" t="s">
        <v>443</v>
      </c>
      <c r="C97" t="s">
        <v>332</v>
      </c>
      <c r="D97">
        <v>41</v>
      </c>
      <c r="E97" t="s">
        <v>3900</v>
      </c>
      <c r="F97" s="42" t="b">
        <v>1</v>
      </c>
      <c r="G97" s="42" t="b">
        <v>1</v>
      </c>
      <c r="H97">
        <v>1</v>
      </c>
      <c r="J97" t="b">
        <v>0</v>
      </c>
      <c r="K97" t="b">
        <v>0</v>
      </c>
      <c r="L97" t="b">
        <v>0</v>
      </c>
    </row>
    <row r="98" spans="1:12" x14ac:dyDescent="0.25">
      <c r="A98" s="44" t="s">
        <v>84</v>
      </c>
      <c r="B98" s="118" t="s">
        <v>444</v>
      </c>
      <c r="C98" t="s">
        <v>349</v>
      </c>
      <c r="D98">
        <v>42</v>
      </c>
      <c r="E98" t="s">
        <v>3900</v>
      </c>
      <c r="F98" s="42" t="b">
        <v>1</v>
      </c>
      <c r="G98" s="42" t="b">
        <v>1</v>
      </c>
      <c r="I98" s="18" t="s">
        <v>3902</v>
      </c>
      <c r="J98" t="b">
        <v>0</v>
      </c>
      <c r="K98" t="b">
        <v>0</v>
      </c>
      <c r="L98" t="b">
        <v>1</v>
      </c>
    </row>
    <row r="99" spans="1:12" x14ac:dyDescent="0.25">
      <c r="A99" s="123" t="s">
        <v>3888</v>
      </c>
      <c r="B99" s="125" t="s">
        <v>3889</v>
      </c>
      <c r="C99" t="s">
        <v>350</v>
      </c>
      <c r="D99">
        <v>43</v>
      </c>
      <c r="E99" t="s">
        <v>3910</v>
      </c>
      <c r="F99" s="42" t="b">
        <v>0</v>
      </c>
      <c r="G99" s="42" t="b">
        <v>0</v>
      </c>
      <c r="J99" t="b">
        <v>1</v>
      </c>
      <c r="K99" t="b">
        <v>1</v>
      </c>
      <c r="L99" t="b">
        <v>0</v>
      </c>
    </row>
    <row r="100" spans="1:12" x14ac:dyDescent="0.25">
      <c r="A100" s="124" t="s">
        <v>3890</v>
      </c>
      <c r="B100" s="125" t="s">
        <v>3891</v>
      </c>
      <c r="C100" t="s">
        <v>350</v>
      </c>
      <c r="D100">
        <v>44</v>
      </c>
      <c r="E100" t="s">
        <v>3910</v>
      </c>
      <c r="F100" s="42" t="b">
        <v>0</v>
      </c>
      <c r="G100" s="42" t="b">
        <v>0</v>
      </c>
      <c r="J100" t="b">
        <v>1</v>
      </c>
      <c r="K100" t="b">
        <v>1</v>
      </c>
      <c r="L100" t="b">
        <v>0</v>
      </c>
    </row>
    <row r="101" spans="1:12" x14ac:dyDescent="0.25">
      <c r="A101" s="124" t="s">
        <v>448</v>
      </c>
      <c r="B101" s="125" t="s">
        <v>451</v>
      </c>
      <c r="C101" t="s">
        <v>350</v>
      </c>
      <c r="D101">
        <v>45</v>
      </c>
      <c r="E101" t="s">
        <v>3910</v>
      </c>
      <c r="F101" s="42" t="b">
        <v>0</v>
      </c>
      <c r="G101" s="42" t="b">
        <v>0</v>
      </c>
      <c r="J101" t="b">
        <v>0</v>
      </c>
      <c r="K101" t="b">
        <v>0</v>
      </c>
      <c r="L101" t="b">
        <v>0</v>
      </c>
    </row>
    <row r="102" spans="1:12" x14ac:dyDescent="0.25">
      <c r="A102" s="124" t="s">
        <v>449</v>
      </c>
      <c r="B102" s="125" t="s">
        <v>452</v>
      </c>
      <c r="C102" t="s">
        <v>350</v>
      </c>
      <c r="D102">
        <v>46</v>
      </c>
      <c r="E102" t="s">
        <v>3910</v>
      </c>
      <c r="F102" s="42" t="b">
        <v>0</v>
      </c>
      <c r="G102" s="42" t="b">
        <v>1</v>
      </c>
      <c r="I102" s="18" t="s">
        <v>3902</v>
      </c>
      <c r="J102" t="b">
        <v>0</v>
      </c>
      <c r="K102" t="b">
        <v>0</v>
      </c>
      <c r="L102" t="b">
        <v>0</v>
      </c>
    </row>
    <row r="103" spans="1:12" x14ac:dyDescent="0.25">
      <c r="A103" s="124" t="s">
        <v>450</v>
      </c>
      <c r="B103" s="125" t="s">
        <v>453</v>
      </c>
      <c r="C103" t="s">
        <v>350</v>
      </c>
      <c r="D103">
        <v>47</v>
      </c>
      <c r="E103" t="s">
        <v>3910</v>
      </c>
      <c r="F103" s="42" t="b">
        <v>0</v>
      </c>
      <c r="G103" s="42" t="b">
        <v>0</v>
      </c>
      <c r="J103" t="b">
        <v>0</v>
      </c>
      <c r="K103" t="b">
        <v>0</v>
      </c>
      <c r="L103" t="b">
        <v>0</v>
      </c>
    </row>
  </sheetData>
  <conditionalFormatting sqref="A2:B4 A11:B12 A6:B9 A23:B93">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95:B98">
    <cfRule type="containsBlanks" dxfId="208" priority="4">
      <formula>LEN(TRIM(A95))=0</formula>
    </cfRule>
  </conditionalFormatting>
  <conditionalFormatting sqref="A99:A103">
    <cfRule type="containsBlanks" dxfId="207" priority="3">
      <formula>LEN(TRIM(A99))=0</formula>
    </cfRule>
  </conditionalFormatting>
  <conditionalFormatting sqref="A94">
    <cfRule type="containsBlanks" dxfId="206" priority="2">
      <formula>LEN(TRIM(A94))=0</formula>
    </cfRule>
  </conditionalFormatting>
  <conditionalFormatting sqref="B94">
    <cfRule type="containsBlanks" dxfId="205"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 sqref="E1"/>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workbookViewId="0">
      <selection activeCell="F33" sqref="F33"/>
    </sheetView>
  </sheetViews>
  <sheetFormatPr defaultRowHeight="15" x14ac:dyDescent="0.25"/>
  <sheetData>
    <row r="1" spans="1:4" x14ac:dyDescent="0.25">
      <c r="A1" s="75" t="s">
        <v>64</v>
      </c>
      <c r="B1" s="75" t="s">
        <v>36</v>
      </c>
      <c r="C1" s="75" t="s">
        <v>65</v>
      </c>
      <c r="D1" s="75"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4">
        <v>3426.31</v>
      </c>
    </row>
    <row r="8" spans="1:4" x14ac:dyDescent="0.25">
      <c r="A8">
        <v>1987</v>
      </c>
      <c r="B8" t="s">
        <v>477</v>
      </c>
      <c r="C8">
        <v>16480.224399999999</v>
      </c>
      <c r="D8" s="174">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4">
        <v>1132.05</v>
      </c>
    </row>
    <row r="34" spans="1:4" x14ac:dyDescent="0.25">
      <c r="A34">
        <v>1986</v>
      </c>
      <c r="B34" t="s">
        <v>540</v>
      </c>
      <c r="C34">
        <v>15082.56027</v>
      </c>
      <c r="D34" s="174">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4">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4">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4">
        <v>1190.67</v>
      </c>
    </row>
    <row r="108" spans="1:4" x14ac:dyDescent="0.25">
      <c r="A108">
        <v>2005</v>
      </c>
      <c r="B108" t="s">
        <v>515</v>
      </c>
      <c r="C108">
        <v>20349.749179999999</v>
      </c>
      <c r="D108" s="174">
        <v>1351.08</v>
      </c>
    </row>
    <row r="109" spans="1:4" x14ac:dyDescent="0.25">
      <c r="A109">
        <v>2006</v>
      </c>
      <c r="B109" t="s">
        <v>515</v>
      </c>
      <c r="C109">
        <v>20841.356749999999</v>
      </c>
      <c r="D109" s="174">
        <v>1400.39</v>
      </c>
    </row>
    <row r="110" spans="1:4" x14ac:dyDescent="0.25">
      <c r="A110">
        <v>2015</v>
      </c>
      <c r="B110" t="s">
        <v>515</v>
      </c>
      <c r="C110">
        <v>23733.290249999998</v>
      </c>
      <c r="D110" s="174">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4">
        <v>1423</v>
      </c>
    </row>
    <row r="138" spans="1:4" x14ac:dyDescent="0.25">
      <c r="A138">
        <v>2000</v>
      </c>
      <c r="B138" t="s">
        <v>329</v>
      </c>
      <c r="C138">
        <v>24477.315709999999</v>
      </c>
      <c r="D138" s="174">
        <v>1503.07</v>
      </c>
    </row>
    <row r="139" spans="1:4" x14ac:dyDescent="0.25">
      <c r="A139">
        <v>2001</v>
      </c>
      <c r="B139" t="s">
        <v>329</v>
      </c>
      <c r="C139">
        <v>25208.408510000001</v>
      </c>
      <c r="D139" s="174">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12</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67"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4" priority="202">
      <formula>LEN(TRIM(F1))=0</formula>
    </cfRule>
  </conditionalFormatting>
  <conditionalFormatting sqref="P2:R53 P55:R55">
    <cfRule type="containsText" dxfId="203" priority="199" operator="containsText" text="PRIMARY STUDY">
      <formula>NOT(ISERROR(SEARCH("PRIMARY STUDY",P2)))</formula>
    </cfRule>
    <cfRule type="notContainsText" dxfId="202" priority="200" operator="notContains" text="YES">
      <formula>ISERROR(SEARCH("YES",P2))</formula>
    </cfRule>
    <cfRule type="containsText" dxfId="201" priority="201" operator="containsText" text="YES">
      <formula>NOT(ISERROR(SEARCH("YES",P2)))</formula>
    </cfRule>
  </conditionalFormatting>
  <conditionalFormatting sqref="S2:S53 S55">
    <cfRule type="containsBlanks" dxfId="200" priority="203">
      <formula>LEN(TRIM(S2))=0</formula>
    </cfRule>
  </conditionalFormatting>
  <conditionalFormatting sqref="S2:S53 S55">
    <cfRule type="cellIs" dxfId="199" priority="197" operator="between">
      <formula>1</formula>
      <formula>4</formula>
    </cfRule>
    <cfRule type="containsText" dxfId="198" priority="198" operator="containsText" text="X">
      <formula>NOT(ISERROR(SEARCH("X",S2)))</formula>
    </cfRule>
  </conditionalFormatting>
  <conditionalFormatting sqref="F56">
    <cfRule type="containsBlanks" dxfId="197" priority="194">
      <formula>LEN(TRIM(F56))=0</formula>
    </cfRule>
  </conditionalFormatting>
  <conditionalFormatting sqref="P56:R56">
    <cfRule type="containsText" dxfId="196" priority="191" operator="containsText" text="PRIMARY STUDY">
      <formula>NOT(ISERROR(SEARCH("PRIMARY STUDY",P56)))</formula>
    </cfRule>
    <cfRule type="notContainsText" dxfId="195" priority="192" operator="notContains" text="YES">
      <formula>ISERROR(SEARCH("YES",P56))</formula>
    </cfRule>
    <cfRule type="containsText" dxfId="194" priority="193" operator="containsText" text="YES">
      <formula>NOT(ISERROR(SEARCH("YES",P56)))</formula>
    </cfRule>
  </conditionalFormatting>
  <conditionalFormatting sqref="B56">
    <cfRule type="duplicateValues" dxfId="193" priority="188"/>
  </conditionalFormatting>
  <conditionalFormatting sqref="S56">
    <cfRule type="containsBlanks" dxfId="192" priority="195">
      <formula>LEN(TRIM(S56))=0</formula>
    </cfRule>
  </conditionalFormatting>
  <conditionalFormatting sqref="S56">
    <cfRule type="cellIs" dxfId="191" priority="189" operator="between">
      <formula>1</formula>
      <formula>4</formula>
    </cfRule>
    <cfRule type="containsText" dxfId="190" priority="190" operator="containsText" text="X">
      <formula>NOT(ISERROR(SEARCH("X",S56)))</formula>
    </cfRule>
  </conditionalFormatting>
  <conditionalFormatting sqref="F57">
    <cfRule type="containsBlanks" dxfId="189" priority="186">
      <formula>LEN(TRIM(F57))=0</formula>
    </cfRule>
  </conditionalFormatting>
  <conditionalFormatting sqref="P57:R57">
    <cfRule type="containsText" dxfId="188" priority="183" operator="containsText" text="PRIMARY STUDY">
      <formula>NOT(ISERROR(SEARCH("PRIMARY STUDY",P57)))</formula>
    </cfRule>
    <cfRule type="notContainsText" dxfId="187" priority="184" operator="notContains" text="YES">
      <formula>ISERROR(SEARCH("YES",P57))</formula>
    </cfRule>
    <cfRule type="containsText" dxfId="186" priority="185" operator="containsText" text="YES">
      <formula>NOT(ISERROR(SEARCH("YES",P57)))</formula>
    </cfRule>
  </conditionalFormatting>
  <conditionalFormatting sqref="B57">
    <cfRule type="duplicateValues" dxfId="185" priority="180"/>
  </conditionalFormatting>
  <conditionalFormatting sqref="S57">
    <cfRule type="containsBlanks" dxfId="184" priority="187">
      <formula>LEN(TRIM(S57))=0</formula>
    </cfRule>
  </conditionalFormatting>
  <conditionalFormatting sqref="S57">
    <cfRule type="cellIs" dxfId="183" priority="181" operator="between">
      <formula>1</formula>
      <formula>4</formula>
    </cfRule>
    <cfRule type="containsText" dxfId="182" priority="182" operator="containsText" text="X">
      <formula>NOT(ISERROR(SEARCH("X",S57)))</formula>
    </cfRule>
  </conditionalFormatting>
  <conditionalFormatting sqref="F58">
    <cfRule type="containsBlanks" dxfId="181" priority="179">
      <formula>LEN(TRIM(F58))=0</formula>
    </cfRule>
  </conditionalFormatting>
  <conditionalFormatting sqref="B58">
    <cfRule type="duplicateValues" dxfId="180" priority="178"/>
  </conditionalFormatting>
  <conditionalFormatting sqref="P58:R58">
    <cfRule type="containsText" dxfId="179" priority="174" operator="containsText" text="PRIMARY STUDY">
      <formula>NOT(ISERROR(SEARCH("PRIMARY STUDY",P58)))</formula>
    </cfRule>
    <cfRule type="notContainsText" dxfId="178" priority="175" operator="notContains" text="YES">
      <formula>ISERROR(SEARCH("YES",P58))</formula>
    </cfRule>
    <cfRule type="containsText" dxfId="177" priority="176" operator="containsText" text="YES">
      <formula>NOT(ISERROR(SEARCH("YES",P58)))</formula>
    </cfRule>
  </conditionalFormatting>
  <conditionalFormatting sqref="S58">
    <cfRule type="containsBlanks" dxfId="176" priority="177">
      <formula>LEN(TRIM(S58))=0</formula>
    </cfRule>
  </conditionalFormatting>
  <conditionalFormatting sqref="S58">
    <cfRule type="cellIs" dxfId="175" priority="172" operator="between">
      <formula>1</formula>
      <formula>4</formula>
    </cfRule>
    <cfRule type="containsText" dxfId="174" priority="173" operator="containsText" text="X">
      <formula>NOT(ISERROR(SEARCH("X",S58)))</formula>
    </cfRule>
  </conditionalFormatting>
  <conditionalFormatting sqref="F59">
    <cfRule type="containsBlanks" dxfId="173" priority="171">
      <formula>LEN(TRIM(F59))=0</formula>
    </cfRule>
  </conditionalFormatting>
  <conditionalFormatting sqref="B59">
    <cfRule type="duplicateValues" dxfId="172" priority="170"/>
  </conditionalFormatting>
  <conditionalFormatting sqref="P59:R59">
    <cfRule type="containsText" dxfId="171" priority="166" operator="containsText" text="PRIMARY STUDY">
      <formula>NOT(ISERROR(SEARCH("PRIMARY STUDY",P59)))</formula>
    </cfRule>
    <cfRule type="notContainsText" dxfId="170" priority="167" operator="notContains" text="YES">
      <formula>ISERROR(SEARCH("YES",P59))</formula>
    </cfRule>
    <cfRule type="containsText" dxfId="169" priority="168" operator="containsText" text="YES">
      <formula>NOT(ISERROR(SEARCH("YES",P59)))</formula>
    </cfRule>
  </conditionalFormatting>
  <conditionalFormatting sqref="S59">
    <cfRule type="containsBlanks" dxfId="168" priority="169">
      <formula>LEN(TRIM(S59))=0</formula>
    </cfRule>
  </conditionalFormatting>
  <conditionalFormatting sqref="S59">
    <cfRule type="cellIs" dxfId="167" priority="164" operator="between">
      <formula>1</formula>
      <formula>4</formula>
    </cfRule>
    <cfRule type="containsText" dxfId="166" priority="165" operator="containsText" text="X">
      <formula>NOT(ISERROR(SEARCH("X",S59)))</formula>
    </cfRule>
  </conditionalFormatting>
  <conditionalFormatting sqref="F60">
    <cfRule type="containsBlanks" dxfId="165" priority="163">
      <formula>LEN(TRIM(F60))=0</formula>
    </cfRule>
  </conditionalFormatting>
  <conditionalFormatting sqref="B60">
    <cfRule type="duplicateValues" dxfId="164" priority="162"/>
  </conditionalFormatting>
  <conditionalFormatting sqref="P60:R60">
    <cfRule type="containsText" dxfId="163" priority="158" operator="containsText" text="PRIMARY STUDY">
      <formula>NOT(ISERROR(SEARCH("PRIMARY STUDY",P60)))</formula>
    </cfRule>
    <cfRule type="notContainsText" dxfId="162" priority="159" operator="notContains" text="YES">
      <formula>ISERROR(SEARCH("YES",P60))</formula>
    </cfRule>
    <cfRule type="containsText" dxfId="161" priority="160" operator="containsText" text="YES">
      <formula>NOT(ISERROR(SEARCH("YES",P60)))</formula>
    </cfRule>
  </conditionalFormatting>
  <conditionalFormatting sqref="S60">
    <cfRule type="containsBlanks" dxfId="160" priority="161">
      <formula>LEN(TRIM(S60))=0</formula>
    </cfRule>
  </conditionalFormatting>
  <conditionalFormatting sqref="S60">
    <cfRule type="cellIs" dxfId="159" priority="156" operator="between">
      <formula>1</formula>
      <formula>4</formula>
    </cfRule>
    <cfRule type="containsText" dxfId="158" priority="157" operator="containsText" text="X">
      <formula>NOT(ISERROR(SEARCH("X",S60)))</formula>
    </cfRule>
  </conditionalFormatting>
  <conditionalFormatting sqref="F61">
    <cfRule type="containsBlanks" dxfId="157" priority="155">
      <formula>LEN(TRIM(F61))=0</formula>
    </cfRule>
  </conditionalFormatting>
  <conditionalFormatting sqref="B61">
    <cfRule type="duplicateValues" dxfId="156" priority="154"/>
  </conditionalFormatting>
  <conditionalFormatting sqref="P61:R61">
    <cfRule type="containsText" dxfId="155" priority="150" operator="containsText" text="PRIMARY STUDY">
      <formula>NOT(ISERROR(SEARCH("PRIMARY STUDY",P61)))</formula>
    </cfRule>
    <cfRule type="notContainsText" dxfId="154" priority="151" operator="notContains" text="YES">
      <formula>ISERROR(SEARCH("YES",P61))</formula>
    </cfRule>
    <cfRule type="containsText" dxfId="153" priority="152" operator="containsText" text="YES">
      <formula>NOT(ISERROR(SEARCH("YES",P61)))</formula>
    </cfRule>
  </conditionalFormatting>
  <conditionalFormatting sqref="S61">
    <cfRule type="containsBlanks" dxfId="152" priority="153">
      <formula>LEN(TRIM(S61))=0</formula>
    </cfRule>
  </conditionalFormatting>
  <conditionalFormatting sqref="S61">
    <cfRule type="cellIs" dxfId="151" priority="148" operator="between">
      <formula>1</formula>
      <formula>4</formula>
    </cfRule>
    <cfRule type="containsText" dxfId="150" priority="149" operator="containsText" text="X">
      <formula>NOT(ISERROR(SEARCH("X",S61)))</formula>
    </cfRule>
  </conditionalFormatting>
  <conditionalFormatting sqref="B15:B53 B1:B13 B55">
    <cfRule type="duplicateValues" dxfId="149" priority="242"/>
  </conditionalFormatting>
  <conditionalFormatting sqref="F62">
    <cfRule type="containsBlanks" dxfId="148" priority="147">
      <formula>LEN(TRIM(F62))=0</formula>
    </cfRule>
  </conditionalFormatting>
  <conditionalFormatting sqref="B62">
    <cfRule type="duplicateValues" dxfId="147" priority="146"/>
  </conditionalFormatting>
  <conditionalFormatting sqref="P62:R62">
    <cfRule type="containsText" dxfId="146" priority="142" operator="containsText" text="PRIMARY STUDY">
      <formula>NOT(ISERROR(SEARCH("PRIMARY STUDY",P62)))</formula>
    </cfRule>
    <cfRule type="notContainsText" dxfId="145" priority="143" operator="notContains" text="YES">
      <formula>ISERROR(SEARCH("YES",P62))</formula>
    </cfRule>
    <cfRule type="containsText" dxfId="144" priority="144" operator="containsText" text="YES">
      <formula>NOT(ISERROR(SEARCH("YES",P62)))</formula>
    </cfRule>
  </conditionalFormatting>
  <conditionalFormatting sqref="S62">
    <cfRule type="containsBlanks" dxfId="143" priority="145">
      <formula>LEN(TRIM(S62))=0</formula>
    </cfRule>
  </conditionalFormatting>
  <conditionalFormatting sqref="S62">
    <cfRule type="cellIs" dxfId="142" priority="140" operator="between">
      <formula>1</formula>
      <formula>4</formula>
    </cfRule>
    <cfRule type="containsText" dxfId="141" priority="141" operator="containsText" text="X">
      <formula>NOT(ISERROR(SEARCH("X",S62)))</formula>
    </cfRule>
  </conditionalFormatting>
  <conditionalFormatting sqref="F63">
    <cfRule type="containsBlanks" dxfId="140" priority="139">
      <formula>LEN(TRIM(F63))=0</formula>
    </cfRule>
  </conditionalFormatting>
  <conditionalFormatting sqref="B63">
    <cfRule type="duplicateValues" dxfId="139" priority="138"/>
  </conditionalFormatting>
  <conditionalFormatting sqref="P63:R63">
    <cfRule type="containsText" dxfId="138" priority="134" operator="containsText" text="PRIMARY STUDY">
      <formula>NOT(ISERROR(SEARCH("PRIMARY STUDY",P63)))</formula>
    </cfRule>
    <cfRule type="notContainsText" dxfId="137" priority="135" operator="notContains" text="YES">
      <formula>ISERROR(SEARCH("YES",P63))</formula>
    </cfRule>
    <cfRule type="containsText" dxfId="136" priority="136" operator="containsText" text="YES">
      <formula>NOT(ISERROR(SEARCH("YES",P63)))</formula>
    </cfRule>
  </conditionalFormatting>
  <conditionalFormatting sqref="S63">
    <cfRule type="containsBlanks" dxfId="135" priority="137">
      <formula>LEN(TRIM(S63))=0</formula>
    </cfRule>
  </conditionalFormatting>
  <conditionalFormatting sqref="S63">
    <cfRule type="cellIs" dxfId="134" priority="132" operator="between">
      <formula>1</formula>
      <formula>4</formula>
    </cfRule>
    <cfRule type="containsText" dxfId="133" priority="133" operator="containsText" text="X">
      <formula>NOT(ISERROR(SEARCH("X",S63)))</formula>
    </cfRule>
  </conditionalFormatting>
  <conditionalFormatting sqref="F65">
    <cfRule type="containsBlanks" dxfId="132" priority="107">
      <formula>LEN(TRIM(F65))=0</formula>
    </cfRule>
  </conditionalFormatting>
  <conditionalFormatting sqref="F65">
    <cfRule type="containsBlanks" dxfId="131" priority="123">
      <formula>LEN(TRIM(F65))=0</formula>
    </cfRule>
  </conditionalFormatting>
  <conditionalFormatting sqref="B65">
    <cfRule type="duplicateValues" dxfId="130" priority="122"/>
  </conditionalFormatting>
  <conditionalFormatting sqref="P65:R65">
    <cfRule type="containsText" dxfId="129" priority="118" operator="containsText" text="PRIMARY STUDY">
      <formula>NOT(ISERROR(SEARCH("PRIMARY STUDY",P65)))</formula>
    </cfRule>
    <cfRule type="notContainsText" dxfId="128" priority="119" operator="notContains" text="YES">
      <formula>ISERROR(SEARCH("YES",P65))</formula>
    </cfRule>
    <cfRule type="containsText" dxfId="127" priority="120" operator="containsText" text="YES">
      <formula>NOT(ISERROR(SEARCH("YES",P65)))</formula>
    </cfRule>
  </conditionalFormatting>
  <conditionalFormatting sqref="S65">
    <cfRule type="containsBlanks" dxfId="126" priority="121">
      <formula>LEN(TRIM(S65))=0</formula>
    </cfRule>
  </conditionalFormatting>
  <conditionalFormatting sqref="S65">
    <cfRule type="cellIs" dxfId="125" priority="116" operator="between">
      <formula>1</formula>
      <formula>4</formula>
    </cfRule>
    <cfRule type="containsText" dxfId="124" priority="117" operator="containsText" text="X">
      <formula>NOT(ISERROR(SEARCH("X",S65)))</formula>
    </cfRule>
  </conditionalFormatting>
  <conditionalFormatting sqref="F66">
    <cfRule type="containsBlanks" dxfId="123" priority="115">
      <formula>LEN(TRIM(F66))=0</formula>
    </cfRule>
  </conditionalFormatting>
  <conditionalFormatting sqref="B66">
    <cfRule type="duplicateValues" dxfId="122" priority="114"/>
  </conditionalFormatting>
  <conditionalFormatting sqref="P66:R66">
    <cfRule type="containsText" dxfId="121" priority="110" operator="containsText" text="PRIMARY STUDY">
      <formula>NOT(ISERROR(SEARCH("PRIMARY STUDY",P66)))</formula>
    </cfRule>
    <cfRule type="notContainsText" dxfId="120" priority="111" operator="notContains" text="YES">
      <formula>ISERROR(SEARCH("YES",P66))</formula>
    </cfRule>
    <cfRule type="containsText" dxfId="119" priority="112" operator="containsText" text="YES">
      <formula>NOT(ISERROR(SEARCH("YES",P66)))</formula>
    </cfRule>
  </conditionalFormatting>
  <conditionalFormatting sqref="S66">
    <cfRule type="containsBlanks" dxfId="118" priority="113">
      <formula>LEN(TRIM(S66))=0</formula>
    </cfRule>
  </conditionalFormatting>
  <conditionalFormatting sqref="S66">
    <cfRule type="cellIs" dxfId="117" priority="108" operator="between">
      <formula>1</formula>
      <formula>4</formula>
    </cfRule>
    <cfRule type="containsText" dxfId="116" priority="109" operator="containsText" text="X">
      <formula>NOT(ISERROR(SEARCH("X",S66)))</formula>
    </cfRule>
  </conditionalFormatting>
  <conditionalFormatting sqref="B65">
    <cfRule type="duplicateValues" dxfId="115" priority="106"/>
  </conditionalFormatting>
  <conditionalFormatting sqref="F66">
    <cfRule type="containsBlanks" dxfId="114" priority="105">
      <formula>LEN(TRIM(F66))=0</formula>
    </cfRule>
  </conditionalFormatting>
  <conditionalFormatting sqref="B66">
    <cfRule type="duplicateValues" dxfId="113" priority="104"/>
  </conditionalFormatting>
  <conditionalFormatting sqref="F67">
    <cfRule type="containsBlanks" dxfId="112" priority="103">
      <formula>LEN(TRIM(F67))=0</formula>
    </cfRule>
  </conditionalFormatting>
  <conditionalFormatting sqref="B67">
    <cfRule type="duplicateValues" dxfId="111" priority="102"/>
  </conditionalFormatting>
  <conditionalFormatting sqref="P65:R65">
    <cfRule type="containsText" dxfId="110" priority="98" operator="containsText" text="PRIMARY STUDY">
      <formula>NOT(ISERROR(SEARCH("PRIMARY STUDY",P65)))</formula>
    </cfRule>
    <cfRule type="notContainsText" dxfId="109" priority="99" operator="notContains" text="YES">
      <formula>ISERROR(SEARCH("YES",P65))</formula>
    </cfRule>
    <cfRule type="containsText" dxfId="108" priority="100" operator="containsText" text="YES">
      <formula>NOT(ISERROR(SEARCH("YES",P65)))</formula>
    </cfRule>
  </conditionalFormatting>
  <conditionalFormatting sqref="S65">
    <cfRule type="containsBlanks" dxfId="107" priority="101">
      <formula>LEN(TRIM(S65))=0</formula>
    </cfRule>
  </conditionalFormatting>
  <conditionalFormatting sqref="S65">
    <cfRule type="cellIs" dxfId="106" priority="96" operator="between">
      <formula>1</formula>
      <formula>4</formula>
    </cfRule>
    <cfRule type="containsText" dxfId="105" priority="97" operator="containsText" text="X">
      <formula>NOT(ISERROR(SEARCH("X",S65)))</formula>
    </cfRule>
  </conditionalFormatting>
  <conditionalFormatting sqref="P66:R66">
    <cfRule type="containsText" dxfId="104" priority="92" operator="containsText" text="PRIMARY STUDY">
      <formula>NOT(ISERROR(SEARCH("PRIMARY STUDY",P66)))</formula>
    </cfRule>
    <cfRule type="notContainsText" dxfId="103" priority="93" operator="notContains" text="YES">
      <formula>ISERROR(SEARCH("YES",P66))</formula>
    </cfRule>
    <cfRule type="containsText" dxfId="102" priority="94" operator="containsText" text="YES">
      <formula>NOT(ISERROR(SEARCH("YES",P66)))</formula>
    </cfRule>
  </conditionalFormatting>
  <conditionalFormatting sqref="S66">
    <cfRule type="containsBlanks" dxfId="101" priority="95">
      <formula>LEN(TRIM(S66))=0</formula>
    </cfRule>
  </conditionalFormatting>
  <conditionalFormatting sqref="S66">
    <cfRule type="cellIs" dxfId="100" priority="90" operator="between">
      <formula>1</formula>
      <formula>4</formula>
    </cfRule>
    <cfRule type="containsText" dxfId="99" priority="91" operator="containsText" text="X">
      <formula>NOT(ISERROR(SEARCH("X",S66)))</formula>
    </cfRule>
  </conditionalFormatting>
  <conditionalFormatting sqref="P67:R67">
    <cfRule type="containsText" dxfId="98" priority="86" operator="containsText" text="PRIMARY STUDY">
      <formula>NOT(ISERROR(SEARCH("PRIMARY STUDY",P67)))</formula>
    </cfRule>
    <cfRule type="notContainsText" dxfId="97" priority="87" operator="notContains" text="YES">
      <formula>ISERROR(SEARCH("YES",P67))</formula>
    </cfRule>
    <cfRule type="containsText" dxfId="96" priority="88" operator="containsText" text="YES">
      <formula>NOT(ISERROR(SEARCH("YES",P67)))</formula>
    </cfRule>
  </conditionalFormatting>
  <conditionalFormatting sqref="S67">
    <cfRule type="containsBlanks" dxfId="95" priority="89">
      <formula>LEN(TRIM(S67))=0</formula>
    </cfRule>
  </conditionalFormatting>
  <conditionalFormatting sqref="S67">
    <cfRule type="cellIs" dxfId="94" priority="84" operator="between">
      <formula>1</formula>
      <formula>4</formula>
    </cfRule>
    <cfRule type="containsText" dxfId="93" priority="85" operator="containsText" text="X">
      <formula>NOT(ISERROR(SEARCH("X",S67)))</formula>
    </cfRule>
  </conditionalFormatting>
  <conditionalFormatting sqref="F64">
    <cfRule type="containsBlanks" dxfId="92" priority="83">
      <formula>LEN(TRIM(F64))=0</formula>
    </cfRule>
  </conditionalFormatting>
  <conditionalFormatting sqref="B64">
    <cfRule type="duplicateValues" dxfId="91" priority="82"/>
  </conditionalFormatting>
  <conditionalFormatting sqref="P64:R64">
    <cfRule type="containsText" dxfId="90" priority="78" operator="containsText" text="PRIMARY STUDY">
      <formula>NOT(ISERROR(SEARCH("PRIMARY STUDY",P64)))</formula>
    </cfRule>
    <cfRule type="notContainsText" dxfId="89" priority="79" operator="notContains" text="YES">
      <formula>ISERROR(SEARCH("YES",P64))</formula>
    </cfRule>
    <cfRule type="containsText" dxfId="88" priority="80" operator="containsText" text="YES">
      <formula>NOT(ISERROR(SEARCH("YES",P64)))</formula>
    </cfRule>
  </conditionalFormatting>
  <conditionalFormatting sqref="S64">
    <cfRule type="containsBlanks" dxfId="87" priority="81">
      <formula>LEN(TRIM(S64))=0</formula>
    </cfRule>
  </conditionalFormatting>
  <conditionalFormatting sqref="S64">
    <cfRule type="cellIs" dxfId="86" priority="76" operator="between">
      <formula>1</formula>
      <formula>4</formula>
    </cfRule>
    <cfRule type="containsText" dxfId="85" priority="77" operator="containsText" text="X">
      <formula>NOT(ISERROR(SEARCH("X",S64)))</formula>
    </cfRule>
  </conditionalFormatting>
  <conditionalFormatting sqref="F68">
    <cfRule type="containsBlanks" dxfId="84" priority="75">
      <formula>LEN(TRIM(F68))=0</formula>
    </cfRule>
  </conditionalFormatting>
  <conditionalFormatting sqref="B68">
    <cfRule type="duplicateValues" dxfId="83" priority="74"/>
  </conditionalFormatting>
  <conditionalFormatting sqref="P68:R68">
    <cfRule type="containsText" dxfId="82" priority="70" operator="containsText" text="PRIMARY STUDY">
      <formula>NOT(ISERROR(SEARCH("PRIMARY STUDY",P68)))</formula>
    </cfRule>
    <cfRule type="notContainsText" dxfId="81" priority="71" operator="notContains" text="YES">
      <formula>ISERROR(SEARCH("YES",P68))</formula>
    </cfRule>
    <cfRule type="containsText" dxfId="80" priority="72" operator="containsText" text="YES">
      <formula>NOT(ISERROR(SEARCH("YES",P68)))</formula>
    </cfRule>
  </conditionalFormatting>
  <conditionalFormatting sqref="S68">
    <cfRule type="containsBlanks" dxfId="79" priority="73">
      <formula>LEN(TRIM(S68))=0</formula>
    </cfRule>
  </conditionalFormatting>
  <conditionalFormatting sqref="S68">
    <cfRule type="cellIs" dxfId="78" priority="68" operator="between">
      <formula>1</formula>
      <formula>4</formula>
    </cfRule>
    <cfRule type="containsText" dxfId="77" priority="69" operator="containsText" text="X">
      <formula>NOT(ISERROR(SEARCH("X",S68)))</formula>
    </cfRule>
  </conditionalFormatting>
  <conditionalFormatting sqref="F69">
    <cfRule type="containsBlanks" dxfId="76" priority="67">
      <formula>LEN(TRIM(F69))=0</formula>
    </cfRule>
  </conditionalFormatting>
  <conditionalFormatting sqref="B69">
    <cfRule type="duplicateValues" dxfId="75" priority="66"/>
  </conditionalFormatting>
  <conditionalFormatting sqref="P69:R69">
    <cfRule type="containsText" dxfId="74" priority="62" operator="containsText" text="PRIMARY STUDY">
      <formula>NOT(ISERROR(SEARCH("PRIMARY STUDY",P69)))</formula>
    </cfRule>
    <cfRule type="notContainsText" dxfId="73" priority="63" operator="notContains" text="YES">
      <formula>ISERROR(SEARCH("YES",P69))</formula>
    </cfRule>
    <cfRule type="containsText" dxfId="72" priority="64" operator="containsText" text="YES">
      <formula>NOT(ISERROR(SEARCH("YES",P69)))</formula>
    </cfRule>
  </conditionalFormatting>
  <conditionalFormatting sqref="S69">
    <cfRule type="containsBlanks" dxfId="71" priority="65">
      <formula>LEN(TRIM(S69))=0</formula>
    </cfRule>
  </conditionalFormatting>
  <conditionalFormatting sqref="S69">
    <cfRule type="cellIs" dxfId="70" priority="60" operator="between">
      <formula>1</formula>
      <formula>4</formula>
    </cfRule>
    <cfRule type="containsText" dxfId="69" priority="61" operator="containsText" text="X">
      <formula>NOT(ISERROR(SEARCH("X",S69)))</formula>
    </cfRule>
  </conditionalFormatting>
  <conditionalFormatting sqref="P70:R70">
    <cfRule type="containsText" dxfId="68" priority="56" operator="containsText" text="PRIMARY STUDY">
      <formula>NOT(ISERROR(SEARCH("PRIMARY STUDY",P70)))</formula>
    </cfRule>
    <cfRule type="notContainsText" dxfId="67" priority="57" operator="notContains" text="YES">
      <formula>ISERROR(SEARCH("YES",P70))</formula>
    </cfRule>
    <cfRule type="containsText" dxfId="66" priority="58" operator="containsText" text="YES">
      <formula>NOT(ISERROR(SEARCH("YES",P70)))</formula>
    </cfRule>
  </conditionalFormatting>
  <conditionalFormatting sqref="S70">
    <cfRule type="containsBlanks" dxfId="65" priority="59">
      <formula>LEN(TRIM(S70))=0</formula>
    </cfRule>
  </conditionalFormatting>
  <conditionalFormatting sqref="S70">
    <cfRule type="cellIs" dxfId="64" priority="54" operator="between">
      <formula>1</formula>
      <formula>4</formula>
    </cfRule>
    <cfRule type="containsText" dxfId="63" priority="55" operator="containsText" text="X">
      <formula>NOT(ISERROR(SEARCH("X",S70)))</formula>
    </cfRule>
  </conditionalFormatting>
  <conditionalFormatting sqref="F70">
    <cfRule type="containsBlanks" dxfId="62" priority="53">
      <formula>LEN(TRIM(F70))=0</formula>
    </cfRule>
  </conditionalFormatting>
  <conditionalFormatting sqref="B70">
    <cfRule type="duplicateValues" dxfId="61" priority="52"/>
  </conditionalFormatting>
  <conditionalFormatting sqref="P54:R54">
    <cfRule type="containsText" dxfId="60" priority="46" operator="containsText" text="PRIMARY STUDY">
      <formula>NOT(ISERROR(SEARCH("PRIMARY STUDY",P54)))</formula>
    </cfRule>
    <cfRule type="notContainsText" dxfId="59" priority="47" operator="notContains" text="YES">
      <formula>ISERROR(SEARCH("YES",P54))</formula>
    </cfRule>
    <cfRule type="containsText" dxfId="58" priority="48" operator="containsText" text="YES">
      <formula>NOT(ISERROR(SEARCH("YES",P54)))</formula>
    </cfRule>
  </conditionalFormatting>
  <conditionalFormatting sqref="S54">
    <cfRule type="containsBlanks" dxfId="57" priority="49">
      <formula>LEN(TRIM(S54))=0</formula>
    </cfRule>
  </conditionalFormatting>
  <conditionalFormatting sqref="S54">
    <cfRule type="cellIs" dxfId="56" priority="44" operator="between">
      <formula>1</formula>
      <formula>4</formula>
    </cfRule>
    <cfRule type="containsText" dxfId="55" priority="45" operator="containsText" text="X">
      <formula>NOT(ISERROR(SEARCH("X",S54)))</formula>
    </cfRule>
  </conditionalFormatting>
  <conditionalFormatting sqref="F54">
    <cfRule type="containsBlanks" dxfId="54" priority="43">
      <formula>LEN(TRIM(F54))=0</formula>
    </cfRule>
  </conditionalFormatting>
  <conditionalFormatting sqref="B54">
    <cfRule type="duplicateValues" dxfId="53" priority="42"/>
  </conditionalFormatting>
  <conditionalFormatting sqref="F71">
    <cfRule type="containsBlanks" dxfId="52" priority="41">
      <formula>LEN(TRIM(F71))=0</formula>
    </cfRule>
  </conditionalFormatting>
  <conditionalFormatting sqref="B71">
    <cfRule type="duplicateValues" dxfId="51" priority="40"/>
  </conditionalFormatting>
  <conditionalFormatting sqref="P71:R71">
    <cfRule type="containsText" dxfId="50" priority="36" operator="containsText" text="PRIMARY STUDY">
      <formula>NOT(ISERROR(SEARCH("PRIMARY STUDY",P71)))</formula>
    </cfRule>
    <cfRule type="notContainsText" dxfId="49" priority="37" operator="notContains" text="YES">
      <formula>ISERROR(SEARCH("YES",P71))</formula>
    </cfRule>
    <cfRule type="containsText" dxfId="48" priority="38" operator="containsText" text="YES">
      <formula>NOT(ISERROR(SEARCH("YES",P71)))</formula>
    </cfRule>
  </conditionalFormatting>
  <conditionalFormatting sqref="S71">
    <cfRule type="containsBlanks" dxfId="47" priority="39">
      <formula>LEN(TRIM(S71))=0</formula>
    </cfRule>
  </conditionalFormatting>
  <conditionalFormatting sqref="S71">
    <cfRule type="cellIs" dxfId="46" priority="34" operator="between">
      <formula>1</formula>
      <formula>4</formula>
    </cfRule>
    <cfRule type="containsText" dxfId="45" priority="35" operator="containsText" text="X">
      <formula>NOT(ISERROR(SEARCH("X",S71)))</formula>
    </cfRule>
  </conditionalFormatting>
  <conditionalFormatting sqref="F72">
    <cfRule type="containsBlanks" dxfId="44" priority="33">
      <formula>LEN(TRIM(F72))=0</formula>
    </cfRule>
  </conditionalFormatting>
  <conditionalFormatting sqref="B72">
    <cfRule type="duplicateValues" dxfId="43" priority="32"/>
  </conditionalFormatting>
  <conditionalFormatting sqref="P72:R72">
    <cfRule type="containsText" dxfId="42" priority="28" operator="containsText" text="PRIMARY STUDY">
      <formula>NOT(ISERROR(SEARCH("PRIMARY STUDY",P72)))</formula>
    </cfRule>
    <cfRule type="notContainsText" dxfId="41" priority="29" operator="notContains" text="YES">
      <formula>ISERROR(SEARCH("YES",P72))</formula>
    </cfRule>
    <cfRule type="containsText" dxfId="40" priority="30" operator="containsText" text="YES">
      <formula>NOT(ISERROR(SEARCH("YES",P72)))</formula>
    </cfRule>
  </conditionalFormatting>
  <conditionalFormatting sqref="S72">
    <cfRule type="containsBlanks" dxfId="39" priority="31">
      <formula>LEN(TRIM(S72))=0</formula>
    </cfRule>
  </conditionalFormatting>
  <conditionalFormatting sqref="S72">
    <cfRule type="cellIs" dxfId="38" priority="26" operator="between">
      <formula>1</formula>
      <formula>4</formula>
    </cfRule>
    <cfRule type="containsText" dxfId="37" priority="27" operator="containsText" text="X">
      <formula>NOT(ISERROR(SEARCH("X",S72)))</formula>
    </cfRule>
  </conditionalFormatting>
  <conditionalFormatting sqref="F73">
    <cfRule type="containsBlanks" dxfId="36" priority="25">
      <formula>LEN(TRIM(F73))=0</formula>
    </cfRule>
  </conditionalFormatting>
  <conditionalFormatting sqref="B73">
    <cfRule type="duplicateValues" dxfId="35" priority="24"/>
  </conditionalFormatting>
  <conditionalFormatting sqref="P73:R73">
    <cfRule type="containsText" dxfId="34" priority="20" operator="containsText" text="PRIMARY STUDY">
      <formula>NOT(ISERROR(SEARCH("PRIMARY STUDY",P73)))</formula>
    </cfRule>
    <cfRule type="notContainsText" dxfId="33" priority="21" operator="notContains" text="YES">
      <formula>ISERROR(SEARCH("YES",P73))</formula>
    </cfRule>
    <cfRule type="containsText" dxfId="32" priority="22" operator="containsText" text="YES">
      <formula>NOT(ISERROR(SEARCH("YES",P73)))</formula>
    </cfRule>
  </conditionalFormatting>
  <conditionalFormatting sqref="S73">
    <cfRule type="containsBlanks" dxfId="31" priority="23">
      <formula>LEN(TRIM(S73))=0</formula>
    </cfRule>
  </conditionalFormatting>
  <conditionalFormatting sqref="S73">
    <cfRule type="cellIs" dxfId="30" priority="18" operator="between">
      <formula>1</formula>
      <formula>4</formula>
    </cfRule>
    <cfRule type="containsText" dxfId="29" priority="19" operator="containsText" text="X">
      <formula>NOT(ISERROR(SEARCH("X",S73)))</formula>
    </cfRule>
  </conditionalFormatting>
  <conditionalFormatting sqref="F74">
    <cfRule type="containsBlanks" dxfId="28" priority="17">
      <formula>LEN(TRIM(F74))=0</formula>
    </cfRule>
  </conditionalFormatting>
  <conditionalFormatting sqref="B74">
    <cfRule type="duplicateValues" dxfId="27" priority="16"/>
  </conditionalFormatting>
  <conditionalFormatting sqref="P74:R74">
    <cfRule type="containsText" dxfId="26" priority="12" operator="containsText" text="PRIMARY STUDY">
      <formula>NOT(ISERROR(SEARCH("PRIMARY STUDY",P74)))</formula>
    </cfRule>
    <cfRule type="notContainsText" dxfId="25" priority="13" operator="notContains" text="YES">
      <formula>ISERROR(SEARCH("YES",P74))</formula>
    </cfRule>
    <cfRule type="containsText" dxfId="24" priority="14" operator="containsText" text="YES">
      <formula>NOT(ISERROR(SEARCH("YES",P74)))</formula>
    </cfRule>
  </conditionalFormatting>
  <conditionalFormatting sqref="S74">
    <cfRule type="containsBlanks" dxfId="23" priority="15">
      <formula>LEN(TRIM(S74))=0</formula>
    </cfRule>
  </conditionalFormatting>
  <conditionalFormatting sqref="S74">
    <cfRule type="cellIs" dxfId="22" priority="10" operator="between">
      <formula>1</formula>
      <formula>4</formula>
    </cfRule>
    <cfRule type="containsText" dxfId="21" priority="11" operator="containsText" text="X">
      <formula>NOT(ISERROR(SEARCH("X",S74)))</formula>
    </cfRule>
  </conditionalFormatting>
  <conditionalFormatting sqref="F75">
    <cfRule type="containsBlanks" dxfId="20" priority="9">
      <formula>LEN(TRIM(F75))=0</formula>
    </cfRule>
  </conditionalFormatting>
  <conditionalFormatting sqref="B75">
    <cfRule type="duplicateValues" dxfId="19" priority="8"/>
  </conditionalFormatting>
  <conditionalFormatting sqref="P75:R75">
    <cfRule type="containsText" dxfId="18" priority="4" operator="containsText" text="PRIMARY STUDY">
      <formula>NOT(ISERROR(SEARCH("PRIMARY STUDY",P75)))</formula>
    </cfRule>
    <cfRule type="notContainsText" dxfId="17" priority="5" operator="notContains" text="YES">
      <formula>ISERROR(SEARCH("YES",P75))</formula>
    </cfRule>
    <cfRule type="containsText" dxfId="16" priority="6" operator="containsText" text="YES">
      <formula>NOT(ISERROR(SEARCH("YES",P75)))</formula>
    </cfRule>
  </conditionalFormatting>
  <conditionalFormatting sqref="S75">
    <cfRule type="containsBlanks" dxfId="15" priority="7">
      <formula>LEN(TRIM(S75))=0</formula>
    </cfRule>
  </conditionalFormatting>
  <conditionalFormatting sqref="S75">
    <cfRule type="cellIs" dxfId="14" priority="2" operator="between">
      <formula>1</formula>
      <formula>4</formula>
    </cfRule>
    <cfRule type="containsText" dxfId="13"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2023-04-29T09:04:41Z</dcterms:modified>
</cp:coreProperties>
</file>