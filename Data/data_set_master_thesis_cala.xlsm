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56E99FCE-91AC-44A7-BC30-AFF8ECE5150A}" xr6:coauthVersionLast="47" xr6:coauthVersionMax="47" xr10:uidLastSave="{00000000-0000-0000-0000-000000000000}"/>
  <bookViews>
    <workbookView xWindow="-23148" yWindow="-108" windowWidth="23256" windowHeight="12576" activeTab="1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</commentList>
</comments>
</file>

<file path=xl/sharedStrings.xml><?xml version="1.0" encoding="utf-8"?>
<sst xmlns="http://schemas.openxmlformats.org/spreadsheetml/2006/main" count="8007" uniqueCount="481">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</sst>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4" fillId="17" borderId="0" xfId="0" applyFont="1" applyFill="1" applyBorder="1"/>
    <xf numFmtId="0" fontId="0" fillId="3" borderId="0" xfId="0" applyFill="1" applyBorder="1" applyAlignment="1">
      <alignment horizontal="left"/>
    </xf>
    <xf numFmtId="1" fontId="0" fillId="5" borderId="0" xfId="0" applyNumberFormat="1" applyFill="1" applyBorder="1"/>
    <xf numFmtId="0" fontId="0" fillId="6" borderId="0" xfId="0" applyFill="1" applyBorder="1"/>
    <xf numFmtId="0" fontId="3" fillId="7" borderId="0" xfId="0" applyFont="1" applyFill="1" applyBorder="1"/>
    <xf numFmtId="0" fontId="3" fillId="11" borderId="0" xfId="0" applyFont="1" applyFill="1" applyBorder="1"/>
    <xf numFmtId="0" fontId="0" fillId="0" borderId="0" xfId="0" applyBorder="1"/>
    <xf numFmtId="1" fontId="0" fillId="9" borderId="38" xfId="0" applyNumberFormat="1" applyFill="1" applyBorder="1"/>
    <xf numFmtId="0" fontId="0" fillId="8" borderId="38" xfId="0" applyFill="1" applyBorder="1"/>
  </cellXfs>
  <cellStyles count="1">
    <cellStyle name="Normal" xfId="0" builtinId="0"/>
  </cellStyles>
  <dxfs count="3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CY1685"/>
  <sheetViews>
    <sheetView topLeftCell="A10" workbookViewId="0">
      <selection activeCell="Z12" sqref="Z12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8.7109375" style="8" customWidth="1"/>
    <col min="22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1" width="8.7109375" hidden="1" customWidth="1"/>
    <col min="102" max="102" width="8.7109375" style="25" hidden="1" customWidth="1"/>
    <col min="103" max="103" width="8.85546875" style="34"/>
  </cols>
  <sheetData>
    <row r="1" spans="1:103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5" t="s">
        <v>85</v>
      </c>
    </row>
    <row r="2" spans="1:103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CY2" s="34" t="s">
        <v>86</v>
      </c>
    </row>
    <row r="3" spans="1:103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CY3" s="34" t="s">
        <v>86</v>
      </c>
    </row>
    <row r="4" spans="1:103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CY4" s="34" t="s">
        <v>86</v>
      </c>
    </row>
    <row r="5" spans="1:103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X5" s="52"/>
      <c r="CY5" s="68" t="s">
        <v>86</v>
      </c>
    </row>
    <row r="6" spans="1:103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CY6" s="34" t="s">
        <v>86</v>
      </c>
    </row>
    <row r="7" spans="1:103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CY7" s="34" t="s">
        <v>86</v>
      </c>
    </row>
    <row r="8" spans="1:103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CY8" s="34" t="s">
        <v>86</v>
      </c>
    </row>
    <row r="9" spans="1:103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CY9" s="34" t="s">
        <v>86</v>
      </c>
    </row>
    <row r="10" spans="1:103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CY10" s="34" t="s">
        <v>86</v>
      </c>
    </row>
    <row r="11" spans="1:103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CY11" s="34" t="s">
        <v>86</v>
      </c>
    </row>
    <row r="12" spans="1:103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CY12" s="34" t="s">
        <v>86</v>
      </c>
    </row>
    <row r="13" spans="1:103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CY13" s="34" t="s">
        <v>86</v>
      </c>
    </row>
    <row r="14" spans="1:103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CY14" s="34" t="s">
        <v>86</v>
      </c>
    </row>
    <row r="15" spans="1:103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CY15" s="34" t="s">
        <v>86</v>
      </c>
    </row>
    <row r="16" spans="1:103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CY16" s="34" t="s">
        <v>86</v>
      </c>
    </row>
    <row r="17" spans="1:103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CY17" s="34" t="s">
        <v>86</v>
      </c>
    </row>
    <row r="18" spans="1:103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CY18" s="34" t="s">
        <v>86</v>
      </c>
    </row>
    <row r="19" spans="1:103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CY19" s="34" t="s">
        <v>86</v>
      </c>
    </row>
    <row r="20" spans="1:103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CY20" s="34" t="s">
        <v>86</v>
      </c>
    </row>
    <row r="21" spans="1:103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CY21" s="34" t="s">
        <v>86</v>
      </c>
    </row>
    <row r="22" spans="1:103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CY22" s="34" t="s">
        <v>86</v>
      </c>
    </row>
    <row r="23" spans="1:103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CY23" s="34" t="s">
        <v>86</v>
      </c>
    </row>
    <row r="24" spans="1:103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CY24" s="34" t="s">
        <v>86</v>
      </c>
    </row>
    <row r="25" spans="1:103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CY25" s="34" t="s">
        <v>86</v>
      </c>
    </row>
    <row r="26" spans="1:103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CY26" s="34" t="s">
        <v>86</v>
      </c>
    </row>
    <row r="27" spans="1:103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CY27" s="34" t="s">
        <v>86</v>
      </c>
    </row>
    <row r="28" spans="1:103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CY28" s="34" t="s">
        <v>86</v>
      </c>
    </row>
    <row r="29" spans="1:103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CY29" s="34" t="s">
        <v>86</v>
      </c>
    </row>
    <row r="30" spans="1:103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CY30" s="34" t="s">
        <v>86</v>
      </c>
    </row>
    <row r="31" spans="1:103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CY31" s="34" t="s">
        <v>86</v>
      </c>
    </row>
    <row r="32" spans="1:103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CY32" s="34" t="s">
        <v>86</v>
      </c>
    </row>
    <row r="33" spans="1:103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CY33" s="34" t="s">
        <v>86</v>
      </c>
    </row>
    <row r="34" spans="1:103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CY34" s="34" t="s">
        <v>86</v>
      </c>
    </row>
    <row r="35" spans="1:103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CY35" s="34" t="s">
        <v>86</v>
      </c>
    </row>
    <row r="36" spans="1:103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CY36" s="34" t="s">
        <v>86</v>
      </c>
    </row>
    <row r="37" spans="1:103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CY37" s="34" t="s">
        <v>86</v>
      </c>
    </row>
    <row r="38" spans="1:103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CY38" s="34" t="s">
        <v>86</v>
      </c>
    </row>
    <row r="39" spans="1:103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CY39" s="34" t="s">
        <v>86</v>
      </c>
    </row>
    <row r="40" spans="1:103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CY40" s="34" t="s">
        <v>86</v>
      </c>
    </row>
    <row r="41" spans="1:103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CY41" s="34" t="s">
        <v>86</v>
      </c>
    </row>
    <row r="42" spans="1:103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CY42" s="34" t="s">
        <v>86</v>
      </c>
    </row>
    <row r="43" spans="1:103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CY43" s="34" t="s">
        <v>86</v>
      </c>
    </row>
    <row r="44" spans="1:103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CY44" s="34" t="s">
        <v>86</v>
      </c>
    </row>
    <row r="45" spans="1:103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CY45" s="34" t="s">
        <v>86</v>
      </c>
    </row>
    <row r="46" spans="1:103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CY46" s="34" t="s">
        <v>86</v>
      </c>
    </row>
    <row r="47" spans="1:103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CY47" s="34" t="s">
        <v>86</v>
      </c>
    </row>
    <row r="48" spans="1:103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CY48" s="34" t="s">
        <v>86</v>
      </c>
    </row>
    <row r="49" spans="1:103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CY49" s="34" t="s">
        <v>86</v>
      </c>
    </row>
    <row r="50" spans="1:103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CY50" s="34" t="s">
        <v>86</v>
      </c>
    </row>
    <row r="51" spans="1:103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CY51" s="34" t="s">
        <v>86</v>
      </c>
    </row>
    <row r="52" spans="1:103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CY52" s="34" t="s">
        <v>86</v>
      </c>
    </row>
    <row r="53" spans="1:103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X53" s="52"/>
      <c r="CY53" s="68" t="s">
        <v>86</v>
      </c>
    </row>
    <row r="54" spans="1:103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CY54" s="34" t="s">
        <v>86</v>
      </c>
    </row>
    <row r="55" spans="1:103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CY55" s="34" t="s">
        <v>86</v>
      </c>
    </row>
    <row r="56" spans="1:103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CY56" s="34" t="s">
        <v>86</v>
      </c>
    </row>
    <row r="57" spans="1:103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CY57" s="34" t="s">
        <v>86</v>
      </c>
    </row>
    <row r="58" spans="1:103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CY58" s="34" t="s">
        <v>86</v>
      </c>
    </row>
    <row r="59" spans="1:103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CY59" s="34" t="s">
        <v>86</v>
      </c>
    </row>
    <row r="60" spans="1:103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CY60" s="34" t="s">
        <v>86</v>
      </c>
    </row>
    <row r="61" spans="1:103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CY61" s="34" t="s">
        <v>86</v>
      </c>
    </row>
    <row r="62" spans="1:103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CY62" s="34" t="s">
        <v>86</v>
      </c>
    </row>
    <row r="63" spans="1:103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X63" s="52"/>
      <c r="CY63" s="68" t="s">
        <v>86</v>
      </c>
    </row>
    <row r="64" spans="1:103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CY64" s="34" t="s">
        <v>86</v>
      </c>
    </row>
    <row r="65" spans="1:103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CY65" s="34" t="s">
        <v>86</v>
      </c>
    </row>
    <row r="66" spans="1:103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CY66" s="34" t="s">
        <v>86</v>
      </c>
    </row>
    <row r="67" spans="1:103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CY67" s="34" t="s">
        <v>86</v>
      </c>
    </row>
    <row r="68" spans="1:103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X68" s="52"/>
      <c r="CY68" s="68" t="s">
        <v>86</v>
      </c>
    </row>
    <row r="69" spans="1:103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CY69" s="34" t="s">
        <v>86</v>
      </c>
    </row>
    <row r="70" spans="1:103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CY70" s="34" t="s">
        <v>86</v>
      </c>
    </row>
    <row r="71" spans="1:103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CY71" s="34" t="s">
        <v>86</v>
      </c>
    </row>
    <row r="72" spans="1:103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CY72" s="34" t="s">
        <v>86</v>
      </c>
    </row>
    <row r="73" spans="1:103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CY73" s="34" t="s">
        <v>86</v>
      </c>
    </row>
    <row r="74" spans="1:103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CY74" s="34" t="s">
        <v>86</v>
      </c>
    </row>
    <row r="75" spans="1:103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CY75" s="34" t="s">
        <v>86</v>
      </c>
    </row>
    <row r="76" spans="1:103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X76" s="52"/>
      <c r="CY76" s="68" t="s">
        <v>86</v>
      </c>
    </row>
    <row r="77" spans="1:103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CY77" s="34" t="s">
        <v>86</v>
      </c>
    </row>
    <row r="78" spans="1:103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CY78" s="34" t="s">
        <v>86</v>
      </c>
    </row>
    <row r="79" spans="1:103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CY79" s="34" t="s">
        <v>86</v>
      </c>
    </row>
    <row r="80" spans="1:103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X80" s="52"/>
      <c r="CY80" s="68" t="s">
        <v>86</v>
      </c>
    </row>
    <row r="81" spans="1:103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CY81" s="34" t="s">
        <v>86</v>
      </c>
    </row>
    <row r="82" spans="1:103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CY82" s="34" t="s">
        <v>86</v>
      </c>
    </row>
    <row r="83" spans="1:103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X83" s="52"/>
      <c r="CY83" s="68" t="s">
        <v>86</v>
      </c>
    </row>
    <row r="84" spans="1:103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CY84" s="34" t="s">
        <v>86</v>
      </c>
    </row>
    <row r="85" spans="1:103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CY85" s="34" t="s">
        <v>86</v>
      </c>
    </row>
    <row r="86" spans="1:103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CY86" s="34" t="s">
        <v>86</v>
      </c>
    </row>
    <row r="87" spans="1:103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X87" s="52"/>
      <c r="CY87" s="68" t="s">
        <v>86</v>
      </c>
    </row>
    <row r="88" spans="1:103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CY88" s="34" t="s">
        <v>86</v>
      </c>
    </row>
    <row r="89" spans="1:103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CY89" s="34" t="s">
        <v>86</v>
      </c>
    </row>
    <row r="90" spans="1:103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CY90" s="34" t="s">
        <v>86</v>
      </c>
    </row>
    <row r="91" spans="1:103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CY91" s="34" t="s">
        <v>86</v>
      </c>
    </row>
    <row r="92" spans="1:103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CY92" s="34" t="s">
        <v>86</v>
      </c>
    </row>
    <row r="93" spans="1:103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CY93" s="34" t="s">
        <v>86</v>
      </c>
    </row>
    <row r="94" spans="1:103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CY94" s="34" t="s">
        <v>86</v>
      </c>
    </row>
    <row r="95" spans="1:103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CY95" s="34" t="s">
        <v>86</v>
      </c>
    </row>
    <row r="96" spans="1:103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CY96" s="34" t="s">
        <v>86</v>
      </c>
    </row>
    <row r="97" spans="1:103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CY97" s="34" t="s">
        <v>86</v>
      </c>
    </row>
    <row r="98" spans="1:103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CY98" s="34" t="s">
        <v>86</v>
      </c>
    </row>
    <row r="99" spans="1:103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X99" s="52"/>
      <c r="CY99" s="68" t="s">
        <v>86</v>
      </c>
    </row>
    <row r="100" spans="1:103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CY100" s="34" t="s">
        <v>86</v>
      </c>
    </row>
    <row r="101" spans="1:103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2">D101/F101</f>
        <v>4.0530726256983236</v>
      </c>
      <c r="F101" s="7">
        <v>3.58</v>
      </c>
      <c r="G101" s="7">
        <f t="shared" ref="G101:G111" si="83">D101-E101</f>
        <v>10.456927374301676</v>
      </c>
      <c r="H101" s="16">
        <f t="shared" ref="H101:H111" si="84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5">IFERROR(1/J101, "X")</f>
        <v>15.994261470915124</v>
      </c>
      <c r="L101" s="33">
        <f t="shared" ref="L101:L104" si="86">IFERROR(I101-J101, "X")</f>
        <v>0.1613078543633677</v>
      </c>
      <c r="M101" s="33">
        <f t="shared" ref="M101:M104" si="87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>BQ101-Y101-6</f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8">(1-$AN$100-$AQ$100)/2</f>
        <v>0.16000000000000003</v>
      </c>
      <c r="AP101" s="33">
        <f t="shared" si="88"/>
        <v>0.16000000000000003</v>
      </c>
      <c r="AQ101" s="43">
        <v>0.252</v>
      </c>
      <c r="AR101" s="33">
        <f t="shared" ref="AR101:AR114" si="89">1-AS101</f>
        <v>0.36</v>
      </c>
      <c r="AS101" s="43">
        <f t="shared" ref="AS101:AS114" si="90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CY101" s="34" t="s">
        <v>86</v>
      </c>
    </row>
    <row r="102" spans="1:103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2"/>
        <v>2.4377431906614788</v>
      </c>
      <c r="F102" s="7">
        <v>5.14</v>
      </c>
      <c r="G102" s="7">
        <f t="shared" si="83"/>
        <v>10.092256809338521</v>
      </c>
      <c r="H102" s="16">
        <f t="shared" si="84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5"/>
        <v>16.414006214206207</v>
      </c>
      <c r="L102" s="33">
        <f t="shared" si="86"/>
        <v>0.25222361597602289</v>
      </c>
      <c r="M102" s="33">
        <f t="shared" si="87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>BQ102-Y102-6</f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8"/>
        <v>0.16000000000000003</v>
      </c>
      <c r="AP102" s="33">
        <f t="shared" si="88"/>
        <v>0.16000000000000003</v>
      </c>
      <c r="AQ102" s="43">
        <v>0.252</v>
      </c>
      <c r="AR102" s="33">
        <f t="shared" si="89"/>
        <v>0.36</v>
      </c>
      <c r="AS102" s="43">
        <f t="shared" si="90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CY102" s="34" t="s">
        <v>86</v>
      </c>
    </row>
    <row r="103" spans="1:103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2"/>
        <v>2.1113013698630136</v>
      </c>
      <c r="F103" s="7">
        <v>5.84</v>
      </c>
      <c r="G103" s="7">
        <f t="shared" si="83"/>
        <v>10.218698630136986</v>
      </c>
      <c r="H103" s="16">
        <f t="shared" si="84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5"/>
        <v>16.646489119330838</v>
      </c>
      <c r="L103" s="33">
        <f t="shared" si="86"/>
        <v>0.29075199973425747</v>
      </c>
      <c r="M103" s="33">
        <f t="shared" si="87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>BQ103-Y103-6</f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8"/>
        <v>0.16000000000000003</v>
      </c>
      <c r="AP103" s="33">
        <f t="shared" si="88"/>
        <v>0.16000000000000003</v>
      </c>
      <c r="AQ103" s="43">
        <v>0.252</v>
      </c>
      <c r="AR103" s="33">
        <f t="shared" si="89"/>
        <v>0.36</v>
      </c>
      <c r="AS103" s="43">
        <f t="shared" si="90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CY103" s="34" t="s">
        <v>86</v>
      </c>
    </row>
    <row r="104" spans="1:103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2"/>
        <v>0.55897435897435899</v>
      </c>
      <c r="F104" s="7">
        <v>11.7</v>
      </c>
      <c r="G104" s="7">
        <f t="shared" si="83"/>
        <v>5.9810256410256413</v>
      </c>
      <c r="H104" s="16">
        <f t="shared" si="84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5"/>
        <v>19.465096968677038</v>
      </c>
      <c r="L104" s="33">
        <f t="shared" si="86"/>
        <v>0.54970185954985429</v>
      </c>
      <c r="M104" s="33">
        <f t="shared" si="87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>BQ104-Y104-6</f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8"/>
        <v>0.16000000000000003</v>
      </c>
      <c r="AP104" s="33">
        <f t="shared" si="88"/>
        <v>0.16000000000000003</v>
      </c>
      <c r="AQ104" s="43">
        <v>0.252</v>
      </c>
      <c r="AR104" s="33">
        <f t="shared" si="89"/>
        <v>0.36</v>
      </c>
      <c r="AS104" s="43">
        <f t="shared" si="90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CY104" s="34" t="s">
        <v>86</v>
      </c>
    </row>
    <row r="105" spans="1:103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2"/>
        <v>3.981012658227848</v>
      </c>
      <c r="F105" s="7">
        <v>3.16</v>
      </c>
      <c r="G105" s="7">
        <f t="shared" si="83"/>
        <v>8.5989873417721512</v>
      </c>
      <c r="H105" s="16">
        <f t="shared" si="84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1">IFERROR(1/J105, "X")</f>
        <v>15.874054302540356</v>
      </c>
      <c r="L105" s="33">
        <f t="shared" ref="L105:L111" si="92">IFERROR(I105-J105, "X")</f>
        <v>0.13607109808452217</v>
      </c>
      <c r="M105" s="33">
        <f t="shared" ref="M105:M111" si="93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>BQ105-Y105-6</f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8"/>
        <v>0.16000000000000003</v>
      </c>
      <c r="AP105" s="33">
        <f t="shared" si="88"/>
        <v>0.16000000000000003</v>
      </c>
      <c r="AQ105" s="43">
        <v>0.252</v>
      </c>
      <c r="AR105" s="33">
        <f t="shared" si="89"/>
        <v>0.36</v>
      </c>
      <c r="AS105" s="43">
        <f t="shared" si="90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CY105" s="34" t="s">
        <v>86</v>
      </c>
    </row>
    <row r="106" spans="1:103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2"/>
        <v>2.9325513196480939</v>
      </c>
      <c r="F106" s="7">
        <v>3.41</v>
      </c>
      <c r="G106" s="7">
        <f t="shared" si="83"/>
        <v>7.0674486803519061</v>
      </c>
      <c r="H106" s="16">
        <f t="shared" si="84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1"/>
        <v>15.925705635858025</v>
      </c>
      <c r="L106" s="33">
        <f t="shared" si="92"/>
        <v>0.15132767458502366</v>
      </c>
      <c r="M106" s="33">
        <f t="shared" si="93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>BQ106-Y106-6</f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8"/>
        <v>0.16000000000000003</v>
      </c>
      <c r="AP106" s="33">
        <f t="shared" si="88"/>
        <v>0.16000000000000003</v>
      </c>
      <c r="AQ106" s="43">
        <v>0.252</v>
      </c>
      <c r="AR106" s="33">
        <f t="shared" si="89"/>
        <v>0.36</v>
      </c>
      <c r="AS106" s="43">
        <f t="shared" si="90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CY106" s="34" t="s">
        <v>86</v>
      </c>
    </row>
    <row r="107" spans="1:103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2"/>
        <v>1.6153846153846156</v>
      </c>
      <c r="F107" s="7">
        <v>6.89</v>
      </c>
      <c r="G107" s="7">
        <f t="shared" si="83"/>
        <v>9.5146153846153858</v>
      </c>
      <c r="H107" s="16">
        <f t="shared" si="84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1"/>
        <v>17.013879628115394</v>
      </c>
      <c r="L107" s="33">
        <f t="shared" si="92"/>
        <v>0.34618794353445342</v>
      </c>
      <c r="M107" s="33">
        <f t="shared" si="93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>BQ107-Y107-6</f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8"/>
        <v>0.16000000000000003</v>
      </c>
      <c r="AP107" s="33">
        <f t="shared" si="88"/>
        <v>0.16000000000000003</v>
      </c>
      <c r="AQ107" s="43">
        <v>0.252</v>
      </c>
      <c r="AR107" s="33">
        <f t="shared" si="89"/>
        <v>0.36</v>
      </c>
      <c r="AS107" s="43">
        <f t="shared" si="90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CY107" s="34" t="s">
        <v>86</v>
      </c>
    </row>
    <row r="108" spans="1:103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2"/>
        <v>1.7179487179487181</v>
      </c>
      <c r="F108" s="7">
        <v>3.51</v>
      </c>
      <c r="G108" s="7">
        <f t="shared" si="83"/>
        <v>4.3120512820512822</v>
      </c>
      <c r="H108" s="16">
        <f t="shared" si="84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1"/>
        <v>11.845678536918008</v>
      </c>
      <c r="L108" s="33">
        <f t="shared" si="92"/>
        <v>0.21189161871794704</v>
      </c>
      <c r="M108" s="33">
        <f t="shared" si="93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>BQ108-Y108-6</f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8"/>
        <v>0.16000000000000003</v>
      </c>
      <c r="AP108" s="33">
        <f t="shared" si="88"/>
        <v>0.16000000000000003</v>
      </c>
      <c r="AQ108" s="43">
        <v>0.252</v>
      </c>
      <c r="AR108" s="33">
        <f t="shared" si="89"/>
        <v>0.36</v>
      </c>
      <c r="AS108" s="43">
        <f t="shared" si="90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CY108" s="34" t="s">
        <v>86</v>
      </c>
    </row>
    <row r="109" spans="1:103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2"/>
        <v>1.68733153638814</v>
      </c>
      <c r="F109" s="7">
        <v>3.71</v>
      </c>
      <c r="G109" s="7">
        <f t="shared" si="83"/>
        <v>4.5726684636118602</v>
      </c>
      <c r="H109" s="16">
        <f t="shared" si="84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1"/>
        <v>11.864404746973191</v>
      </c>
      <c r="L109" s="33">
        <f t="shared" si="92"/>
        <v>0.22841432484772289</v>
      </c>
      <c r="M109" s="33">
        <f t="shared" si="93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>BQ109-Y109-6</f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8"/>
        <v>0.16000000000000003</v>
      </c>
      <c r="AP109" s="33">
        <f t="shared" si="88"/>
        <v>0.16000000000000003</v>
      </c>
      <c r="AQ109" s="43">
        <v>0.252</v>
      </c>
      <c r="AR109" s="33">
        <f t="shared" si="89"/>
        <v>0.36</v>
      </c>
      <c r="AS109" s="43">
        <f t="shared" si="90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CY109" s="34" t="s">
        <v>86</v>
      </c>
    </row>
    <row r="110" spans="1:103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2"/>
        <v>3.2675000000000001</v>
      </c>
      <c r="F110" s="7">
        <v>4</v>
      </c>
      <c r="G110" s="7">
        <f t="shared" si="83"/>
        <v>9.8025000000000002</v>
      </c>
      <c r="H110" s="16">
        <f t="shared" si="84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1"/>
        <v>12</v>
      </c>
      <c r="L110" s="33">
        <f t="shared" si="92"/>
        <v>0.25</v>
      </c>
      <c r="M110" s="33">
        <f t="shared" si="93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>BQ110-Y110-6</f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8"/>
        <v>0.16000000000000003</v>
      </c>
      <c r="AP110" s="33">
        <f t="shared" si="88"/>
        <v>0.16000000000000003</v>
      </c>
      <c r="AQ110" s="43">
        <v>0.252</v>
      </c>
      <c r="AR110" s="33">
        <f t="shared" si="89"/>
        <v>0.36</v>
      </c>
      <c r="AS110" s="43">
        <f t="shared" si="90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CY110" s="34" t="s">
        <v>86</v>
      </c>
    </row>
    <row r="111" spans="1:103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2"/>
        <v>1.2256410256410257</v>
      </c>
      <c r="F111" s="7">
        <v>11.7</v>
      </c>
      <c r="G111" s="7">
        <f t="shared" si="83"/>
        <v>13.114358974358975</v>
      </c>
      <c r="H111" s="16">
        <f t="shared" si="84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1"/>
        <v>16.244691440590675</v>
      </c>
      <c r="L111" s="33">
        <f t="shared" si="92"/>
        <v>0.65867671535230676</v>
      </c>
      <c r="M111" s="33">
        <f t="shared" si="93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>BQ111-Y111-6</f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8"/>
        <v>0.16000000000000003</v>
      </c>
      <c r="AP111" s="33">
        <f t="shared" si="88"/>
        <v>0.16000000000000003</v>
      </c>
      <c r="AQ111" s="43">
        <v>0.252</v>
      </c>
      <c r="AR111" s="33">
        <f t="shared" si="89"/>
        <v>0.36</v>
      </c>
      <c r="AS111" s="43">
        <f t="shared" si="90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CY111" s="34" t="s">
        <v>86</v>
      </c>
    </row>
    <row r="112" spans="1:103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2"/>
        <v>3.9770491803278691</v>
      </c>
      <c r="F112" s="7">
        <v>3.05</v>
      </c>
      <c r="G112" s="7">
        <f t="shared" ref="G112:G114" si="94">D112-E112</f>
        <v>8.1529508196721316</v>
      </c>
      <c r="H112" s="16">
        <f t="shared" ref="H112:H114" si="95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6">IFERROR(1/J112, "X")</f>
        <v>15.852523458427685</v>
      </c>
      <c r="L112" s="33">
        <f t="shared" ref="L112:L114" si="97">IFERROR(I112-J112, "X")</f>
        <v>0.12931695104416691</v>
      </c>
      <c r="M112" s="33">
        <f t="shared" ref="M112:M114" si="98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99">U112-V112-1</f>
        <v>242</v>
      </c>
      <c r="X112" s="9">
        <f t="shared" si="36"/>
        <v>15</v>
      </c>
      <c r="Y112" s="7">
        <v>8.9</v>
      </c>
      <c r="Z112" s="7">
        <f>BQ112-Y112-6</f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8"/>
        <v>0.16000000000000003</v>
      </c>
      <c r="AP112" s="33">
        <f t="shared" si="88"/>
        <v>0.16000000000000003</v>
      </c>
      <c r="AQ112" s="43">
        <v>0.252</v>
      </c>
      <c r="AR112" s="33">
        <f t="shared" si="89"/>
        <v>0.36</v>
      </c>
      <c r="AS112" s="43">
        <f t="shared" si="90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CY112" s="34" t="s">
        <v>86</v>
      </c>
    </row>
    <row r="113" spans="1:103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2"/>
        <v>2.9323076923076923</v>
      </c>
      <c r="F113" s="7">
        <v>3.25</v>
      </c>
      <c r="G113" s="7">
        <f t="shared" si="94"/>
        <v>6.5976923076923075</v>
      </c>
      <c r="H113" s="16">
        <f t="shared" si="95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6"/>
        <v>15.892215075312818</v>
      </c>
      <c r="L113" s="33">
        <f t="shared" si="97"/>
        <v>0.14157875345490262</v>
      </c>
      <c r="M113" s="33">
        <f t="shared" si="98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99"/>
        <v>242</v>
      </c>
      <c r="X113" s="9">
        <f t="shared" si="36"/>
        <v>15</v>
      </c>
      <c r="Y113" s="7">
        <v>8.9</v>
      </c>
      <c r="Z113" s="7">
        <f>BQ113-Y113-6</f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8"/>
        <v>0.16000000000000003</v>
      </c>
      <c r="AP113" s="33">
        <f t="shared" si="88"/>
        <v>0.16000000000000003</v>
      </c>
      <c r="AQ113" s="43">
        <v>0.252</v>
      </c>
      <c r="AR113" s="33">
        <f t="shared" si="89"/>
        <v>0.36</v>
      </c>
      <c r="AS113" s="43">
        <f t="shared" si="90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CY113" s="34" t="s">
        <v>86</v>
      </c>
    </row>
    <row r="114" spans="1:103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2"/>
        <v>1.6138032305433188</v>
      </c>
      <c r="F114" s="55">
        <v>6.81</v>
      </c>
      <c r="G114" s="55">
        <f t="shared" si="94"/>
        <v>9.3761967694566817</v>
      </c>
      <c r="H114" s="56">
        <f t="shared" si="95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6"/>
        <v>16.981640085692547</v>
      </c>
      <c r="L114" s="58">
        <f t="shared" si="97"/>
        <v>0.34213420910357584</v>
      </c>
      <c r="M114" s="58">
        <f t="shared" si="98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99"/>
        <v>242</v>
      </c>
      <c r="X114" s="60">
        <f t="shared" si="36"/>
        <v>15</v>
      </c>
      <c r="Y114" s="55">
        <v>8.9</v>
      </c>
      <c r="Z114" s="55">
        <f>BQ114-Y114-6</f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8"/>
        <v>0.16000000000000003</v>
      </c>
      <c r="AP114" s="58">
        <f t="shared" si="88"/>
        <v>0.16000000000000003</v>
      </c>
      <c r="AQ114" s="64">
        <v>0.252</v>
      </c>
      <c r="AR114" s="58">
        <f t="shared" si="89"/>
        <v>0.36</v>
      </c>
      <c r="AS114" s="64">
        <f t="shared" si="90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X114" s="52"/>
      <c r="CY114" s="68" t="s">
        <v>86</v>
      </c>
    </row>
    <row r="115" spans="1:103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0">D115-E115</f>
        <v>10.8</v>
      </c>
      <c r="H115" s="16">
        <f t="shared" ref="H115:H116" si="101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2">IFERROR(1/J115, "X")</f>
        <v>70.539067189749545</v>
      </c>
      <c r="L115" s="33">
        <f t="shared" ref="L115:L116" si="103">IFERROR(I115-J115, "X")</f>
        <v>0.30621329230079219</v>
      </c>
      <c r="M115" s="33">
        <f t="shared" ref="M115:M116" si="104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99"/>
        <v>4465</v>
      </c>
      <c r="X115" s="9">
        <f t="shared" si="36"/>
        <v>6</v>
      </c>
      <c r="Y115" s="7">
        <v>9.15</v>
      </c>
      <c r="Z115" s="7">
        <f>BQ115-Y115-6</f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5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CY115" s="34" t="s">
        <v>86</v>
      </c>
    </row>
    <row r="116" spans="1:103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0"/>
        <v>16.600000000000001</v>
      </c>
      <c r="H116" s="16">
        <f t="shared" si="101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2"/>
        <v>68.04635274905614</v>
      </c>
      <c r="L116" s="33">
        <f t="shared" si="103"/>
        <v>0.1742509683196404</v>
      </c>
      <c r="M116" s="33">
        <f t="shared" si="104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99"/>
        <v>4465</v>
      </c>
      <c r="X116" s="9">
        <f t="shared" si="36"/>
        <v>6</v>
      </c>
      <c r="Y116" s="7">
        <v>9.15</v>
      </c>
      <c r="Z116" s="7">
        <f>BQ116-Y116-6</f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5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CY116" s="34" t="s">
        <v>86</v>
      </c>
    </row>
    <row r="117" spans="1:103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6">D117/E117</f>
        <v>12.470588235294118</v>
      </c>
      <c r="G117" s="7">
        <f t="shared" ref="G117:G136" si="107">D117-E117</f>
        <v>19.5</v>
      </c>
      <c r="H117" s="16">
        <f t="shared" ref="H117:H136" si="108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09">IFERROR(1/J117, "X")</f>
        <v>49.219056989485857</v>
      </c>
      <c r="L117" s="33">
        <f t="shared" ref="L117:L136" si="110">IFERROR(I117-J117, "X")</f>
        <v>0.23305176768714728</v>
      </c>
      <c r="M117" s="33">
        <f t="shared" ref="M117:M136" si="111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99"/>
        <v>2267</v>
      </c>
      <c r="X117" s="9">
        <f t="shared" si="36"/>
        <v>6</v>
      </c>
      <c r="Y117" s="7">
        <v>9.15</v>
      </c>
      <c r="Z117" s="7">
        <f>BQ117-Y117-6</f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5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CY117" s="34" t="s">
        <v>86</v>
      </c>
    </row>
    <row r="118" spans="1:103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6"/>
        <v>6.5217391304347831</v>
      </c>
      <c r="G118" s="7">
        <f t="shared" si="107"/>
        <v>12.7</v>
      </c>
      <c r="H118" s="16">
        <f t="shared" si="108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09"/>
        <v>47.186153491097834</v>
      </c>
      <c r="L118" s="33">
        <f t="shared" si="110"/>
        <v>0.1170203274033879</v>
      </c>
      <c r="M118" s="33">
        <f t="shared" si="111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99"/>
        <v>2184</v>
      </c>
      <c r="X118" s="9">
        <f t="shared" si="36"/>
        <v>6</v>
      </c>
      <c r="Y118" s="7">
        <v>9.15</v>
      </c>
      <c r="Z118" s="7">
        <f>BQ118-Y118-6</f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5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CY118" s="34" t="s">
        <v>86</v>
      </c>
    </row>
    <row r="119" spans="1:103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6"/>
        <v>11.888888888888888</v>
      </c>
      <c r="G119" s="7">
        <f t="shared" si="107"/>
        <v>19.599999999999998</v>
      </c>
      <c r="H119" s="16">
        <f t="shared" si="108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09"/>
        <v>52.46280281315844</v>
      </c>
      <c r="L119" s="33">
        <f t="shared" si="110"/>
        <v>0.20755446344848727</v>
      </c>
      <c r="M119" s="33">
        <f t="shared" si="111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99"/>
        <v>2611</v>
      </c>
      <c r="X119" s="9">
        <f t="shared" si="36"/>
        <v>6</v>
      </c>
      <c r="Y119" s="7">
        <v>9.15</v>
      </c>
      <c r="Z119" s="7">
        <f>BQ119-Y119-6</f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5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CY119" s="34" t="s">
        <v>86</v>
      </c>
    </row>
    <row r="120" spans="1:103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6"/>
        <v>6.5714285714285712</v>
      </c>
      <c r="G120" s="55">
        <f t="shared" si="107"/>
        <v>11.700000000000001</v>
      </c>
      <c r="H120" s="56">
        <f t="shared" si="108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09"/>
        <v>43.395664224313791</v>
      </c>
      <c r="L120" s="58">
        <f t="shared" si="110"/>
        <v>0.12838675639643748</v>
      </c>
      <c r="M120" s="58">
        <f t="shared" si="111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99"/>
        <v>1840</v>
      </c>
      <c r="X120" s="60">
        <f t="shared" si="36"/>
        <v>6</v>
      </c>
      <c r="Y120" s="55">
        <v>9.15</v>
      </c>
      <c r="Z120" s="55">
        <f>BQ120-Y120-6</f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5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X120" s="52"/>
      <c r="CY120" s="68" t="s">
        <v>86</v>
      </c>
    </row>
    <row r="121" spans="1:103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6"/>
        <v>47</v>
      </c>
      <c r="G121" s="7">
        <f t="shared" si="107"/>
        <v>4.6000000000000005</v>
      </c>
      <c r="H121" s="16">
        <f t="shared" si="108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09"/>
        <v>82.437855382099784</v>
      </c>
      <c r="L121" s="33">
        <f t="shared" si="110"/>
        <v>0.55799607821903918</v>
      </c>
      <c r="M121" s="33">
        <f t="shared" si="111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99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CY121" s="34" t="s">
        <v>86</v>
      </c>
    </row>
    <row r="122" spans="1:103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6"/>
        <v>22</v>
      </c>
      <c r="G122" s="7">
        <f t="shared" si="107"/>
        <v>4.2</v>
      </c>
      <c r="H122" s="16">
        <f t="shared" si="108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09"/>
        <v>59.506302187247357</v>
      </c>
      <c r="L122" s="33">
        <f t="shared" si="110"/>
        <v>0.35290379721327159</v>
      </c>
      <c r="M122" s="33">
        <f t="shared" si="111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99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2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CY122" s="34" t="s">
        <v>86</v>
      </c>
    </row>
    <row r="123" spans="1:103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6"/>
        <v>17.666666666666668</v>
      </c>
      <c r="G123" s="7">
        <f t="shared" si="107"/>
        <v>5</v>
      </c>
      <c r="H123" s="16">
        <f t="shared" si="108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09"/>
        <v>42.838196870446261</v>
      </c>
      <c r="L123" s="33">
        <f t="shared" si="110"/>
        <v>0.38906088220918733</v>
      </c>
      <c r="M123" s="33">
        <f t="shared" si="111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99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2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CY123" s="34" t="s">
        <v>86</v>
      </c>
    </row>
    <row r="124" spans="1:103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6"/>
        <v>-1.1944444444444444</v>
      </c>
      <c r="G124" s="7">
        <f t="shared" si="107"/>
        <v>-7.9</v>
      </c>
      <c r="H124" s="16">
        <f t="shared" si="108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09"/>
        <v>67.737926581279893</v>
      </c>
      <c r="L124" s="33">
        <f t="shared" si="110"/>
        <v>-3.2396097064047176E-2</v>
      </c>
      <c r="M124" s="33">
        <f t="shared" si="111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99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2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CY124" s="34" t="s">
        <v>86</v>
      </c>
    </row>
    <row r="125" spans="1:103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6"/>
        <v>-1.5476190476190477</v>
      </c>
      <c r="G125" s="7">
        <f t="shared" si="107"/>
        <v>-32.1</v>
      </c>
      <c r="H125" s="16">
        <f t="shared" si="108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09"/>
        <v>55.311799145539943</v>
      </c>
      <c r="L125" s="33">
        <f t="shared" si="110"/>
        <v>-4.6059233056505527E-2</v>
      </c>
      <c r="M125" s="33">
        <f t="shared" si="111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99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2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CY125" s="34" t="s">
        <v>86</v>
      </c>
    </row>
    <row r="126" spans="1:103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6"/>
        <v>2.4615384615384617</v>
      </c>
      <c r="G126" s="7">
        <f t="shared" si="107"/>
        <v>3.8000000000000003</v>
      </c>
      <c r="H126" s="16">
        <f t="shared" si="108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09"/>
        <v>39.103186207745694</v>
      </c>
      <c r="L126" s="33">
        <f t="shared" si="110"/>
        <v>3.7376454536816109E-2</v>
      </c>
      <c r="M126" s="33">
        <f t="shared" si="111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99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2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CY126" s="34" t="s">
        <v>86</v>
      </c>
    </row>
    <row r="127" spans="1:103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6"/>
        <v>1.24</v>
      </c>
      <c r="G127" s="7">
        <f t="shared" si="107"/>
        <v>1.2000000000000002</v>
      </c>
      <c r="H127" s="16">
        <f t="shared" si="108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09"/>
        <v>67.738745190621884</v>
      </c>
      <c r="L127" s="33">
        <f t="shared" si="110"/>
        <v>3.5430240008819478E-3</v>
      </c>
      <c r="M127" s="33">
        <f t="shared" si="111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99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2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CY127" s="34" t="s">
        <v>86</v>
      </c>
    </row>
    <row r="128" spans="1:103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6"/>
        <v>1.2485875706214691</v>
      </c>
      <c r="G128" s="7">
        <f t="shared" si="107"/>
        <v>4.4000000000000021</v>
      </c>
      <c r="H128" s="16">
        <f t="shared" si="108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09"/>
        <v>55.304240080860986</v>
      </c>
      <c r="L128" s="33">
        <f t="shared" si="110"/>
        <v>4.4949097982000322E-3</v>
      </c>
      <c r="M128" s="33">
        <f t="shared" si="111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99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2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CY128" s="34" t="s">
        <v>86</v>
      </c>
    </row>
    <row r="129" spans="1:103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6"/>
        <v>-0.98461538461538467</v>
      </c>
      <c r="G129" s="7">
        <f t="shared" si="107"/>
        <v>-12.9</v>
      </c>
      <c r="H129" s="16">
        <f t="shared" si="108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09"/>
        <v>39.038051532519155</v>
      </c>
      <c r="L129" s="33">
        <f t="shared" si="110"/>
        <v>-5.0837972355310221E-2</v>
      </c>
      <c r="M129" s="33">
        <f t="shared" si="111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99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2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CY129" s="34" t="s">
        <v>86</v>
      </c>
    </row>
    <row r="130" spans="1:103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6"/>
        <v>17.25</v>
      </c>
      <c r="G130" s="7">
        <f t="shared" si="107"/>
        <v>6.5</v>
      </c>
      <c r="H130" s="16">
        <f t="shared" si="108"/>
        <v>7.3000000000000007</v>
      </c>
      <c r="I130" s="11">
        <f t="shared" ref="I130:I193" si="113">IFERROR(F130/SQRT(F130^2+W130), "X")</f>
        <v>0.24681767895018253</v>
      </c>
      <c r="J130" s="33">
        <f t="shared" ref="J130:J193" si="114">IFERROR(SQRT((1-I130^2)/W130), "X")</f>
        <v>1.4308271243488843E-2</v>
      </c>
      <c r="K130" s="33">
        <f t="shared" si="109"/>
        <v>69.889645155773977</v>
      </c>
      <c r="L130" s="33">
        <f t="shared" si="110"/>
        <v>0.23250940770669368</v>
      </c>
      <c r="M130" s="33">
        <f t="shared" si="111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99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2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CY130" s="34" t="s">
        <v>86</v>
      </c>
    </row>
    <row r="131" spans="1:103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6"/>
        <v>13.2</v>
      </c>
      <c r="G131" s="7">
        <f t="shared" si="107"/>
        <v>6.1</v>
      </c>
      <c r="H131" s="16">
        <f t="shared" si="108"/>
        <v>7.1</v>
      </c>
      <c r="I131" s="11">
        <f t="shared" si="113"/>
        <v>0.23221449381289103</v>
      </c>
      <c r="J131" s="33">
        <f t="shared" si="114"/>
        <v>1.7592007107037198E-2</v>
      </c>
      <c r="K131" s="33">
        <f t="shared" si="109"/>
        <v>56.843997044542888</v>
      </c>
      <c r="L131" s="33">
        <f t="shared" si="110"/>
        <v>0.21462248670585382</v>
      </c>
      <c r="M131" s="33">
        <f t="shared" si="111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99"/>
        <v>3057</v>
      </c>
      <c r="X131" s="9">
        <f t="shared" ref="X131:X194" si="115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6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2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CY131" s="34" t="s">
        <v>86</v>
      </c>
    </row>
    <row r="132" spans="1:103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6"/>
        <v>14.8</v>
      </c>
      <c r="G132" s="7">
        <f t="shared" si="107"/>
        <v>6.9</v>
      </c>
      <c r="H132" s="16">
        <f t="shared" si="108"/>
        <v>7.9</v>
      </c>
      <c r="I132" s="11">
        <f t="shared" si="113"/>
        <v>0.35459503793303371</v>
      </c>
      <c r="J132" s="33">
        <f t="shared" si="114"/>
        <v>2.3959124184664435E-2</v>
      </c>
      <c r="K132" s="33">
        <f t="shared" si="109"/>
        <v>41.737752694652841</v>
      </c>
      <c r="L132" s="33">
        <f t="shared" si="110"/>
        <v>0.33063591374836926</v>
      </c>
      <c r="M132" s="33">
        <f t="shared" si="111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99"/>
        <v>1523</v>
      </c>
      <c r="X132" s="9">
        <f t="shared" si="115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6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2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CY132" s="34" t="s">
        <v>86</v>
      </c>
    </row>
    <row r="133" spans="1:103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6"/>
        <v>10.333333333333334</v>
      </c>
      <c r="G133" s="7">
        <f t="shared" si="107"/>
        <v>5.6000000000000005</v>
      </c>
      <c r="H133" s="16">
        <f t="shared" si="108"/>
        <v>6.8</v>
      </c>
      <c r="I133" s="11">
        <f t="shared" si="113"/>
        <v>0.15082702916904969</v>
      </c>
      <c r="J133" s="33">
        <f t="shared" si="114"/>
        <v>1.4596164113133841E-2</v>
      </c>
      <c r="K133" s="33">
        <f t="shared" si="109"/>
        <v>68.511150755025113</v>
      </c>
      <c r="L133" s="33">
        <f t="shared" si="110"/>
        <v>0.13623086505591586</v>
      </c>
      <c r="M133" s="33">
        <f t="shared" si="111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99"/>
        <v>4587</v>
      </c>
      <c r="X133" s="9">
        <f t="shared" si="115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6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2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CY133" s="34" t="s">
        <v>86</v>
      </c>
    </row>
    <row r="134" spans="1:103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6"/>
        <v>8.5714285714285712</v>
      </c>
      <c r="G134" s="7">
        <f t="shared" si="107"/>
        <v>5.3</v>
      </c>
      <c r="H134" s="16">
        <f t="shared" si="108"/>
        <v>6.7</v>
      </c>
      <c r="I134" s="11">
        <f t="shared" si="113"/>
        <v>0.15319637175030965</v>
      </c>
      <c r="J134" s="33">
        <f t="shared" si="114"/>
        <v>1.7872910037536129E-2</v>
      </c>
      <c r="K134" s="33">
        <f t="shared" si="109"/>
        <v>55.950597742607734</v>
      </c>
      <c r="L134" s="33">
        <f t="shared" si="110"/>
        <v>0.13532346171277351</v>
      </c>
      <c r="M134" s="33">
        <f t="shared" si="111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99"/>
        <v>3057</v>
      </c>
      <c r="X134" s="9">
        <f t="shared" si="115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6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2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CY134" s="34" t="s">
        <v>86</v>
      </c>
    </row>
    <row r="135" spans="1:103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6"/>
        <v>8.2499999999999982</v>
      </c>
      <c r="G135" s="55">
        <f t="shared" si="107"/>
        <v>5.8</v>
      </c>
      <c r="H135" s="56">
        <f t="shared" si="108"/>
        <v>7.3999999999999995</v>
      </c>
      <c r="I135" s="57">
        <f t="shared" si="113"/>
        <v>0.20682847442746988</v>
      </c>
      <c r="J135" s="58">
        <f t="shared" si="114"/>
        <v>2.5070118112420596E-2</v>
      </c>
      <c r="K135" s="58">
        <f t="shared" si="109"/>
        <v>39.888124799243194</v>
      </c>
      <c r="L135" s="58">
        <f t="shared" si="110"/>
        <v>0.18175835631504927</v>
      </c>
      <c r="M135" s="58">
        <f t="shared" si="111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99"/>
        <v>1523</v>
      </c>
      <c r="X135" s="60">
        <f t="shared" si="115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6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2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X135" s="52"/>
      <c r="CY135" s="68" t="s">
        <v>86</v>
      </c>
    </row>
    <row r="136" spans="1:103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6"/>
        <v>21.778656126482211</v>
      </c>
      <c r="G136" s="7">
        <f t="shared" si="107"/>
        <v>5.2569999999999997</v>
      </c>
      <c r="H136" s="16">
        <f t="shared" si="108"/>
        <v>5.7629999999999999</v>
      </c>
      <c r="I136" s="11">
        <f t="shared" si="113"/>
        <v>0.295080178546265</v>
      </c>
      <c r="J136" s="33">
        <f t="shared" si="114"/>
        <v>1.354905357027315E-2</v>
      </c>
      <c r="K136" s="33">
        <f t="shared" si="109"/>
        <v>73.805893143268449</v>
      </c>
      <c r="L136" s="33">
        <f t="shared" si="110"/>
        <v>0.28153112497599186</v>
      </c>
      <c r="M136" s="33">
        <f t="shared" si="111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99"/>
        <v>4973</v>
      </c>
      <c r="X136" s="9">
        <f t="shared" si="115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6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CY136" s="34" t="s">
        <v>86</v>
      </c>
    </row>
    <row r="137" spans="1:103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7">D137-E137</f>
        <v>3.7358177290675032</v>
      </c>
      <c r="H137" s="16">
        <f t="shared" ref="H137:H139" si="118">D137+E137</f>
        <v>6.0323531629109537</v>
      </c>
      <c r="I137" s="11">
        <f t="shared" si="113"/>
        <v>6.0224455523967213E-2</v>
      </c>
      <c r="J137" s="33">
        <f t="shared" si="114"/>
        <v>1.4159006596444444E-2</v>
      </c>
      <c r="K137" s="33">
        <f t="shared" ref="K137:K142" si="119">IFERROR(1/J137, "X")</f>
        <v>70.626423766983493</v>
      </c>
      <c r="L137" s="33">
        <f t="shared" ref="L137:L142" si="120">IFERROR(I137-J137, "X")</f>
        <v>4.6065448927522769E-2</v>
      </c>
      <c r="M137" s="33">
        <f t="shared" ref="M137:M142" si="121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99"/>
        <v>4970</v>
      </c>
      <c r="X137" s="9">
        <f t="shared" si="115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6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CY137" s="34" t="s">
        <v>86</v>
      </c>
    </row>
    <row r="138" spans="1:103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2">D138/F138</f>
        <v>0.89784986733651528</v>
      </c>
      <c r="F138" s="7">
        <v>6.2070786142153009</v>
      </c>
      <c r="G138" s="7">
        <f t="shared" si="117"/>
        <v>4.6751748429840134</v>
      </c>
      <c r="H138" s="16">
        <f t="shared" si="118"/>
        <v>6.4708745776570442</v>
      </c>
      <c r="I138" s="11">
        <f t="shared" si="113"/>
        <v>8.7706584814015456E-2</v>
      </c>
      <c r="J138" s="33">
        <f t="shared" si="114"/>
        <v>1.4130090863220576E-2</v>
      </c>
      <c r="K138" s="33">
        <f t="shared" si="119"/>
        <v>70.770953257131197</v>
      </c>
      <c r="L138" s="33">
        <f t="shared" si="120"/>
        <v>7.357649395079488E-2</v>
      </c>
      <c r="M138" s="33">
        <f t="shared" si="121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99"/>
        <v>4970</v>
      </c>
      <c r="X138" s="9">
        <f t="shared" si="115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6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CY138" s="34" t="s">
        <v>86</v>
      </c>
    </row>
    <row r="139" spans="1:103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2"/>
        <v>1.3975793543583501</v>
      </c>
      <c r="F139" s="7">
        <v>7.6597490679549312</v>
      </c>
      <c r="G139" s="7">
        <f t="shared" si="117"/>
        <v>9.3075278025810775</v>
      </c>
      <c r="H139" s="16">
        <f t="shared" si="118"/>
        <v>12.102686511297776</v>
      </c>
      <c r="I139" s="11">
        <f t="shared" si="113"/>
        <v>0.10801595217731309</v>
      </c>
      <c r="J139" s="33">
        <f t="shared" si="114"/>
        <v>1.4101761195964629E-2</v>
      </c>
      <c r="K139" s="33">
        <f t="shared" si="119"/>
        <v>70.913128232958641</v>
      </c>
      <c r="L139" s="33">
        <f t="shared" si="120"/>
        <v>9.3914190981348469E-2</v>
      </c>
      <c r="M139" s="33">
        <f t="shared" si="121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99"/>
        <v>4970</v>
      </c>
      <c r="X139" s="9">
        <f t="shared" si="115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6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CY139" s="34" t="s">
        <v>86</v>
      </c>
    </row>
    <row r="140" spans="1:103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2"/>
        <v>0.98694243098033674</v>
      </c>
      <c r="F140" s="7">
        <v>8.7631027253668758</v>
      </c>
      <c r="G140" s="7">
        <f t="shared" ref="G140:G142" si="123">D140-E140</f>
        <v>7.6617354757236615</v>
      </c>
      <c r="H140" s="16">
        <f t="shared" ref="H140:H142" si="124">D140+E140</f>
        <v>9.635620337684335</v>
      </c>
      <c r="I140" s="11">
        <f t="shared" si="113"/>
        <v>0.12343877343338963</v>
      </c>
      <c r="J140" s="33">
        <f t="shared" si="114"/>
        <v>1.408619495878633E-2</v>
      </c>
      <c r="K140" s="33">
        <f t="shared" si="119"/>
        <v>70.99149223234663</v>
      </c>
      <c r="L140" s="33">
        <f t="shared" si="120"/>
        <v>0.10935257847460331</v>
      </c>
      <c r="M140" s="33">
        <f t="shared" si="121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99"/>
        <v>4963</v>
      </c>
      <c r="X140" s="9">
        <f t="shared" si="115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6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CY140" s="34" t="s">
        <v>86</v>
      </c>
    </row>
    <row r="141" spans="1:103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2"/>
        <v>0.41588918524663998</v>
      </c>
      <c r="F141" s="7">
        <v>15.054678236185282</v>
      </c>
      <c r="G141" s="7">
        <f t="shared" si="123"/>
        <v>5.8451886805507796</v>
      </c>
      <c r="H141" s="16">
        <f t="shared" si="124"/>
        <v>6.67696705104406</v>
      </c>
      <c r="I141" s="11">
        <f t="shared" si="113"/>
        <v>0.2089790362375184</v>
      </c>
      <c r="J141" s="33">
        <f t="shared" si="114"/>
        <v>1.3881335287207825E-2</v>
      </c>
      <c r="K141" s="33">
        <f t="shared" si="119"/>
        <v>72.03917917907637</v>
      </c>
      <c r="L141" s="33">
        <f t="shared" si="120"/>
        <v>0.19509770095031057</v>
      </c>
      <c r="M141" s="33">
        <f t="shared" si="121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99"/>
        <v>4963</v>
      </c>
      <c r="X141" s="9">
        <f t="shared" si="115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6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CY141" s="34" t="s">
        <v>86</v>
      </c>
    </row>
    <row r="142" spans="1:103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2"/>
        <v>0.51814326001821853</v>
      </c>
      <c r="F142" s="55">
        <v>20.713380227424022</v>
      </c>
      <c r="G142" s="55">
        <f t="shared" si="123"/>
        <v>10.214355097016172</v>
      </c>
      <c r="H142" s="56">
        <f t="shared" si="124"/>
        <v>11.25064161705261</v>
      </c>
      <c r="I142" s="57">
        <f t="shared" si="113"/>
        <v>0.28208127557332185</v>
      </c>
      <c r="J142" s="58">
        <f t="shared" si="114"/>
        <v>1.3618312051253372E-2</v>
      </c>
      <c r="K142" s="58">
        <f t="shared" si="119"/>
        <v>73.430539426357484</v>
      </c>
      <c r="L142" s="58">
        <f t="shared" si="120"/>
        <v>0.2684629635220685</v>
      </c>
      <c r="M142" s="58">
        <f t="shared" si="121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99"/>
        <v>4963</v>
      </c>
      <c r="X142" s="60">
        <f t="shared" si="115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6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X142" s="52"/>
      <c r="CY142" s="68" t="s">
        <v>86</v>
      </c>
    </row>
    <row r="143" spans="1:103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5">D143-E143</f>
        <v>7.4</v>
      </c>
      <c r="H143" s="16">
        <f t="shared" ref="H143:H156" si="126">D143+E143</f>
        <v>8</v>
      </c>
      <c r="I143" s="11">
        <f t="shared" si="113"/>
        <v>0.12746257641128633</v>
      </c>
      <c r="J143" s="33">
        <f t="shared" si="114"/>
        <v>5.8702318605511773E-3</v>
      </c>
      <c r="K143" s="33">
        <f t="shared" ref="K143:K154" si="127">IFERROR(1/J143, "X")</f>
        <v>170.35102254140034</v>
      </c>
      <c r="L143" s="33">
        <f t="shared" ref="L143:L154" si="128">IFERROR(I143-J143, "X")</f>
        <v>0.12159234455073516</v>
      </c>
      <c r="M143" s="33">
        <f t="shared" ref="M143:M154" si="129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99"/>
        <v>28548</v>
      </c>
      <c r="X143" s="9">
        <f t="shared" si="115"/>
        <v>12</v>
      </c>
      <c r="Y143" s="7">
        <v>12.4</v>
      </c>
      <c r="Z143" s="7">
        <f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6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CY143" s="34" t="s">
        <v>86</v>
      </c>
    </row>
    <row r="144" spans="1:103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5"/>
        <v>7.5</v>
      </c>
      <c r="H144" s="16">
        <f t="shared" si="126"/>
        <v>8.5</v>
      </c>
      <c r="I144" s="11">
        <f t="shared" si="113"/>
        <v>0.13316215592883443</v>
      </c>
      <c r="J144" s="33">
        <f t="shared" si="114"/>
        <v>5.8627185648068023E-3</v>
      </c>
      <c r="K144" s="33">
        <f t="shared" si="127"/>
        <v>170.56933382456396</v>
      </c>
      <c r="L144" s="33">
        <f t="shared" si="128"/>
        <v>0.12729943736402763</v>
      </c>
      <c r="M144" s="33">
        <f t="shared" si="129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99"/>
        <v>28578</v>
      </c>
      <c r="X144" s="9">
        <f t="shared" si="115"/>
        <v>12</v>
      </c>
      <c r="Y144" s="7">
        <v>12.4</v>
      </c>
      <c r="Z144" s="7">
        <f>BQ144-Y144-6</f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6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CY144" s="34" t="s">
        <v>86</v>
      </c>
    </row>
    <row r="145" spans="1:103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5"/>
        <v>8.8000000000000007</v>
      </c>
      <c r="H145" s="16">
        <f t="shared" si="126"/>
        <v>9.8000000000000007</v>
      </c>
      <c r="I145" s="11">
        <f t="shared" si="113"/>
        <v>0.13735334900738005</v>
      </c>
      <c r="J145" s="33">
        <f t="shared" si="114"/>
        <v>5.7922298588428973E-3</v>
      </c>
      <c r="K145" s="33">
        <f t="shared" si="127"/>
        <v>172.64508218252377</v>
      </c>
      <c r="L145" s="33">
        <f t="shared" si="128"/>
        <v>0.13156111914853716</v>
      </c>
      <c r="M145" s="33">
        <f t="shared" si="129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99"/>
        <v>29244</v>
      </c>
      <c r="X145" s="9">
        <f t="shared" si="115"/>
        <v>12</v>
      </c>
      <c r="Y145" s="7">
        <v>12.4</v>
      </c>
      <c r="Z145" s="7">
        <f>BQ145-Y145-6</f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6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CY145" s="34" t="s">
        <v>86</v>
      </c>
    </row>
    <row r="146" spans="1:103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5"/>
        <v>6.8</v>
      </c>
      <c r="H146" s="16">
        <f t="shared" si="126"/>
        <v>7.2</v>
      </c>
      <c r="I146" s="11">
        <f t="shared" si="113"/>
        <v>0.14675871989868494</v>
      </c>
      <c r="J146" s="33">
        <f t="shared" si="114"/>
        <v>5.9384316733746279E-3</v>
      </c>
      <c r="K146" s="33">
        <f t="shared" si="127"/>
        <v>168.39462925599864</v>
      </c>
      <c r="L146" s="33">
        <f t="shared" si="128"/>
        <v>0.14082028822531031</v>
      </c>
      <c r="M146" s="33">
        <f t="shared" si="129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99"/>
        <v>27746</v>
      </c>
      <c r="X146" s="9">
        <f t="shared" si="115"/>
        <v>12</v>
      </c>
      <c r="Y146" s="7">
        <v>12.6</v>
      </c>
      <c r="Z146" s="7">
        <f>BQ146-Y146-6</f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6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CY146" s="34" t="s">
        <v>86</v>
      </c>
    </row>
    <row r="147" spans="1:103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5"/>
        <v>10.299999999999999</v>
      </c>
      <c r="H147" s="16">
        <f t="shared" si="126"/>
        <v>11.1</v>
      </c>
      <c r="I147" s="11">
        <f t="shared" si="113"/>
        <v>0.15248911135300705</v>
      </c>
      <c r="J147" s="33">
        <f t="shared" si="114"/>
        <v>5.9303409355092639E-3</v>
      </c>
      <c r="K147" s="33">
        <f t="shared" si="127"/>
        <v>168.62436930266063</v>
      </c>
      <c r="L147" s="33">
        <f t="shared" si="128"/>
        <v>0.14655877041749779</v>
      </c>
      <c r="M147" s="33">
        <f t="shared" si="129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99"/>
        <v>27773</v>
      </c>
      <c r="X147" s="9">
        <f t="shared" si="115"/>
        <v>12</v>
      </c>
      <c r="Y147" s="7">
        <v>12.6</v>
      </c>
      <c r="Z147" s="7">
        <f>BQ147-Y147-6</f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6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CY147" s="34" t="s">
        <v>86</v>
      </c>
    </row>
    <row r="148" spans="1:103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5"/>
        <v>10.7</v>
      </c>
      <c r="H148" s="16">
        <f t="shared" si="126"/>
        <v>11.7</v>
      </c>
      <c r="I148" s="11">
        <f t="shared" si="113"/>
        <v>0.15809334365207181</v>
      </c>
      <c r="J148" s="33">
        <f t="shared" si="114"/>
        <v>5.9181332465658137E-3</v>
      </c>
      <c r="K148" s="33">
        <f t="shared" si="127"/>
        <v>168.97220091830172</v>
      </c>
      <c r="L148" s="33">
        <f t="shared" si="128"/>
        <v>0.152175210405506</v>
      </c>
      <c r="M148" s="33">
        <f t="shared" si="129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99"/>
        <v>27838</v>
      </c>
      <c r="X148" s="9">
        <f t="shared" si="115"/>
        <v>12</v>
      </c>
      <c r="Y148" s="7">
        <v>12.6</v>
      </c>
      <c r="Z148" s="7">
        <f>BQ148-Y148-6</f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6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CY148" s="34" t="s">
        <v>86</v>
      </c>
    </row>
    <row r="149" spans="1:103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5"/>
        <v>7.9</v>
      </c>
      <c r="H149" s="16">
        <f t="shared" si="126"/>
        <v>8.9</v>
      </c>
      <c r="I149" s="11">
        <f t="shared" si="113"/>
        <v>0.15628859800169251</v>
      </c>
      <c r="J149" s="33">
        <f t="shared" si="114"/>
        <v>5.6394635630566577E-3</v>
      </c>
      <c r="K149" s="33">
        <f t="shared" si="127"/>
        <v>177.32183013839492</v>
      </c>
      <c r="L149" s="33">
        <f t="shared" si="128"/>
        <v>0.15064913443863584</v>
      </c>
      <c r="M149" s="33">
        <f t="shared" si="129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99"/>
        <v>30675</v>
      </c>
      <c r="X149" s="9">
        <f t="shared" si="115"/>
        <v>12</v>
      </c>
      <c r="Y149" s="7">
        <v>12.4</v>
      </c>
      <c r="Z149" s="7">
        <f>BQ149-Y149-6</f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6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CY149" s="34" t="s">
        <v>86</v>
      </c>
    </row>
    <row r="150" spans="1:103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5"/>
        <v>8.1</v>
      </c>
      <c r="H150" s="16">
        <f t="shared" si="126"/>
        <v>9.2999999999999989</v>
      </c>
      <c r="I150" s="11">
        <f t="shared" si="113"/>
        <v>0.16170597526401623</v>
      </c>
      <c r="J150" s="33">
        <f t="shared" si="114"/>
        <v>5.6317289703694193E-3</v>
      </c>
      <c r="K150" s="33">
        <f t="shared" si="127"/>
        <v>177.56536318799516</v>
      </c>
      <c r="L150" s="33">
        <f t="shared" si="128"/>
        <v>0.1560742462936468</v>
      </c>
      <c r="M150" s="33">
        <f t="shared" si="129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99"/>
        <v>30705</v>
      </c>
      <c r="X150" s="9">
        <f t="shared" si="115"/>
        <v>12</v>
      </c>
      <c r="Y150" s="7">
        <v>12.4</v>
      </c>
      <c r="Z150" s="7">
        <f>BQ150-Y150-6</f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6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CY150" s="34" t="s">
        <v>86</v>
      </c>
    </row>
    <row r="151" spans="1:103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5"/>
        <v>9.2000000000000011</v>
      </c>
      <c r="H151" s="16">
        <f t="shared" si="126"/>
        <v>10.4</v>
      </c>
      <c r="I151" s="11">
        <f t="shared" si="113"/>
        <v>0.16541448611109594</v>
      </c>
      <c r="J151" s="33">
        <f t="shared" si="114"/>
        <v>5.5670033111354465E-3</v>
      </c>
      <c r="K151" s="33">
        <f t="shared" si="127"/>
        <v>179.62985543761783</v>
      </c>
      <c r="L151" s="33">
        <f t="shared" si="128"/>
        <v>0.1598474827999605</v>
      </c>
      <c r="M151" s="33">
        <f t="shared" si="129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99"/>
        <v>31384</v>
      </c>
      <c r="X151" s="9">
        <f t="shared" si="115"/>
        <v>12</v>
      </c>
      <c r="Y151" s="7">
        <v>12.4</v>
      </c>
      <c r="Z151" s="7">
        <f>BQ151-Y151-6</f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6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CY151" s="34" t="s">
        <v>86</v>
      </c>
    </row>
    <row r="152" spans="1:103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5"/>
        <v>7.2</v>
      </c>
      <c r="H152" s="16">
        <f t="shared" si="126"/>
        <v>7.8</v>
      </c>
      <c r="I152" s="11">
        <f t="shared" si="113"/>
        <v>0.17506737478084128</v>
      </c>
      <c r="J152" s="33">
        <f t="shared" si="114"/>
        <v>5.7000360586987268E-3</v>
      </c>
      <c r="K152" s="33">
        <f t="shared" si="127"/>
        <v>175.43748665833741</v>
      </c>
      <c r="L152" s="33">
        <f t="shared" si="128"/>
        <v>0.16936733872214255</v>
      </c>
      <c r="M152" s="33">
        <f t="shared" si="129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99"/>
        <v>29835</v>
      </c>
      <c r="X152" s="9">
        <f t="shared" si="115"/>
        <v>12</v>
      </c>
      <c r="Y152" s="7">
        <v>12.6</v>
      </c>
      <c r="Z152" s="7">
        <f>BQ152-Y152-6</f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6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CY152" s="34" t="s">
        <v>86</v>
      </c>
    </row>
    <row r="153" spans="1:103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5"/>
        <v>10.1</v>
      </c>
      <c r="H153" s="16">
        <f t="shared" si="126"/>
        <v>11.1</v>
      </c>
      <c r="I153" s="11">
        <f t="shared" si="113"/>
        <v>0.18049659984710903</v>
      </c>
      <c r="J153" s="33">
        <f t="shared" si="114"/>
        <v>5.6914967295421072E-3</v>
      </c>
      <c r="K153" s="33">
        <f t="shared" si="127"/>
        <v>175.7007071284836</v>
      </c>
      <c r="L153" s="33">
        <f t="shared" si="128"/>
        <v>0.17480510311756692</v>
      </c>
      <c r="M153" s="33">
        <f t="shared" si="129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99"/>
        <v>29865</v>
      </c>
      <c r="X153" s="9">
        <f t="shared" si="115"/>
        <v>12</v>
      </c>
      <c r="Y153" s="7">
        <v>12.6</v>
      </c>
      <c r="Z153" s="7">
        <f>BQ153-Y153-6</f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6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CY153" s="34" t="s">
        <v>86</v>
      </c>
    </row>
    <row r="154" spans="1:103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5"/>
        <v>10.5</v>
      </c>
      <c r="H154" s="56">
        <f t="shared" si="126"/>
        <v>11.7</v>
      </c>
      <c r="I154" s="57">
        <f t="shared" si="113"/>
        <v>0.18598810220012707</v>
      </c>
      <c r="J154" s="58">
        <f t="shared" si="114"/>
        <v>5.6853831951065434E-3</v>
      </c>
      <c r="K154" s="58">
        <f t="shared" si="127"/>
        <v>175.88963939329687</v>
      </c>
      <c r="L154" s="58">
        <f t="shared" si="128"/>
        <v>0.18030271900502054</v>
      </c>
      <c r="M154" s="58">
        <f t="shared" si="129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99"/>
        <v>29867</v>
      </c>
      <c r="X154" s="60">
        <f t="shared" si="115"/>
        <v>12</v>
      </c>
      <c r="Y154" s="55">
        <v>12.6</v>
      </c>
      <c r="Z154" s="55">
        <f>BQ154-Y154-6</f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6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X154" s="52"/>
      <c r="CY154" s="68" t="s">
        <v>86</v>
      </c>
    </row>
    <row r="155" spans="1:103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5"/>
        <v>6.7</v>
      </c>
      <c r="H155" s="16">
        <f t="shared" si="126"/>
        <v>7.7</v>
      </c>
      <c r="I155" s="11">
        <f t="shared" si="113"/>
        <v>0.13314306921085112</v>
      </c>
      <c r="J155" s="33">
        <f t="shared" si="114"/>
        <v>9.2460464729757722E-3</v>
      </c>
      <c r="K155" s="33">
        <f t="shared" ref="K155:K156" si="130">IFERROR(1/J155, "X")</f>
        <v>108.15433417112789</v>
      </c>
      <c r="L155" s="33">
        <f t="shared" ref="L155:L156" si="131">IFERROR(I155-J155, "X")</f>
        <v>0.12389702273787534</v>
      </c>
      <c r="M155" s="33">
        <f t="shared" ref="M155:M156" si="132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99"/>
        <v>11490</v>
      </c>
      <c r="X155" s="9">
        <f t="shared" si="115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6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CY155" s="34" t="s">
        <v>86</v>
      </c>
    </row>
    <row r="156" spans="1:103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5"/>
        <v>15.600000000000001</v>
      </c>
      <c r="H156" s="16">
        <f t="shared" si="126"/>
        <v>17.600000000000001</v>
      </c>
      <c r="I156" s="11">
        <f t="shared" si="113"/>
        <v>0.34745373685855596</v>
      </c>
      <c r="J156" s="33">
        <f t="shared" si="114"/>
        <v>2.0930948003527464E-2</v>
      </c>
      <c r="K156" s="33">
        <f t="shared" si="130"/>
        <v>47.776144674931651</v>
      </c>
      <c r="L156" s="33">
        <f t="shared" si="131"/>
        <v>0.3265227888550285</v>
      </c>
      <c r="M156" s="33">
        <f t="shared" si="132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99"/>
        <v>2007</v>
      </c>
      <c r="X156" s="9">
        <f t="shared" si="115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6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3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CY156" s="34" t="s">
        <v>86</v>
      </c>
    </row>
    <row r="157" spans="1:103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4">D157-E157</f>
        <v>2.3035171520973119</v>
      </c>
      <c r="H157" s="16">
        <f t="shared" ref="H157:H160" si="135">D157+E157</f>
        <v>3.0964828479026885</v>
      </c>
      <c r="I157" s="11">
        <f t="shared" si="113"/>
        <v>6.3421496849380379E-2</v>
      </c>
      <c r="J157" s="33">
        <f t="shared" si="114"/>
        <v>9.3131613663310058E-3</v>
      </c>
      <c r="K157" s="33">
        <f t="shared" ref="K157:K160" si="136">IFERROR(1/J157, "X")</f>
        <v>107.37492465396399</v>
      </c>
      <c r="L157" s="33">
        <f t="shared" ref="L157:L160" si="137">IFERROR(I157-J157, "X")</f>
        <v>5.4108335483049372E-2</v>
      </c>
      <c r="M157" s="33">
        <f t="shared" ref="M157:M160" si="138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99"/>
        <v>11483</v>
      </c>
      <c r="X157" s="9">
        <f t="shared" si="115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6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3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CY157" s="34" t="s">
        <v>86</v>
      </c>
    </row>
    <row r="158" spans="1:103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39">D158/F158</f>
        <v>0.29682285999879893</v>
      </c>
      <c r="F158" s="7">
        <f>SQRT((0.271/0.02)^2 + (0.136/0.02)^2)</f>
        <v>15.160557377616431</v>
      </c>
      <c r="G158" s="7">
        <f t="shared" si="134"/>
        <v>4.203177140001201</v>
      </c>
      <c r="H158" s="16">
        <f t="shared" si="135"/>
        <v>4.796822859998799</v>
      </c>
      <c r="I158" s="11">
        <f t="shared" si="113"/>
        <v>0.14008254285127902</v>
      </c>
      <c r="J158" s="33">
        <f t="shared" si="114"/>
        <v>9.2399335566713224E-3</v>
      </c>
      <c r="K158" s="33">
        <f t="shared" si="136"/>
        <v>108.225886459756</v>
      </c>
      <c r="L158" s="33">
        <f t="shared" si="137"/>
        <v>0.1308426092946077</v>
      </c>
      <c r="M158" s="33">
        <f t="shared" si="138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99"/>
        <v>11483</v>
      </c>
      <c r="X158" s="9">
        <f t="shared" si="115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6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3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CY158" s="34" t="s">
        <v>86</v>
      </c>
    </row>
    <row r="159" spans="1:103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39"/>
        <v>0.44085990313196088</v>
      </c>
      <c r="F159" s="7">
        <f>SQRT((0.271/0.02)^2 + (0.534/0.02)^2)</f>
        <v>29.941484599131019</v>
      </c>
      <c r="G159" s="7">
        <f t="shared" si="134"/>
        <v>12.759140096868038</v>
      </c>
      <c r="H159" s="16">
        <f t="shared" si="135"/>
        <v>13.640859903131961</v>
      </c>
      <c r="I159" s="11">
        <f t="shared" si="113"/>
        <v>0.26910508843055797</v>
      </c>
      <c r="J159" s="33">
        <f t="shared" si="114"/>
        <v>8.9877002437737542E-3</v>
      </c>
      <c r="K159" s="33">
        <f t="shared" si="136"/>
        <v>111.26316776004538</v>
      </c>
      <c r="L159" s="33">
        <f t="shared" si="137"/>
        <v>0.2601173881867842</v>
      </c>
      <c r="M159" s="33">
        <f t="shared" si="138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99"/>
        <v>11483</v>
      </c>
      <c r="X159" s="9">
        <f t="shared" si="115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6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0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3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CY159" s="34" t="s">
        <v>86</v>
      </c>
    </row>
    <row r="160" spans="1:103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39"/>
        <v>0.30934775699157074</v>
      </c>
      <c r="F160" s="7">
        <f>SQRT((0.762/0.03)^2 + (0.534/0.02)^2)</f>
        <v>36.8517299458248</v>
      </c>
      <c r="G160" s="7">
        <f t="shared" si="134"/>
        <v>11.09065224300843</v>
      </c>
      <c r="H160" s="16">
        <f t="shared" si="135"/>
        <v>11.709347756991571</v>
      </c>
      <c r="I160" s="11">
        <f t="shared" si="113"/>
        <v>0.32520529743856608</v>
      </c>
      <c r="J160" s="33">
        <f t="shared" si="114"/>
        <v>8.8246955547716683E-3</v>
      </c>
      <c r="K160" s="33">
        <f t="shared" si="136"/>
        <v>113.31835685360073</v>
      </c>
      <c r="L160" s="33">
        <f t="shared" si="137"/>
        <v>0.31638060188379441</v>
      </c>
      <c r="M160" s="33">
        <f t="shared" si="138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99"/>
        <v>11483</v>
      </c>
      <c r="X160" s="9">
        <f t="shared" si="115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6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0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3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CY160" s="34" t="s">
        <v>86</v>
      </c>
    </row>
    <row r="161" spans="1:103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39"/>
        <v>0.35170533535016346</v>
      </c>
      <c r="F161" s="7">
        <f>SQRT((0.762/0.03)^2 + (1.07/0.03)^2)</f>
        <v>43.786654486397012</v>
      </c>
      <c r="G161" s="7">
        <f t="shared" ref="G161:G162" si="141">D161-E161</f>
        <v>15.048294664649838</v>
      </c>
      <c r="H161" s="16">
        <f t="shared" ref="H161:H162" si="142">D161+E161</f>
        <v>15.751705335350163</v>
      </c>
      <c r="I161" s="11">
        <f t="shared" si="113"/>
        <v>0.37825525628295048</v>
      </c>
      <c r="J161" s="33">
        <f t="shared" si="114"/>
        <v>8.6385968674647477E-3</v>
      </c>
      <c r="K161" s="33">
        <f t="shared" ref="K161:K162" si="143">IFERROR(1/J161, "X")</f>
        <v>115.75954004362281</v>
      </c>
      <c r="L161" s="33">
        <f t="shared" ref="L161:L162" si="144">IFERROR(I161-J161, "X")</f>
        <v>0.36961665941548572</v>
      </c>
      <c r="M161" s="33">
        <f t="shared" ref="M161:M162" si="145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99"/>
        <v>11483</v>
      </c>
      <c r="X161" s="9">
        <f t="shared" si="115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6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0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3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CY161" s="34" t="s">
        <v>86</v>
      </c>
    </row>
    <row r="162" spans="1:103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39"/>
        <v>0.26047644979967455</v>
      </c>
      <c r="F162" s="7">
        <f>SQRT((1.371/0.03)^2 + (1.07/0.03)^2)</f>
        <v>57.970691828812186</v>
      </c>
      <c r="G162" s="7">
        <f t="shared" si="141"/>
        <v>14.839523550200326</v>
      </c>
      <c r="H162" s="16">
        <f t="shared" si="142"/>
        <v>15.360476449799673</v>
      </c>
      <c r="I162" s="11">
        <f t="shared" si="113"/>
        <v>0.47581578529362467</v>
      </c>
      <c r="J162" s="33">
        <f t="shared" si="114"/>
        <v>8.2078679809223544E-3</v>
      </c>
      <c r="K162" s="33">
        <f t="shared" si="143"/>
        <v>121.83431828147236</v>
      </c>
      <c r="L162" s="33">
        <f t="shared" si="144"/>
        <v>0.46760791731270229</v>
      </c>
      <c r="M162" s="33">
        <f t="shared" si="145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99"/>
        <v>11483</v>
      </c>
      <c r="X162" s="9">
        <f t="shared" si="115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6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0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3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CY162" s="34" t="s">
        <v>86</v>
      </c>
    </row>
    <row r="163" spans="1:103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39"/>
        <v>1.9914749166829471</v>
      </c>
      <c r="F163" s="7">
        <f>SQRT((0.334/0.14)^2 + (0.342/0.14)^2)</f>
        <v>3.4145546815755323</v>
      </c>
      <c r="G163" s="7">
        <f t="shared" ref="G163:G168" si="146">D163-E163</f>
        <v>4.8085250833170523</v>
      </c>
      <c r="H163" s="16">
        <f t="shared" ref="H163:H168" si="147">D163+E163</f>
        <v>8.7914749166829473</v>
      </c>
      <c r="I163" s="11">
        <f t="shared" si="113"/>
        <v>7.6130182327342963E-2</v>
      </c>
      <c r="J163" s="33">
        <f t="shared" si="114"/>
        <v>2.2295786545206312E-2</v>
      </c>
      <c r="K163" s="33">
        <f t="shared" ref="K163:K168" si="148">IFERROR(1/J163, "X")</f>
        <v>44.851523760887645</v>
      </c>
      <c r="L163" s="33">
        <f t="shared" ref="L163:L168" si="149">IFERROR(I163-J163, "X")</f>
        <v>5.3834395782136654E-2</v>
      </c>
      <c r="M163" s="33">
        <f t="shared" ref="M163:M168" si="150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99"/>
        <v>2000</v>
      </c>
      <c r="X163" s="9">
        <f t="shared" si="115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6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3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CY163" s="34" t="s">
        <v>86</v>
      </c>
    </row>
    <row r="164" spans="1:103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39"/>
        <v>2.8214268570062737</v>
      </c>
      <c r="F164" s="7">
        <f>SQRT((0.958/0.14)^2 + (0.342/0.14)^2)</f>
        <v>7.2658271998416781</v>
      </c>
      <c r="G164" s="7">
        <f t="shared" si="146"/>
        <v>17.678573142993727</v>
      </c>
      <c r="H164" s="16">
        <f t="shared" si="147"/>
        <v>23.321426857006273</v>
      </c>
      <c r="I164" s="11">
        <f t="shared" si="113"/>
        <v>0.16036609935809848</v>
      </c>
      <c r="J164" s="33">
        <f t="shared" si="114"/>
        <v>2.2071279008891494E-2</v>
      </c>
      <c r="K164" s="33">
        <f t="shared" si="148"/>
        <v>45.307750384431571</v>
      </c>
      <c r="L164" s="33">
        <f t="shared" si="149"/>
        <v>0.13829482034920698</v>
      </c>
      <c r="M164" s="33">
        <f t="shared" si="150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99"/>
        <v>2000</v>
      </c>
      <c r="X164" s="9">
        <f t="shared" si="115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6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3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CY164" s="34" t="s">
        <v>86</v>
      </c>
    </row>
    <row r="165" spans="1:103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39"/>
        <v>1.9178286749650495</v>
      </c>
      <c r="F165" s="7">
        <f>SQRT((0.958/0.14)^2 + (1.505/0.12)^2)</f>
        <v>14.286990468791137</v>
      </c>
      <c r="G165" s="7">
        <f t="shared" si="146"/>
        <v>25.482171325034948</v>
      </c>
      <c r="H165" s="16">
        <f t="shared" si="147"/>
        <v>29.31782867496505</v>
      </c>
      <c r="I165" s="11">
        <f t="shared" si="113"/>
        <v>0.30431497557447135</v>
      </c>
      <c r="J165" s="33">
        <f t="shared" si="114"/>
        <v>2.1300145488248538E-2</v>
      </c>
      <c r="K165" s="33">
        <f t="shared" si="148"/>
        <v>46.948036132039945</v>
      </c>
      <c r="L165" s="33">
        <f t="shared" si="149"/>
        <v>0.2830148300862228</v>
      </c>
      <c r="M165" s="33">
        <f t="shared" si="150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99"/>
        <v>2000</v>
      </c>
      <c r="X165" s="9">
        <f t="shared" si="115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6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3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CY165" s="34" t="s">
        <v>86</v>
      </c>
    </row>
    <row r="166" spans="1:103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39"/>
        <v>0.85230595170051271</v>
      </c>
      <c r="F166" s="7">
        <f>SQRT((1.843/0.12)^2 + (1.505/0.12)^2)</f>
        <v>19.828560350049511</v>
      </c>
      <c r="G166" s="7">
        <f t="shared" si="146"/>
        <v>16.047694048299487</v>
      </c>
      <c r="H166" s="16">
        <f t="shared" si="147"/>
        <v>17.75230595170051</v>
      </c>
      <c r="I166" s="11">
        <f t="shared" si="113"/>
        <v>0.40532579632552324</v>
      </c>
      <c r="J166" s="33">
        <f t="shared" si="114"/>
        <v>2.0441514117514391E-2</v>
      </c>
      <c r="K166" s="33">
        <f t="shared" si="148"/>
        <v>48.920055248901306</v>
      </c>
      <c r="L166" s="33">
        <f t="shared" si="149"/>
        <v>0.38488428220800885</v>
      </c>
      <c r="M166" s="33">
        <f t="shared" si="150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99"/>
        <v>2000</v>
      </c>
      <c r="X166" s="9">
        <f t="shared" si="115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6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1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3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CY166" s="34" t="s">
        <v>86</v>
      </c>
    </row>
    <row r="167" spans="1:103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39"/>
        <v>0.87259957585554815</v>
      </c>
      <c r="F167" s="7">
        <f>SQRT((1.843/0.12)^2 + (2.294/0.11)^2)</f>
        <v>25.899622948867041</v>
      </c>
      <c r="G167" s="7">
        <f t="shared" si="146"/>
        <v>21.727400424144452</v>
      </c>
      <c r="H167" s="16">
        <f t="shared" si="147"/>
        <v>23.472599575855551</v>
      </c>
      <c r="I167" s="11">
        <f t="shared" si="113"/>
        <v>0.50115669063775992</v>
      </c>
      <c r="J167" s="33">
        <f t="shared" si="114"/>
        <v>1.934996087113626E-2</v>
      </c>
      <c r="K167" s="33">
        <f t="shared" si="148"/>
        <v>51.679691068092502</v>
      </c>
      <c r="L167" s="33">
        <f t="shared" si="149"/>
        <v>0.48180672976662364</v>
      </c>
      <c r="M167" s="33">
        <f t="shared" si="150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99"/>
        <v>2000</v>
      </c>
      <c r="X167" s="9">
        <f t="shared" si="115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6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1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3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CY167" s="34" t="s">
        <v>86</v>
      </c>
    </row>
    <row r="168" spans="1:103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39"/>
        <v>0.91154762012700219</v>
      </c>
      <c r="F168" s="7">
        <f>SQRT((2.909/0.11)^2 + (2.294/0.11)^2)</f>
        <v>33.678986508376482</v>
      </c>
      <c r="G168" s="7">
        <f t="shared" si="146"/>
        <v>29.788452379872997</v>
      </c>
      <c r="H168" s="16">
        <f t="shared" si="147"/>
        <v>31.611547620127002</v>
      </c>
      <c r="I168" s="11">
        <f t="shared" si="113"/>
        <v>0.60157603196873277</v>
      </c>
      <c r="J168" s="33">
        <f t="shared" si="114"/>
        <v>1.7862058640604032E-2</v>
      </c>
      <c r="K168" s="33">
        <f t="shared" si="148"/>
        <v>55.984588345645669</v>
      </c>
      <c r="L168" s="33">
        <f t="shared" si="149"/>
        <v>0.58371397332812869</v>
      </c>
      <c r="M168" s="33">
        <f t="shared" si="150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99"/>
        <v>2000</v>
      </c>
      <c r="X168" s="9">
        <f t="shared" si="115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6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1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3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CY168" s="34" t="s">
        <v>86</v>
      </c>
    </row>
    <row r="169" spans="1:103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2">D169-E169</f>
        <v>5.9</v>
      </c>
      <c r="H169" s="16">
        <f t="shared" ref="H169:H186" si="153">D169+E169</f>
        <v>6.9</v>
      </c>
      <c r="I169" s="11">
        <f t="shared" si="113"/>
        <v>0.11857017041238749</v>
      </c>
      <c r="J169" s="33">
        <f t="shared" si="114"/>
        <v>9.2632945634677707E-3</v>
      </c>
      <c r="K169" s="33">
        <f t="shared" ref="K169:K182" si="154">IFERROR(1/J169, "X")</f>
        <v>107.95295271552327</v>
      </c>
      <c r="L169" s="33">
        <f t="shared" ref="L169:L182" si="155">IFERROR(I169-J169, "X")</f>
        <v>0.10930687584891971</v>
      </c>
      <c r="M169" s="33">
        <f t="shared" ref="M169:M182" si="156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5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6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3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CY169" s="34" t="s">
        <v>86</v>
      </c>
    </row>
    <row r="170" spans="1:103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2"/>
        <v>13.2</v>
      </c>
      <c r="H170" s="16">
        <f t="shared" si="153"/>
        <v>15.2</v>
      </c>
      <c r="I170" s="11">
        <f t="shared" si="113"/>
        <v>0.30215228140638672</v>
      </c>
      <c r="J170" s="33">
        <f t="shared" si="114"/>
        <v>2.1278329676506107E-2</v>
      </c>
      <c r="K170" s="33">
        <f t="shared" si="154"/>
        <v>46.996170056718455</v>
      </c>
      <c r="L170" s="33">
        <f t="shared" si="155"/>
        <v>0.28087395172988061</v>
      </c>
      <c r="M170" s="33">
        <f t="shared" si="156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5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6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3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CY170" s="34" t="s">
        <v>86</v>
      </c>
    </row>
    <row r="171" spans="1:103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2"/>
        <v>2.435679848019757</v>
      </c>
      <c r="H171" s="16">
        <f t="shared" si="153"/>
        <v>3.1831861192734303</v>
      </c>
      <c r="I171" s="11">
        <f t="shared" si="113"/>
        <v>6.9974578188755895E-2</v>
      </c>
      <c r="J171" s="33">
        <f t="shared" si="114"/>
        <v>9.309073455194633E-3</v>
      </c>
      <c r="K171" s="33">
        <f t="shared" si="154"/>
        <v>107.42207640890209</v>
      </c>
      <c r="L171" s="33">
        <f t="shared" si="155"/>
        <v>6.0665504733561262E-2</v>
      </c>
      <c r="M171" s="33">
        <f t="shared" si="156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5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6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3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CY171" s="34" t="s">
        <v>86</v>
      </c>
    </row>
    <row r="172" spans="1:103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2"/>
        <v>3.9006142574315432</v>
      </c>
      <c r="H172" s="16">
        <f t="shared" si="153"/>
        <v>4.4209943729720456</v>
      </c>
      <c r="I172" s="11">
        <f t="shared" si="113"/>
        <v>0.14759652388061753</v>
      </c>
      <c r="J172" s="33">
        <f t="shared" si="114"/>
        <v>9.2297414552463992E-3</v>
      </c>
      <c r="K172" s="33">
        <f t="shared" si="154"/>
        <v>108.34539676423729</v>
      </c>
      <c r="L172" s="33">
        <f t="shared" si="155"/>
        <v>0.13836678242537112</v>
      </c>
      <c r="M172" s="33">
        <f t="shared" si="156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5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6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3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CY172" s="34" t="s">
        <v>86</v>
      </c>
    </row>
    <row r="173" spans="1:103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2"/>
        <v>12.147982994453733</v>
      </c>
      <c r="H173" s="16">
        <f t="shared" si="153"/>
        <v>12.980790110450977</v>
      </c>
      <c r="I173" s="11">
        <f t="shared" si="113"/>
        <v>0.27103840672621121</v>
      </c>
      <c r="J173" s="33">
        <f t="shared" si="114"/>
        <v>8.9826396572495956E-3</v>
      </c>
      <c r="K173" s="33">
        <f t="shared" si="154"/>
        <v>111.32585054694169</v>
      </c>
      <c r="L173" s="33">
        <f t="shared" si="155"/>
        <v>0.26205576706896161</v>
      </c>
      <c r="M173" s="33">
        <f t="shared" si="156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5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6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7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3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CY173" s="34" t="s">
        <v>86</v>
      </c>
    </row>
    <row r="174" spans="1:103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2"/>
        <v>9.1203577532841393</v>
      </c>
      <c r="H174" s="16">
        <f t="shared" si="153"/>
        <v>9.6395504181216864</v>
      </c>
      <c r="I174" s="11">
        <f t="shared" si="113"/>
        <v>0.31951478216786383</v>
      </c>
      <c r="J174" s="33">
        <f t="shared" si="114"/>
        <v>8.8427794898044039E-3</v>
      </c>
      <c r="K174" s="33">
        <f t="shared" si="154"/>
        <v>113.08661503467155</v>
      </c>
      <c r="L174" s="33">
        <f t="shared" si="155"/>
        <v>0.31067200267805944</v>
      </c>
      <c r="M174" s="33">
        <f t="shared" si="156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5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6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7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3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CY174" s="34" t="s">
        <v>86</v>
      </c>
    </row>
    <row r="175" spans="1:103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2"/>
        <v>11.994487558093265</v>
      </c>
      <c r="H175" s="16">
        <f t="shared" si="153"/>
        <v>12.59319768465291</v>
      </c>
      <c r="I175" s="11">
        <f t="shared" si="113"/>
        <v>0.35786183959502793</v>
      </c>
      <c r="J175" s="33">
        <f t="shared" si="114"/>
        <v>8.7139356616750055E-3</v>
      </c>
      <c r="K175" s="33">
        <f t="shared" si="154"/>
        <v>114.75870821471942</v>
      </c>
      <c r="L175" s="33">
        <f t="shared" si="155"/>
        <v>0.34914790393335293</v>
      </c>
      <c r="M175" s="33">
        <f t="shared" si="156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5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6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7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3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CY175" s="34" t="s">
        <v>86</v>
      </c>
    </row>
    <row r="176" spans="1:103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2"/>
        <v>10.967679049556734</v>
      </c>
      <c r="H176" s="16">
        <f t="shared" si="153"/>
        <v>11.388961473158423</v>
      </c>
      <c r="I176" s="11">
        <f t="shared" si="113"/>
        <v>0.44378952423621998</v>
      </c>
      <c r="J176" s="33">
        <f t="shared" si="114"/>
        <v>8.3626485003109822E-3</v>
      </c>
      <c r="K176" s="33">
        <f t="shared" si="154"/>
        <v>119.57934139678511</v>
      </c>
      <c r="L176" s="33">
        <f t="shared" si="155"/>
        <v>0.43542687573590899</v>
      </c>
      <c r="M176" s="33">
        <f t="shared" si="156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5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6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7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3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CY176" s="34" t="s">
        <v>86</v>
      </c>
    </row>
    <row r="177" spans="1:103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2"/>
        <v>0.18681053708217249</v>
      </c>
      <c r="H177" s="16">
        <f t="shared" si="153"/>
        <v>0.31821419699564885</v>
      </c>
      <c r="I177" s="11">
        <f t="shared" si="113"/>
        <v>8.5623374493691673E-2</v>
      </c>
      <c r="J177" s="33">
        <f t="shared" si="114"/>
        <v>2.2278561867188747E-2</v>
      </c>
      <c r="K177" s="33">
        <f t="shared" si="154"/>
        <v>44.886200732407801</v>
      </c>
      <c r="L177" s="33">
        <f t="shared" si="155"/>
        <v>6.3344812626502933E-2</v>
      </c>
      <c r="M177" s="33">
        <f t="shared" si="156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5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6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3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CY177" s="34" t="s">
        <v>86</v>
      </c>
    </row>
    <row r="178" spans="1:103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2"/>
        <v>25.896416672400456</v>
      </c>
      <c r="H178" s="16">
        <f t="shared" si="153"/>
        <v>33.969060250711834</v>
      </c>
      <c r="I178" s="11">
        <f t="shared" si="113"/>
        <v>0.16358945626528448</v>
      </c>
      <c r="J178" s="33">
        <f t="shared" si="114"/>
        <v>2.2059447973587512E-2</v>
      </c>
      <c r="K178" s="33">
        <f t="shared" si="154"/>
        <v>45.332050067496347</v>
      </c>
      <c r="L178" s="33">
        <f t="shared" si="155"/>
        <v>0.14153000829169698</v>
      </c>
      <c r="M178" s="33">
        <f t="shared" si="156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5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6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3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CY178" s="34" t="s">
        <v>86</v>
      </c>
    </row>
    <row r="179" spans="1:103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2"/>
        <v>59.286629227081605</v>
      </c>
      <c r="H179" s="16">
        <f t="shared" si="153"/>
        <v>66.924932612639054</v>
      </c>
      <c r="I179" s="11">
        <f t="shared" si="113"/>
        <v>0.34657721471292263</v>
      </c>
      <c r="J179" s="33">
        <f t="shared" si="114"/>
        <v>2.0974797189029417E-2</v>
      </c>
      <c r="K179" s="33">
        <f t="shared" si="154"/>
        <v>47.676265519412816</v>
      </c>
      <c r="L179" s="33">
        <f t="shared" si="155"/>
        <v>0.32560241752389324</v>
      </c>
      <c r="M179" s="33">
        <f t="shared" si="156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5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6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3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CY179" s="34" t="s">
        <v>86</v>
      </c>
    </row>
    <row r="180" spans="1:103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2"/>
        <v>42.907465520680525</v>
      </c>
      <c r="H180" s="16">
        <f t="shared" si="153"/>
        <v>47.567145031334981</v>
      </c>
      <c r="I180" s="11">
        <f t="shared" si="113"/>
        <v>0.39825027488653714</v>
      </c>
      <c r="J180" s="33">
        <f t="shared" si="114"/>
        <v>2.0510932676901818E-2</v>
      </c>
      <c r="K180" s="33">
        <f t="shared" si="154"/>
        <v>48.754486972995629</v>
      </c>
      <c r="L180" s="33">
        <f t="shared" si="155"/>
        <v>0.37773934220963534</v>
      </c>
      <c r="M180" s="33">
        <f t="shared" si="156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5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6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58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3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CY180" s="34" t="s">
        <v>86</v>
      </c>
    </row>
    <row r="181" spans="1:103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2"/>
        <v>67.845213347453566</v>
      </c>
      <c r="H181" s="16">
        <f t="shared" si="153"/>
        <v>75.973308127827252</v>
      </c>
      <c r="I181" s="11">
        <f t="shared" si="113"/>
        <v>0.36790098498121226</v>
      </c>
      <c r="J181" s="33">
        <f t="shared" si="114"/>
        <v>2.0792412862025583E-2</v>
      </c>
      <c r="K181" s="33">
        <f t="shared" si="154"/>
        <v>48.094466314987393</v>
      </c>
      <c r="L181" s="33">
        <f t="shared" si="155"/>
        <v>0.34710857211918666</v>
      </c>
      <c r="M181" s="33">
        <f t="shared" si="156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5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6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58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3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CY181" s="34" t="s">
        <v>86</v>
      </c>
    </row>
    <row r="182" spans="1:103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2"/>
        <v>112.90711037254113</v>
      </c>
      <c r="H182" s="16">
        <f t="shared" si="153"/>
        <v>127.53616628776408</v>
      </c>
      <c r="I182" s="11">
        <f t="shared" si="113"/>
        <v>0.34496083658532839</v>
      </c>
      <c r="J182" s="33">
        <f t="shared" si="114"/>
        <v>2.0988115937624681E-2</v>
      </c>
      <c r="K182" s="33">
        <f t="shared" si="154"/>
        <v>47.646010865002609</v>
      </c>
      <c r="L182" s="33">
        <f t="shared" si="155"/>
        <v>0.32397272064770372</v>
      </c>
      <c r="M182" s="33">
        <f t="shared" si="156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5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6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58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3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CY182" s="34" t="s">
        <v>86</v>
      </c>
    </row>
    <row r="183" spans="1:103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2"/>
        <v>8.9</v>
      </c>
      <c r="H183" s="16">
        <f t="shared" si="153"/>
        <v>10.9</v>
      </c>
      <c r="I183" s="11">
        <f t="shared" si="113"/>
        <v>0.15201993634645081</v>
      </c>
      <c r="J183" s="33">
        <f t="shared" si="114"/>
        <v>1.5355549125904122E-2</v>
      </c>
      <c r="K183" s="33">
        <f t="shared" ref="K183:K195" si="159">IFERROR(1/J183, "X")</f>
        <v>65.123037398450634</v>
      </c>
      <c r="L183" s="33">
        <f t="shared" ref="L183:L195" si="160">IFERROR(I183-J183, "X")</f>
        <v>0.13666438722054669</v>
      </c>
      <c r="M183" s="33">
        <f t="shared" ref="M183:M195" si="161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2">U183-V183-1</f>
        <v>4143</v>
      </c>
      <c r="X183" s="9">
        <f t="shared" si="115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6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58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3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CY183" s="34" t="s">
        <v>86</v>
      </c>
    </row>
    <row r="184" spans="1:103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3">D184/E184</f>
        <v>21.2</v>
      </c>
      <c r="G184" s="7">
        <f t="shared" si="152"/>
        <v>10.1</v>
      </c>
      <c r="H184" s="16">
        <f t="shared" si="153"/>
        <v>11.1</v>
      </c>
      <c r="I184" s="11">
        <f t="shared" si="113"/>
        <v>0.27306712193143012</v>
      </c>
      <c r="J184" s="33">
        <f t="shared" si="114"/>
        <v>1.288052461940708E-2</v>
      </c>
      <c r="K184" s="33">
        <f t="shared" si="159"/>
        <v>77.636589311999018</v>
      </c>
      <c r="L184" s="33">
        <f t="shared" si="160"/>
        <v>0.26018659731202304</v>
      </c>
      <c r="M184" s="33">
        <f t="shared" si="161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2"/>
        <v>5578</v>
      </c>
      <c r="X184" s="9">
        <f t="shared" si="115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6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58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3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CY184" s="34" t="s">
        <v>86</v>
      </c>
    </row>
    <row r="185" spans="1:103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3"/>
        <v>5.6333333333333329</v>
      </c>
      <c r="G185" s="7">
        <f t="shared" si="152"/>
        <v>13.899999999999999</v>
      </c>
      <c r="H185" s="16">
        <f t="shared" si="153"/>
        <v>19.899999999999999</v>
      </c>
      <c r="I185" s="11">
        <f t="shared" si="113"/>
        <v>0.24805751063781942</v>
      </c>
      <c r="J185" s="33">
        <f t="shared" si="114"/>
        <v>4.4033877628015285E-2</v>
      </c>
      <c r="K185" s="33">
        <f t="shared" si="159"/>
        <v>22.709787415219115</v>
      </c>
      <c r="L185" s="33">
        <f t="shared" si="160"/>
        <v>0.20402363300980414</v>
      </c>
      <c r="M185" s="33">
        <f t="shared" si="161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2"/>
        <v>484</v>
      </c>
      <c r="X185" s="9">
        <f t="shared" si="115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6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58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3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CY185" s="34" t="s">
        <v>86</v>
      </c>
    </row>
    <row r="186" spans="1:103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3"/>
        <v>17.600000000000001</v>
      </c>
      <c r="G186" s="7">
        <f t="shared" si="152"/>
        <v>16.600000000000001</v>
      </c>
      <c r="H186" s="16">
        <f t="shared" si="153"/>
        <v>18.600000000000001</v>
      </c>
      <c r="I186" s="11">
        <f t="shared" si="113"/>
        <v>0.50727412898281099</v>
      </c>
      <c r="J186" s="33">
        <f t="shared" si="114"/>
        <v>2.8822393692205163E-2</v>
      </c>
      <c r="K186" s="33">
        <f t="shared" si="159"/>
        <v>34.695244630928897</v>
      </c>
      <c r="L186" s="33">
        <f t="shared" si="160"/>
        <v>0.47845173529060581</v>
      </c>
      <c r="M186" s="33">
        <f t="shared" si="161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2"/>
        <v>894</v>
      </c>
      <c r="X186" s="9">
        <f t="shared" si="115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6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58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3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CY186" s="34" t="s">
        <v>86</v>
      </c>
    </row>
    <row r="187" spans="1:103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3"/>
        <v>16.5</v>
      </c>
      <c r="G187" s="7">
        <f t="shared" ref="G187:G195" si="164">D187-E187</f>
        <v>15.5</v>
      </c>
      <c r="H187" s="16">
        <f t="shared" ref="H187:H195" si="165">D187+E187</f>
        <v>17.5</v>
      </c>
      <c r="I187" s="11">
        <f t="shared" si="113"/>
        <v>0.31853222497441863</v>
      </c>
      <c r="J187" s="33">
        <f t="shared" si="114"/>
        <v>1.9304983331782946E-2</v>
      </c>
      <c r="K187" s="33">
        <f t="shared" si="159"/>
        <v>51.800096525006595</v>
      </c>
      <c r="L187" s="33">
        <f t="shared" si="160"/>
        <v>0.2992272416426357</v>
      </c>
      <c r="M187" s="33">
        <f t="shared" si="161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2"/>
        <v>2411</v>
      </c>
      <c r="X187" s="9">
        <f t="shared" si="115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6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6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3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CY187" s="34" t="s">
        <v>86</v>
      </c>
    </row>
    <row r="188" spans="1:103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3"/>
        <v>14</v>
      </c>
      <c r="G188" s="7">
        <f t="shared" si="164"/>
        <v>13</v>
      </c>
      <c r="H188" s="16">
        <f t="shared" si="165"/>
        <v>15</v>
      </c>
      <c r="I188" s="11">
        <f t="shared" si="113"/>
        <v>0.27393116806819129</v>
      </c>
      <c r="J188" s="33">
        <f t="shared" si="114"/>
        <v>1.9566512004870806E-2</v>
      </c>
      <c r="K188" s="33">
        <f t="shared" si="159"/>
        <v>51.107729356722558</v>
      </c>
      <c r="L188" s="33">
        <f t="shared" si="160"/>
        <v>0.25436465606332048</v>
      </c>
      <c r="M188" s="33">
        <f t="shared" si="161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2"/>
        <v>2416</v>
      </c>
      <c r="X188" s="9">
        <f t="shared" si="115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6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6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3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CY188" s="34" t="s">
        <v>86</v>
      </c>
    </row>
    <row r="189" spans="1:103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3"/>
        <v>15.5</v>
      </c>
      <c r="G189" s="7">
        <f t="shared" si="164"/>
        <v>14.5</v>
      </c>
      <c r="H189" s="16">
        <f t="shared" si="165"/>
        <v>16.5</v>
      </c>
      <c r="I189" s="11">
        <f t="shared" si="113"/>
        <v>0.60050010427519618</v>
      </c>
      <c r="J189" s="33">
        <f t="shared" si="114"/>
        <v>3.874194221130299E-2</v>
      </c>
      <c r="K189" s="33">
        <f t="shared" si="159"/>
        <v>25.811818998280611</v>
      </c>
      <c r="L189" s="33">
        <f t="shared" si="160"/>
        <v>0.56175816206389317</v>
      </c>
      <c r="M189" s="33">
        <f t="shared" si="161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2"/>
        <v>426</v>
      </c>
      <c r="X189" s="9">
        <f t="shared" si="115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6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6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3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CY189" s="34" t="s">
        <v>86</v>
      </c>
    </row>
    <row r="190" spans="1:103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3"/>
        <v>7.65</v>
      </c>
      <c r="G190" s="55">
        <f t="shared" si="164"/>
        <v>13.3</v>
      </c>
      <c r="H190" s="56">
        <f t="shared" si="165"/>
        <v>17.3</v>
      </c>
      <c r="I190" s="57">
        <f t="shared" si="113"/>
        <v>0.34576028385855379</v>
      </c>
      <c r="J190" s="58">
        <f t="shared" si="114"/>
        <v>4.519742272660833E-2</v>
      </c>
      <c r="K190" s="58">
        <f t="shared" si="159"/>
        <v>22.12515536668613</v>
      </c>
      <c r="L190" s="58">
        <f t="shared" si="160"/>
        <v>0.30056286113194547</v>
      </c>
      <c r="M190" s="58">
        <f t="shared" si="161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2"/>
        <v>431</v>
      </c>
      <c r="X190" s="60">
        <f t="shared" si="115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6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6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3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X190" s="52"/>
      <c r="CY190" s="68" t="s">
        <v>86</v>
      </c>
    </row>
    <row r="191" spans="1:103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3"/>
        <v>85</v>
      </c>
      <c r="G191" s="7">
        <f t="shared" si="164"/>
        <v>8.4</v>
      </c>
      <c r="H191" s="16">
        <f t="shared" si="165"/>
        <v>8.6</v>
      </c>
      <c r="I191" s="11">
        <f t="shared" si="113"/>
        <v>0.36517364407708086</v>
      </c>
      <c r="J191" s="33">
        <f t="shared" si="114"/>
        <v>4.2961605185538919E-3</v>
      </c>
      <c r="K191" s="33">
        <f t="shared" si="159"/>
        <v>232.76597689524988</v>
      </c>
      <c r="L191" s="33">
        <f t="shared" si="160"/>
        <v>0.36087748355852695</v>
      </c>
      <c r="M191" s="33">
        <f t="shared" si="161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2"/>
        <v>46955</v>
      </c>
      <c r="X191" s="9">
        <f t="shared" si="115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6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CY191" s="34" t="s">
        <v>86</v>
      </c>
    </row>
    <row r="192" spans="1:103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3"/>
        <v>77</v>
      </c>
      <c r="G192" s="7">
        <f t="shared" si="164"/>
        <v>7.6000000000000005</v>
      </c>
      <c r="H192" s="16">
        <f t="shared" si="165"/>
        <v>7.8</v>
      </c>
      <c r="I192" s="11">
        <f t="shared" si="113"/>
        <v>0.33484591258365215</v>
      </c>
      <c r="J192" s="33">
        <f t="shared" si="114"/>
        <v>4.3486482153721057E-3</v>
      </c>
      <c r="K192" s="33">
        <f t="shared" si="159"/>
        <v>229.95651762887698</v>
      </c>
      <c r="L192" s="33">
        <f t="shared" si="160"/>
        <v>0.33049726436828003</v>
      </c>
      <c r="M192" s="33">
        <f t="shared" si="161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2"/>
        <v>46951</v>
      </c>
      <c r="X192" s="9">
        <f t="shared" si="115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6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7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68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CY192" s="34" t="s">
        <v>86</v>
      </c>
    </row>
    <row r="193" spans="1:103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3"/>
        <v>68</v>
      </c>
      <c r="G193" s="7">
        <f t="shared" si="164"/>
        <v>6.7</v>
      </c>
      <c r="H193" s="16">
        <f t="shared" si="165"/>
        <v>6.8999999999999995</v>
      </c>
      <c r="I193" s="11">
        <f t="shared" si="113"/>
        <v>0.29942585227104296</v>
      </c>
      <c r="J193" s="33">
        <f t="shared" si="114"/>
        <v>4.4033213569271024E-3</v>
      </c>
      <c r="K193" s="33">
        <f t="shared" si="159"/>
        <v>227.10129898351525</v>
      </c>
      <c r="L193" s="33">
        <f t="shared" si="160"/>
        <v>0.29502253091411584</v>
      </c>
      <c r="M193" s="33">
        <f t="shared" si="161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2"/>
        <v>46951</v>
      </c>
      <c r="X193" s="9">
        <f t="shared" si="115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6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7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68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69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CY193" s="34" t="s">
        <v>86</v>
      </c>
    </row>
    <row r="194" spans="1:103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3"/>
        <v>85</v>
      </c>
      <c r="G194" s="7">
        <f t="shared" si="164"/>
        <v>8.4</v>
      </c>
      <c r="H194" s="16">
        <f t="shared" si="165"/>
        <v>8.6</v>
      </c>
      <c r="I194" s="11">
        <f t="shared" ref="I194:I257" si="170">IFERROR(F194/SQRT(F194^2+W194), "X")</f>
        <v>0.36519386578122887</v>
      </c>
      <c r="J194" s="33">
        <f t="shared" ref="J194:J257" si="171">IFERROR(SQRT((1-I194^2)/W194), "X")</f>
        <v>4.2963984209556331E-3</v>
      </c>
      <c r="K194" s="33">
        <f t="shared" si="159"/>
        <v>232.75308805685052</v>
      </c>
      <c r="L194" s="33">
        <f t="shared" si="160"/>
        <v>0.36089746736027323</v>
      </c>
      <c r="M194" s="33">
        <f t="shared" si="161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2"/>
        <v>46949</v>
      </c>
      <c r="X194" s="9">
        <f t="shared" si="115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6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7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68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69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CY194" s="34" t="s">
        <v>86</v>
      </c>
    </row>
    <row r="195" spans="1:103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3"/>
        <v>77</v>
      </c>
      <c r="G195" s="7">
        <f t="shared" si="164"/>
        <v>7.6000000000000005</v>
      </c>
      <c r="H195" s="16">
        <f t="shared" si="165"/>
        <v>7.8</v>
      </c>
      <c r="I195" s="11">
        <f t="shared" si="170"/>
        <v>0.23671027339789866</v>
      </c>
      <c r="J195" s="33">
        <f t="shared" si="171"/>
        <v>3.0741593947779043E-3</v>
      </c>
      <c r="K195" s="33">
        <f t="shared" si="159"/>
        <v>325.292176358424</v>
      </c>
      <c r="L195" s="33">
        <f t="shared" si="160"/>
        <v>0.23363611400312076</v>
      </c>
      <c r="M195" s="33">
        <f t="shared" si="161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2"/>
        <v>99886</v>
      </c>
      <c r="X195" s="9">
        <f t="shared" ref="X195:X258" si="172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3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7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68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69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CY195" s="34" t="s">
        <v>86</v>
      </c>
    </row>
    <row r="196" spans="1:103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4">D196-E196</f>
        <v>5.166666666666667</v>
      </c>
      <c r="H196" s="16">
        <f t="shared" ref="H196:H210" si="175">D196+E196</f>
        <v>5.7666666666666666</v>
      </c>
      <c r="I196" s="11">
        <f t="shared" si="170"/>
        <v>5.7562153466299747E-2</v>
      </c>
      <c r="J196" s="33">
        <f t="shared" si="171"/>
        <v>3.1588986658335223E-3</v>
      </c>
      <c r="K196" s="33">
        <f t="shared" ref="K196:K211" si="176">IFERROR(1/J196, "X")</f>
        <v>316.56602689283648</v>
      </c>
      <c r="L196" s="33">
        <f t="shared" ref="L196:L211" si="177">IFERROR(I196-J196, "X")</f>
        <v>5.4403254800466226E-2</v>
      </c>
      <c r="M196" s="33">
        <f t="shared" ref="M196:M211" si="178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2"/>
        <v>99882</v>
      </c>
      <c r="X196" s="9">
        <f t="shared" si="172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3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7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68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69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CY196" s="34" t="s">
        <v>86</v>
      </c>
    </row>
    <row r="197" spans="1:103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4"/>
        <v>6.0076408787010491</v>
      </c>
      <c r="H197" s="16">
        <f t="shared" si="175"/>
        <v>6.3256924546322812</v>
      </c>
      <c r="I197" s="11">
        <f t="shared" si="170"/>
        <v>0.12178520489602178</v>
      </c>
      <c r="J197" s="33">
        <f t="shared" si="171"/>
        <v>3.1405926764017074E-3</v>
      </c>
      <c r="K197" s="33">
        <f t="shared" si="176"/>
        <v>318.41123731643444</v>
      </c>
      <c r="L197" s="33">
        <f t="shared" si="177"/>
        <v>0.11864461221962007</v>
      </c>
      <c r="M197" s="33">
        <f t="shared" si="178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2"/>
        <v>99882</v>
      </c>
      <c r="X197" s="9">
        <f t="shared" si="172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3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79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68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69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CY197" s="34" t="s">
        <v>86</v>
      </c>
    </row>
    <row r="198" spans="1:103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4"/>
        <v>11.152951388888889</v>
      </c>
      <c r="H198" s="16">
        <f t="shared" si="175"/>
        <v>11.54704861111111</v>
      </c>
      <c r="I198" s="11">
        <f t="shared" si="170"/>
        <v>0.17930117672289239</v>
      </c>
      <c r="J198" s="33">
        <f t="shared" si="171"/>
        <v>3.1128676514391041E-3</v>
      </c>
      <c r="K198" s="33">
        <f t="shared" si="176"/>
        <v>321.24719454027922</v>
      </c>
      <c r="L198" s="33">
        <f t="shared" si="177"/>
        <v>0.17618830907145328</v>
      </c>
      <c r="M198" s="33">
        <f t="shared" si="178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2"/>
        <v>99882</v>
      </c>
      <c r="X198" s="9">
        <f t="shared" si="172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3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79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68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69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CY198" s="34" t="s">
        <v>86</v>
      </c>
    </row>
    <row r="199" spans="1:103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4"/>
        <v>12.006585365853658</v>
      </c>
      <c r="H199" s="16">
        <f t="shared" si="175"/>
        <v>12.393414634146341</v>
      </c>
      <c r="I199" s="11">
        <f t="shared" si="170"/>
        <v>0.19572435976928337</v>
      </c>
      <c r="J199" s="33">
        <f t="shared" si="171"/>
        <v>3.1029471670740048E-3</v>
      </c>
      <c r="K199" s="33">
        <f t="shared" si="176"/>
        <v>322.27425932713282</v>
      </c>
      <c r="L199" s="33">
        <f t="shared" si="177"/>
        <v>0.19262141260220936</v>
      </c>
      <c r="M199" s="33">
        <f t="shared" si="178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2"/>
        <v>99882</v>
      </c>
      <c r="X199" s="9">
        <f t="shared" si="172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3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79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68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69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CY199" s="34" t="s">
        <v>86</v>
      </c>
    </row>
    <row r="200" spans="1:103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4"/>
        <v>15.707510288065848</v>
      </c>
      <c r="H200" s="16">
        <f t="shared" si="175"/>
        <v>16.025823045267494</v>
      </c>
      <c r="I200" s="11">
        <f t="shared" si="170"/>
        <v>0.30082908983803991</v>
      </c>
      <c r="J200" s="33">
        <f t="shared" si="171"/>
        <v>3.0175757468321905E-3</v>
      </c>
      <c r="K200" s="33">
        <f t="shared" si="176"/>
        <v>331.39184693202355</v>
      </c>
      <c r="L200" s="33">
        <f t="shared" si="177"/>
        <v>0.29781151409120771</v>
      </c>
      <c r="M200" s="33">
        <f t="shared" si="178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2"/>
        <v>99882</v>
      </c>
      <c r="X200" s="9">
        <f t="shared" si="172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3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79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68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69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CY200" s="34" t="s">
        <v>86</v>
      </c>
    </row>
    <row r="201" spans="1:103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4"/>
        <v>4.3000000000000007</v>
      </c>
      <c r="H201" s="16">
        <f t="shared" si="175"/>
        <v>4.9666666666666668</v>
      </c>
      <c r="I201" s="11">
        <f t="shared" si="170"/>
        <v>5.7463430514540191E-2</v>
      </c>
      <c r="J201" s="33">
        <f t="shared" si="171"/>
        <v>4.1340597492474955E-3</v>
      </c>
      <c r="K201" s="33">
        <f t="shared" si="176"/>
        <v>241.89297220051682</v>
      </c>
      <c r="L201" s="33">
        <f t="shared" si="177"/>
        <v>5.3329370765292698E-2</v>
      </c>
      <c r="M201" s="33">
        <f t="shared" si="178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2"/>
        <v>58319</v>
      </c>
      <c r="X201" s="9">
        <f t="shared" si="172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3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79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68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69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CY201" s="34" t="s">
        <v>86</v>
      </c>
    </row>
    <row r="202" spans="1:103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4"/>
        <v>5.5961661341853031</v>
      </c>
      <c r="H202" s="16">
        <f t="shared" si="175"/>
        <v>6.0038338658146966</v>
      </c>
      <c r="I202" s="11">
        <f t="shared" si="170"/>
        <v>0.11701798882572799</v>
      </c>
      <c r="J202" s="33">
        <f t="shared" si="171"/>
        <v>4.1124532814153601E-3</v>
      </c>
      <c r="K202" s="33">
        <f t="shared" si="176"/>
        <v>243.16385660090359</v>
      </c>
      <c r="L202" s="33">
        <f t="shared" si="177"/>
        <v>0.11290553554431262</v>
      </c>
      <c r="M202" s="33">
        <f t="shared" si="178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2"/>
        <v>58319</v>
      </c>
      <c r="X202" s="9">
        <f t="shared" si="172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3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79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68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69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CY202" s="34" t="s">
        <v>86</v>
      </c>
    </row>
    <row r="203" spans="1:103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4"/>
        <v>10.06184971098266</v>
      </c>
      <c r="H203" s="16">
        <f t="shared" si="175"/>
        <v>10.538150289017342</v>
      </c>
      <c r="I203" s="11">
        <f t="shared" si="170"/>
        <v>0.17628912351109532</v>
      </c>
      <c r="J203" s="33">
        <f t="shared" si="171"/>
        <v>4.0760490985224359E-3</v>
      </c>
      <c r="K203" s="33">
        <f t="shared" si="176"/>
        <v>245.33561196858474</v>
      </c>
      <c r="L203" s="33">
        <f t="shared" si="177"/>
        <v>0.17221307441257289</v>
      </c>
      <c r="M203" s="33">
        <f t="shared" si="178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2"/>
        <v>58319</v>
      </c>
      <c r="X203" s="9">
        <f t="shared" si="172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3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79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68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69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CY203" s="34" t="s">
        <v>86</v>
      </c>
    </row>
    <row r="204" spans="1:103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4"/>
        <v>9.3704641350210949</v>
      </c>
      <c r="H204" s="16">
        <f t="shared" si="175"/>
        <v>9.8295358649789009</v>
      </c>
      <c r="I204" s="11">
        <f t="shared" si="170"/>
        <v>0.17064687625203045</v>
      </c>
      <c r="J204" s="33">
        <f t="shared" si="171"/>
        <v>4.080164411089336E-3</v>
      </c>
      <c r="K204" s="33">
        <f t="shared" si="176"/>
        <v>245.08816293827155</v>
      </c>
      <c r="L204" s="33">
        <f t="shared" si="177"/>
        <v>0.16656671184094113</v>
      </c>
      <c r="M204" s="33">
        <f t="shared" si="178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2"/>
        <v>58319</v>
      </c>
      <c r="X204" s="9">
        <f t="shared" si="172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3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79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68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69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CY204" s="34" t="s">
        <v>86</v>
      </c>
    </row>
    <row r="205" spans="1:103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4"/>
        <v>16.174003322259136</v>
      </c>
      <c r="H205" s="16">
        <f t="shared" si="175"/>
        <v>16.692663344407531</v>
      </c>
      <c r="I205" s="11">
        <f t="shared" si="170"/>
        <v>0.25380983573220656</v>
      </c>
      <c r="J205" s="33">
        <f t="shared" si="171"/>
        <v>4.0053047167042562E-3</v>
      </c>
      <c r="K205" s="33">
        <f t="shared" si="176"/>
        <v>249.66889431145322</v>
      </c>
      <c r="L205" s="33">
        <f t="shared" si="177"/>
        <v>0.24980453101550229</v>
      </c>
      <c r="M205" s="33">
        <f t="shared" si="178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2"/>
        <v>58319</v>
      </c>
      <c r="X205" s="9">
        <f t="shared" si="172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3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79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68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69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CY205" s="34" t="s">
        <v>86</v>
      </c>
    </row>
    <row r="206" spans="1:103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4"/>
        <v>5.9333333333333336</v>
      </c>
      <c r="H206" s="16">
        <f t="shared" si="175"/>
        <v>7.2666666666666675</v>
      </c>
      <c r="I206" s="11">
        <f t="shared" si="170"/>
        <v>4.8512505975795248E-2</v>
      </c>
      <c r="J206" s="33">
        <f t="shared" si="171"/>
        <v>4.9002531288682072E-3</v>
      </c>
      <c r="K206" s="33">
        <f t="shared" si="176"/>
        <v>204.0710905542478</v>
      </c>
      <c r="L206" s="33">
        <f t="shared" si="177"/>
        <v>4.361225284692704E-2</v>
      </c>
      <c r="M206" s="33">
        <f t="shared" si="178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2"/>
        <v>41547</v>
      </c>
      <c r="X206" s="9">
        <f t="shared" si="172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3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79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68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69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CY206" s="34" t="s">
        <v>86</v>
      </c>
    </row>
    <row r="207" spans="1:103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4"/>
        <v>5.893229166666667</v>
      </c>
      <c r="H207" s="16">
        <f t="shared" si="175"/>
        <v>6.5067708333333334</v>
      </c>
      <c r="I207" s="11">
        <f t="shared" si="170"/>
        <v>9.8669596470575938E-2</v>
      </c>
      <c r="J207" s="33">
        <f t="shared" si="171"/>
        <v>4.8820894087003713E-3</v>
      </c>
      <c r="K207" s="33">
        <f t="shared" si="176"/>
        <v>204.83033313931122</v>
      </c>
      <c r="L207" s="33">
        <f t="shared" si="177"/>
        <v>9.3787507061875566E-2</v>
      </c>
      <c r="M207" s="33">
        <f t="shared" si="178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2"/>
        <v>41547</v>
      </c>
      <c r="X207" s="9">
        <f t="shared" si="172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3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79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68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69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CY207" s="34" t="s">
        <v>86</v>
      </c>
    </row>
    <row r="208" spans="1:103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4"/>
        <v>12.370892018779342</v>
      </c>
      <c r="H208" s="16">
        <f t="shared" si="175"/>
        <v>13.129107981220658</v>
      </c>
      <c r="I208" s="11">
        <f t="shared" si="170"/>
        <v>0.16279640298126369</v>
      </c>
      <c r="J208" s="33">
        <f t="shared" si="171"/>
        <v>4.8405816222910954E-3</v>
      </c>
      <c r="K208" s="33">
        <f t="shared" si="176"/>
        <v>206.5867447405401</v>
      </c>
      <c r="L208" s="33">
        <f t="shared" si="177"/>
        <v>0.1579558213589726</v>
      </c>
      <c r="M208" s="33">
        <f t="shared" si="178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2"/>
        <v>41547</v>
      </c>
      <c r="X208" s="9">
        <f t="shared" si="172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3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79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68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69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CY208" s="34" t="s">
        <v>86</v>
      </c>
    </row>
    <row r="209" spans="1:103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4"/>
        <v>14.288465665236053</v>
      </c>
      <c r="H209" s="16">
        <f t="shared" si="175"/>
        <v>15.011534334763951</v>
      </c>
      <c r="I209" s="11">
        <f t="shared" si="170"/>
        <v>0.19498510876513081</v>
      </c>
      <c r="J209" s="33">
        <f t="shared" si="171"/>
        <v>4.8118642721008669E-3</v>
      </c>
      <c r="K209" s="33">
        <f t="shared" si="176"/>
        <v>207.81966062467481</v>
      </c>
      <c r="L209" s="33">
        <f t="shared" si="177"/>
        <v>0.19017324449302994</v>
      </c>
      <c r="M209" s="33">
        <f t="shared" si="178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2"/>
        <v>41547</v>
      </c>
      <c r="X209" s="9">
        <f t="shared" si="172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3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79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68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69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CY209" s="34" t="s">
        <v>86</v>
      </c>
    </row>
    <row r="210" spans="1:103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4"/>
        <v>14.893121693121689</v>
      </c>
      <c r="H210" s="56">
        <f t="shared" si="175"/>
        <v>15.37354497354497</v>
      </c>
      <c r="I210" s="57">
        <f t="shared" si="170"/>
        <v>0.29529663976656012</v>
      </c>
      <c r="J210" s="58">
        <f t="shared" si="171"/>
        <v>4.6872482502628588E-3</v>
      </c>
      <c r="K210" s="58">
        <f t="shared" si="176"/>
        <v>213.34479135896427</v>
      </c>
      <c r="L210" s="58">
        <f t="shared" si="177"/>
        <v>0.29060939151629728</v>
      </c>
      <c r="M210" s="58">
        <f t="shared" si="178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2"/>
        <v>41547</v>
      </c>
      <c r="X210" s="60">
        <f t="shared" si="172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3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79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68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69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X210" s="52"/>
      <c r="CY210" s="68" t="s">
        <v>86</v>
      </c>
    </row>
    <row r="211" spans="1:103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0">D211-E211</f>
        <v>2.6883495145631064</v>
      </c>
      <c r="H211" s="16">
        <f t="shared" ref="H211" si="181">D211+E211</f>
        <v>4.4116504854368932</v>
      </c>
      <c r="I211" s="11">
        <f t="shared" si="170"/>
        <v>7.3536563247082132E-2</v>
      </c>
      <c r="J211" s="33">
        <f t="shared" si="171"/>
        <v>1.7848680399777217E-2</v>
      </c>
      <c r="K211" s="33">
        <f t="shared" si="176"/>
        <v>56.026550848682447</v>
      </c>
      <c r="L211" s="33">
        <f t="shared" si="177"/>
        <v>5.5687882847304915E-2</v>
      </c>
      <c r="M211" s="33">
        <f t="shared" si="178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2"/>
        <v>3122</v>
      </c>
      <c r="X211" s="9">
        <f t="shared" si="172"/>
        <v>48</v>
      </c>
      <c r="Y211" s="7">
        <v>9.8249999999999993</v>
      </c>
      <c r="Z211" s="7">
        <f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3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68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CY211" s="34" t="s">
        <v>86</v>
      </c>
    </row>
    <row r="212" spans="1:103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2">D212-E212</f>
        <v>3.2294294294294295</v>
      </c>
      <c r="H212" s="16">
        <f t="shared" ref="H212:H226" si="183">D212+E212</f>
        <v>4.3705705705705702</v>
      </c>
      <c r="I212" s="11">
        <f t="shared" si="170"/>
        <v>0.11835711912237924</v>
      </c>
      <c r="J212" s="33">
        <f t="shared" si="171"/>
        <v>1.7771339207564449E-2</v>
      </c>
      <c r="K212" s="33">
        <f t="shared" ref="K212:K228" si="184">IFERROR(1/J212, "X")</f>
        <v>56.270379419371253</v>
      </c>
      <c r="L212" s="33">
        <f t="shared" ref="L212:L228" si="185">IFERROR(I212-J212, "X")</f>
        <v>0.10058577991481479</v>
      </c>
      <c r="M212" s="33">
        <f t="shared" ref="M212:M228" si="186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2"/>
        <v>3122</v>
      </c>
      <c r="X212" s="9">
        <f t="shared" si="172"/>
        <v>48</v>
      </c>
      <c r="Y212" s="7">
        <v>9.8249999999999993</v>
      </c>
      <c r="Z212" s="7">
        <f>BQ212-Y212-6</f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3"/>
        <v>7.5968944381445436</v>
      </c>
      <c r="AN212" s="33">
        <f t="shared" ref="AN212:AN225" si="187">(1-AO212-AP212)/2</f>
        <v>0.26250000000000001</v>
      </c>
      <c r="AO212" s="33">
        <v>0.25</v>
      </c>
      <c r="AP212" s="33">
        <v>0.22500000000000001</v>
      </c>
      <c r="AQ212" s="43">
        <f t="shared" ref="AQ212:AQ226" si="188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68"/>
        <v>1</v>
      </c>
      <c r="AX212">
        <v>0.38</v>
      </c>
      <c r="AY212" s="40">
        <v>0.62</v>
      </c>
      <c r="BA212" s="18"/>
      <c r="BB212">
        <f t="shared" ref="BB212:BB258" si="189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CY212" s="34" t="s">
        <v>86</v>
      </c>
    </row>
    <row r="213" spans="1:103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2"/>
        <v>6.0727031509121066</v>
      </c>
      <c r="H213" s="16">
        <f t="shared" si="183"/>
        <v>8.4872968490878939</v>
      </c>
      <c r="I213" s="11">
        <f t="shared" si="170"/>
        <v>0.10729671724387244</v>
      </c>
      <c r="J213" s="33">
        <f t="shared" si="171"/>
        <v>1.7793817121703553E-2</v>
      </c>
      <c r="K213" s="33">
        <f t="shared" si="184"/>
        <v>56.199296258939043</v>
      </c>
      <c r="L213" s="33">
        <f t="shared" si="185"/>
        <v>8.9502900122168882E-2</v>
      </c>
      <c r="M213" s="33">
        <f t="shared" si="186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2"/>
        <v>3122</v>
      </c>
      <c r="X213" s="9">
        <f t="shared" si="172"/>
        <v>48</v>
      </c>
      <c r="Y213" s="7">
        <v>9.8249999999999993</v>
      </c>
      <c r="Z213" s="7">
        <f>BQ213-Y213-6</f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3"/>
        <v>7.5968944381445436</v>
      </c>
      <c r="AN213" s="33">
        <f t="shared" si="187"/>
        <v>0.26250000000000001</v>
      </c>
      <c r="AO213" s="33">
        <v>0.25</v>
      </c>
      <c r="AP213" s="33">
        <v>0.22500000000000001</v>
      </c>
      <c r="AQ213" s="43">
        <f t="shared" si="188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68"/>
        <v>1</v>
      </c>
      <c r="AX213">
        <v>0.38</v>
      </c>
      <c r="AY213" s="40">
        <v>0.62</v>
      </c>
      <c r="BA213" s="18"/>
      <c r="BB213">
        <f t="shared" si="189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CY213" s="34" t="s">
        <v>86</v>
      </c>
    </row>
    <row r="214" spans="1:103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2"/>
        <v>8.0272189349112431</v>
      </c>
      <c r="H214" s="16">
        <f t="shared" si="183"/>
        <v>14.772781065088758</v>
      </c>
      <c r="I214" s="11">
        <f t="shared" si="170"/>
        <v>6.0381943826493679E-2</v>
      </c>
      <c r="J214" s="33">
        <f t="shared" si="171"/>
        <v>1.7864480422039548E-2</v>
      </c>
      <c r="K214" s="33">
        <f t="shared" si="184"/>
        <v>55.976998847741029</v>
      </c>
      <c r="L214" s="33">
        <f t="shared" si="185"/>
        <v>4.2517463404454128E-2</v>
      </c>
      <c r="M214" s="33">
        <f t="shared" si="186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2"/>
        <v>3122</v>
      </c>
      <c r="X214" s="9">
        <f t="shared" si="172"/>
        <v>48</v>
      </c>
      <c r="Y214" s="7">
        <v>9.8249999999999993</v>
      </c>
      <c r="Z214" s="7">
        <f>BQ214-Y214-6</f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3"/>
        <v>7.5968944381445436</v>
      </c>
      <c r="AN214" s="33">
        <f t="shared" si="187"/>
        <v>0.26250000000000001</v>
      </c>
      <c r="AO214" s="33">
        <v>0.25</v>
      </c>
      <c r="AP214" s="33">
        <v>0.22500000000000001</v>
      </c>
      <c r="AQ214" s="43">
        <f t="shared" si="188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68"/>
        <v>1</v>
      </c>
      <c r="AX214">
        <v>0.38</v>
      </c>
      <c r="AY214" s="40">
        <v>0.62</v>
      </c>
      <c r="BA214" s="18"/>
      <c r="BB214">
        <f t="shared" si="189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CY214" s="34" t="s">
        <v>86</v>
      </c>
    </row>
    <row r="215" spans="1:103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2"/>
        <v>-0.43333333333333335</v>
      </c>
      <c r="H215" s="16">
        <f t="shared" si="183"/>
        <v>1.2333333333333334</v>
      </c>
      <c r="I215" s="11">
        <f t="shared" si="170"/>
        <v>8.3440660789958192E-3</v>
      </c>
      <c r="J215" s="33">
        <f t="shared" si="171"/>
        <v>1.7383470997907959E-2</v>
      </c>
      <c r="K215" s="33">
        <f t="shared" si="184"/>
        <v>57.525910683795345</v>
      </c>
      <c r="L215" s="33">
        <f t="shared" si="185"/>
        <v>-9.03940491891214E-3</v>
      </c>
      <c r="M215" s="33">
        <f t="shared" si="186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2"/>
        <v>3309</v>
      </c>
      <c r="X215" s="9">
        <f t="shared" si="172"/>
        <v>48</v>
      </c>
      <c r="Y215" s="7">
        <v>10.520000000000001</v>
      </c>
      <c r="Z215" s="7">
        <f>BQ215-Y215-6</f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3"/>
        <v>7.5968944381445436</v>
      </c>
      <c r="AN215" s="33">
        <f t="shared" si="187"/>
        <v>0.17</v>
      </c>
      <c r="AO215" s="33">
        <v>0.2</v>
      </c>
      <c r="AP215" s="33">
        <v>0.46</v>
      </c>
      <c r="AQ215" s="43">
        <f t="shared" si="188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68"/>
        <v>0</v>
      </c>
      <c r="AX215">
        <v>0.31</v>
      </c>
      <c r="AY215" s="40">
        <v>0.69</v>
      </c>
      <c r="BA215" s="18"/>
      <c r="BB215">
        <f t="shared" si="189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CY215" s="34" t="s">
        <v>86</v>
      </c>
    </row>
    <row r="216" spans="1:103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2"/>
        <v>3.17138403990025</v>
      </c>
      <c r="H216" s="16">
        <f t="shared" si="183"/>
        <v>5.2786159600997511</v>
      </c>
      <c r="I216" s="11">
        <f t="shared" si="170"/>
        <v>6.9541381927090723E-2</v>
      </c>
      <c r="J216" s="33">
        <f t="shared" si="171"/>
        <v>1.7341990505508911E-2</v>
      </c>
      <c r="K216" s="33">
        <f t="shared" si="184"/>
        <v>57.663507524256623</v>
      </c>
      <c r="L216" s="33">
        <f t="shared" si="185"/>
        <v>5.2199391421581809E-2</v>
      </c>
      <c r="M216" s="33">
        <f t="shared" si="186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2"/>
        <v>3309</v>
      </c>
      <c r="X216" s="9">
        <f t="shared" si="172"/>
        <v>48</v>
      </c>
      <c r="Y216" s="7">
        <v>10.520000000000001</v>
      </c>
      <c r="Z216" s="7">
        <f>BQ216-Y216-6</f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3"/>
        <v>7.5968944381445436</v>
      </c>
      <c r="AN216" s="33">
        <f t="shared" si="187"/>
        <v>0.17</v>
      </c>
      <c r="AO216" s="33">
        <v>0.2</v>
      </c>
      <c r="AP216" s="33">
        <v>0.46</v>
      </c>
      <c r="AQ216" s="43">
        <f t="shared" si="188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68"/>
        <v>0</v>
      </c>
      <c r="AX216">
        <v>0.31</v>
      </c>
      <c r="AY216" s="40">
        <v>0.69</v>
      </c>
      <c r="BA216" s="18"/>
      <c r="BB216">
        <f t="shared" si="189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CY216" s="34" t="s">
        <v>86</v>
      </c>
    </row>
    <row r="217" spans="1:103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2"/>
        <v>6.2888888888888879</v>
      </c>
      <c r="H217" s="16">
        <f t="shared" si="183"/>
        <v>8.5111111111111093</v>
      </c>
      <c r="I217" s="11">
        <f t="shared" si="170"/>
        <v>0.1150096877331656</v>
      </c>
      <c r="J217" s="33">
        <f t="shared" si="171"/>
        <v>1.7268721881856693E-2</v>
      </c>
      <c r="K217" s="33">
        <f t="shared" si="184"/>
        <v>57.908165227366688</v>
      </c>
      <c r="L217" s="33">
        <f t="shared" si="185"/>
        <v>9.7740965851308897E-2</v>
      </c>
      <c r="M217" s="33">
        <f t="shared" si="186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2"/>
        <v>3309</v>
      </c>
      <c r="X217" s="9">
        <f t="shared" si="172"/>
        <v>48</v>
      </c>
      <c r="Y217" s="7">
        <v>10.520000000000001</v>
      </c>
      <c r="Z217" s="7">
        <f>BQ217-Y217-6</f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3"/>
        <v>7.5968944381445436</v>
      </c>
      <c r="AN217" s="33">
        <f t="shared" si="187"/>
        <v>0.17</v>
      </c>
      <c r="AO217" s="33">
        <v>0.2</v>
      </c>
      <c r="AP217" s="33">
        <v>0.46</v>
      </c>
      <c r="AQ217" s="43">
        <f t="shared" si="188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68"/>
        <v>0</v>
      </c>
      <c r="AX217">
        <v>0.31</v>
      </c>
      <c r="AY217" s="40">
        <v>0.69</v>
      </c>
      <c r="BA217" s="18"/>
      <c r="BB217">
        <f t="shared" si="189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CY217" s="34" t="s">
        <v>86</v>
      </c>
    </row>
    <row r="218" spans="1:103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2"/>
        <v>11.001742551995502</v>
      </c>
      <c r="H218" s="16">
        <f t="shared" si="183"/>
        <v>15.464924114671163</v>
      </c>
      <c r="I218" s="11">
        <f t="shared" si="170"/>
        <v>0.10254414096067127</v>
      </c>
      <c r="J218" s="33">
        <f t="shared" si="171"/>
        <v>1.7292435237887233E-2</v>
      </c>
      <c r="K218" s="33">
        <f t="shared" si="184"/>
        <v>57.828754958065623</v>
      </c>
      <c r="L218" s="33">
        <f t="shared" si="185"/>
        <v>8.5251705722784038E-2</v>
      </c>
      <c r="M218" s="33">
        <f t="shared" si="186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2"/>
        <v>3309</v>
      </c>
      <c r="X218" s="9">
        <f t="shared" si="172"/>
        <v>48</v>
      </c>
      <c r="Y218" s="7">
        <v>10.520000000000001</v>
      </c>
      <c r="Z218" s="7">
        <f>BQ218-Y218-6</f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3"/>
        <v>7.5968944381445436</v>
      </c>
      <c r="AN218" s="33">
        <f t="shared" si="187"/>
        <v>0.17</v>
      </c>
      <c r="AO218" s="33">
        <v>0.2</v>
      </c>
      <c r="AP218" s="33">
        <v>0.46</v>
      </c>
      <c r="AQ218" s="43">
        <f t="shared" si="188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68"/>
        <v>0</v>
      </c>
      <c r="AX218">
        <v>0.31</v>
      </c>
      <c r="AY218" s="40">
        <v>0.69</v>
      </c>
      <c r="BA218" s="18"/>
      <c r="BB218">
        <f t="shared" si="189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CY218" s="34" t="s">
        <v>86</v>
      </c>
    </row>
    <row r="219" spans="1:103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2"/>
        <v>3.8558352402745997</v>
      </c>
      <c r="H219" s="16">
        <f t="shared" si="183"/>
        <v>6.1441647597254008</v>
      </c>
      <c r="I219" s="11">
        <f t="shared" si="170"/>
        <v>9.2496418034845096E-2</v>
      </c>
      <c r="J219" s="33">
        <f t="shared" si="171"/>
        <v>2.1166228383259746E-2</v>
      </c>
      <c r="K219" s="33">
        <f t="shared" si="184"/>
        <v>47.245072758966096</v>
      </c>
      <c r="L219" s="33">
        <f t="shared" si="185"/>
        <v>7.1330189651585357E-2</v>
      </c>
      <c r="M219" s="33">
        <f t="shared" si="186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2"/>
        <v>2213</v>
      </c>
      <c r="X219" s="9">
        <f t="shared" si="172"/>
        <v>48</v>
      </c>
      <c r="Y219" s="7">
        <v>9.8450000000000006</v>
      </c>
      <c r="Z219" s="7">
        <f>BQ219-Y219-6</f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3"/>
        <v>7.6004023345003997</v>
      </c>
      <c r="AN219" s="33">
        <f t="shared" si="187"/>
        <v>0.19249999999999998</v>
      </c>
      <c r="AO219" s="33">
        <v>0.28999999999999998</v>
      </c>
      <c r="AP219" s="33">
        <v>0.32500000000000001</v>
      </c>
      <c r="AQ219" s="43">
        <f t="shared" si="188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68"/>
        <v>1</v>
      </c>
      <c r="AX219">
        <v>0.38</v>
      </c>
      <c r="AY219" s="40">
        <v>0.62</v>
      </c>
      <c r="BA219" s="18"/>
      <c r="BB219">
        <f t="shared" si="189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CY219" s="34" t="s">
        <v>86</v>
      </c>
    </row>
    <row r="220" spans="1:103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2"/>
        <v>3.4224550898203594</v>
      </c>
      <c r="H220" s="16">
        <f t="shared" si="183"/>
        <v>4.6275449101796413</v>
      </c>
      <c r="I220" s="11">
        <f t="shared" si="170"/>
        <v>0.1405888277505167</v>
      </c>
      <c r="J220" s="33">
        <f t="shared" si="171"/>
        <v>2.1046231699179154E-2</v>
      </c>
      <c r="K220" s="33">
        <f t="shared" si="184"/>
        <v>47.514444119656922</v>
      </c>
      <c r="L220" s="33">
        <f t="shared" si="185"/>
        <v>0.11954259605133755</v>
      </c>
      <c r="M220" s="33">
        <f t="shared" si="186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2"/>
        <v>2213</v>
      </c>
      <c r="X220" s="9">
        <f t="shared" si="172"/>
        <v>48</v>
      </c>
      <c r="Y220" s="7">
        <v>9.8450000000000006</v>
      </c>
      <c r="Z220" s="7">
        <f>BQ220-Y220-6</f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3"/>
        <v>7.6004023345003997</v>
      </c>
      <c r="AN220" s="33">
        <f t="shared" si="187"/>
        <v>0.19249999999999998</v>
      </c>
      <c r="AO220" s="33">
        <v>0.28999999999999998</v>
      </c>
      <c r="AP220" s="33">
        <v>0.32500000000000001</v>
      </c>
      <c r="AQ220" s="43">
        <f t="shared" si="188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68"/>
        <v>1</v>
      </c>
      <c r="AX220">
        <v>0.38</v>
      </c>
      <c r="AY220" s="40">
        <v>0.62</v>
      </c>
      <c r="BA220" s="18"/>
      <c r="BB220">
        <f t="shared" si="189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CY220" s="34" t="s">
        <v>86</v>
      </c>
    </row>
    <row r="221" spans="1:103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2"/>
        <v>10.018489871086555</v>
      </c>
      <c r="H221" s="16">
        <f t="shared" si="183"/>
        <v>14.541510128913441</v>
      </c>
      <c r="I221" s="11">
        <f t="shared" si="170"/>
        <v>0.11466610641194247</v>
      </c>
      <c r="J221" s="33">
        <f t="shared" si="171"/>
        <v>2.1117146668866014E-2</v>
      </c>
      <c r="K221" s="33">
        <f t="shared" si="184"/>
        <v>47.354882536017342</v>
      </c>
      <c r="L221" s="33">
        <f t="shared" si="185"/>
        <v>9.3548959743076449E-2</v>
      </c>
      <c r="M221" s="33">
        <f t="shared" si="186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2"/>
        <v>2213</v>
      </c>
      <c r="X221" s="9">
        <f t="shared" si="172"/>
        <v>48</v>
      </c>
      <c r="Y221" s="7">
        <v>9.8450000000000006</v>
      </c>
      <c r="Z221" s="7">
        <f>BQ221-Y221-6</f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3"/>
        <v>7.6004023345003997</v>
      </c>
      <c r="AN221" s="33">
        <f t="shared" si="187"/>
        <v>0.19249999999999998</v>
      </c>
      <c r="AO221" s="33">
        <v>0.28999999999999998</v>
      </c>
      <c r="AP221" s="33">
        <v>0.32500000000000001</v>
      </c>
      <c r="AQ221" s="43">
        <f t="shared" si="188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68"/>
        <v>1</v>
      </c>
      <c r="AX221">
        <v>0.38</v>
      </c>
      <c r="AY221" s="40">
        <v>0.62</v>
      </c>
      <c r="BA221" s="18"/>
      <c r="BB221">
        <f t="shared" si="189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CY221" s="34" t="s">
        <v>86</v>
      </c>
    </row>
    <row r="222" spans="1:103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2"/>
        <v>13.061815561959655</v>
      </c>
      <c r="H222" s="16">
        <f t="shared" si="183"/>
        <v>23.638184438040348</v>
      </c>
      <c r="I222" s="11">
        <f t="shared" si="170"/>
        <v>7.3563176755564369E-2</v>
      </c>
      <c r="J222" s="33">
        <f t="shared" si="171"/>
        <v>2.1199762753764943E-2</v>
      </c>
      <c r="K222" s="33">
        <f t="shared" si="184"/>
        <v>47.17033919742363</v>
      </c>
      <c r="L222" s="33">
        <f t="shared" si="185"/>
        <v>5.2363414001799426E-2</v>
      </c>
      <c r="M222" s="33">
        <f t="shared" si="186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2"/>
        <v>2213</v>
      </c>
      <c r="X222" s="9">
        <f t="shared" si="172"/>
        <v>48</v>
      </c>
      <c r="Y222" s="7">
        <v>9.8450000000000006</v>
      </c>
      <c r="Z222" s="7">
        <f>BQ222-Y222-6</f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3"/>
        <v>7.6004023345003997</v>
      </c>
      <c r="AN222" s="33">
        <f t="shared" si="187"/>
        <v>0.19249999999999998</v>
      </c>
      <c r="AO222" s="33">
        <v>0.28999999999999998</v>
      </c>
      <c r="AP222" s="33">
        <v>0.32500000000000001</v>
      </c>
      <c r="AQ222" s="43">
        <f t="shared" si="188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68"/>
        <v>1</v>
      </c>
      <c r="AX222">
        <v>0.38</v>
      </c>
      <c r="AY222" s="40">
        <v>0.62</v>
      </c>
      <c r="BA222" s="18"/>
      <c r="BB222">
        <f t="shared" si="189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CY222" s="34" t="s">
        <v>86</v>
      </c>
    </row>
    <row r="223" spans="1:103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2"/>
        <v>-0.12857142857142856</v>
      </c>
      <c r="H223" s="16">
        <f t="shared" si="183"/>
        <v>2.7285714285714286</v>
      </c>
      <c r="I223" s="11">
        <f t="shared" si="170"/>
        <v>2.1987937949940178E-2</v>
      </c>
      <c r="J223" s="33">
        <f t="shared" si="171"/>
        <v>2.4162569175758434E-2</v>
      </c>
      <c r="K223" s="33">
        <f t="shared" si="184"/>
        <v>41.386327452432887</v>
      </c>
      <c r="L223" s="33">
        <f t="shared" si="185"/>
        <v>-2.1746312258182562E-3</v>
      </c>
      <c r="M223" s="33">
        <f t="shared" si="186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2"/>
        <v>1712</v>
      </c>
      <c r="X223" s="9">
        <f t="shared" si="172"/>
        <v>48</v>
      </c>
      <c r="Y223" s="7">
        <v>10.525</v>
      </c>
      <c r="Z223" s="7">
        <f>BQ223-Y223-6</f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3"/>
        <v>7.6004023345003997</v>
      </c>
      <c r="AN223" s="33">
        <f t="shared" si="187"/>
        <v>0.12</v>
      </c>
      <c r="AO223" s="33">
        <v>0.23</v>
      </c>
      <c r="AP223" s="33">
        <v>0.53</v>
      </c>
      <c r="AQ223" s="43">
        <f t="shared" si="188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68"/>
        <v>0</v>
      </c>
      <c r="AX223">
        <v>0.31</v>
      </c>
      <c r="AY223" s="40">
        <v>0.69</v>
      </c>
      <c r="BA223" s="18"/>
      <c r="BB223">
        <f t="shared" si="189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CY223" s="34" t="s">
        <v>86</v>
      </c>
    </row>
    <row r="224" spans="1:103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2"/>
        <v>4.1306994818652845</v>
      </c>
      <c r="H224" s="16">
        <f t="shared" si="183"/>
        <v>7.0193005181347141</v>
      </c>
      <c r="I224" s="11">
        <f t="shared" si="170"/>
        <v>9.2886748403319508E-2</v>
      </c>
      <c r="J224" s="33">
        <f t="shared" si="171"/>
        <v>2.4063924456818524E-2</v>
      </c>
      <c r="K224" s="33">
        <f t="shared" si="184"/>
        <v>41.555981518910123</v>
      </c>
      <c r="L224" s="33">
        <f t="shared" si="185"/>
        <v>6.882282394650098E-2</v>
      </c>
      <c r="M224" s="33">
        <f t="shared" si="186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2"/>
        <v>1712</v>
      </c>
      <c r="X224" s="9">
        <f t="shared" si="172"/>
        <v>48</v>
      </c>
      <c r="Y224" s="7">
        <v>10.525</v>
      </c>
      <c r="Z224" s="7">
        <f>BQ224-Y224-6</f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3"/>
        <v>7.6004023345003997</v>
      </c>
      <c r="AN224" s="33">
        <f t="shared" si="187"/>
        <v>0.12</v>
      </c>
      <c r="AO224" s="33">
        <v>0.23</v>
      </c>
      <c r="AP224" s="33">
        <v>0.53</v>
      </c>
      <c r="AQ224" s="43">
        <f t="shared" si="188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68"/>
        <v>0</v>
      </c>
      <c r="AX224">
        <v>0.31</v>
      </c>
      <c r="AY224" s="40">
        <v>0.69</v>
      </c>
      <c r="BA224" s="18"/>
      <c r="BB224">
        <f t="shared" si="189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CY224" s="34" t="s">
        <v>86</v>
      </c>
    </row>
    <row r="225" spans="1:103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2"/>
        <v>4.3682242990654201</v>
      </c>
      <c r="H225" s="16">
        <f t="shared" si="183"/>
        <v>7.0317757009345785</v>
      </c>
      <c r="I225" s="11">
        <f t="shared" si="170"/>
        <v>0.10289179789375939</v>
      </c>
      <c r="J225" s="33">
        <f t="shared" si="171"/>
        <v>2.4040139694803595E-2</v>
      </c>
      <c r="K225" s="33">
        <f t="shared" si="184"/>
        <v>41.59709605248905</v>
      </c>
      <c r="L225" s="33">
        <f t="shared" si="185"/>
        <v>7.8851658198955801E-2</v>
      </c>
      <c r="M225" s="33">
        <f t="shared" si="186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2"/>
        <v>1712</v>
      </c>
      <c r="X225" s="9">
        <f t="shared" si="172"/>
        <v>48</v>
      </c>
      <c r="Y225" s="7">
        <v>10.525</v>
      </c>
      <c r="Z225" s="7">
        <f>BQ225-Y225-6</f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3"/>
        <v>7.6004023345003997</v>
      </c>
      <c r="AN225" s="33">
        <f t="shared" si="187"/>
        <v>0.12</v>
      </c>
      <c r="AO225" s="33">
        <v>0.23</v>
      </c>
      <c r="AP225" s="33">
        <v>0.53</v>
      </c>
      <c r="AQ225" s="43">
        <f t="shared" si="188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68"/>
        <v>0</v>
      </c>
      <c r="AX225">
        <v>0.31</v>
      </c>
      <c r="AY225" s="40">
        <v>0.69</v>
      </c>
      <c r="BA225" s="18"/>
      <c r="BB225">
        <f t="shared" si="189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CY225" s="34" t="s">
        <v>86</v>
      </c>
    </row>
    <row r="226" spans="1:103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2"/>
        <v>14.809318996415772</v>
      </c>
      <c r="H226" s="16">
        <f t="shared" si="183"/>
        <v>22.924014336917562</v>
      </c>
      <c r="I226" s="11">
        <f t="shared" si="170"/>
        <v>0.11168007204614576</v>
      </c>
      <c r="J226" s="33">
        <f t="shared" si="171"/>
        <v>2.4017219794870051E-2</v>
      </c>
      <c r="K226" s="33">
        <f t="shared" si="184"/>
        <v>41.636792623832115</v>
      </c>
      <c r="L226" s="33">
        <f t="shared" si="185"/>
        <v>8.7662852251275708E-2</v>
      </c>
      <c r="M226" s="33">
        <f t="shared" si="186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2"/>
        <v>1712</v>
      </c>
      <c r="X226" s="9">
        <f t="shared" si="172"/>
        <v>48</v>
      </c>
      <c r="Y226" s="7">
        <v>10.53</v>
      </c>
      <c r="Z226" s="7">
        <f>BQ226-Y226-6</f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3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88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68"/>
        <v>0</v>
      </c>
      <c r="AX226">
        <v>0.31</v>
      </c>
      <c r="AY226" s="40">
        <v>0.69</v>
      </c>
      <c r="BA226" s="18"/>
      <c r="BB226">
        <f t="shared" si="189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CY226" s="34" t="s">
        <v>86</v>
      </c>
    </row>
    <row r="227" spans="1:103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0">D227-E227</f>
        <v>2.3401907356948231</v>
      </c>
      <c r="H227" s="16">
        <f t="shared" ref="H227:H228" si="191">D227+E227</f>
        <v>4.0931425976385105</v>
      </c>
      <c r="I227" s="11">
        <f t="shared" si="170"/>
        <v>6.5656535286206769E-2</v>
      </c>
      <c r="J227" s="33">
        <f t="shared" si="171"/>
        <v>1.7890064110683043E-2</v>
      </c>
      <c r="K227" s="33">
        <f t="shared" si="184"/>
        <v>55.896948932835322</v>
      </c>
      <c r="L227" s="33">
        <f t="shared" si="185"/>
        <v>4.7766471175523725E-2</v>
      </c>
      <c r="M227" s="33">
        <f t="shared" si="186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2"/>
        <v>3111</v>
      </c>
      <c r="X227" s="9">
        <f t="shared" si="172"/>
        <v>48</v>
      </c>
      <c r="Y227" s="7">
        <v>9.8249999999999993</v>
      </c>
      <c r="Z227" s="7">
        <f>BQ227-Y227-6</f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3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68"/>
        <v>1</v>
      </c>
      <c r="AX227">
        <v>0.38</v>
      </c>
      <c r="AY227" s="40">
        <v>0.62</v>
      </c>
      <c r="BA227" s="18"/>
      <c r="BB227">
        <f t="shared" si="189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CY227" s="34" t="s">
        <v>86</v>
      </c>
    </row>
    <row r="228" spans="1:103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0"/>
        <v>3.0583892617449671</v>
      </c>
      <c r="H228" s="16">
        <f t="shared" si="191"/>
        <v>4.2916107382550344</v>
      </c>
      <c r="I228" s="11">
        <f t="shared" si="170"/>
        <v>0.10625048008086853</v>
      </c>
      <c r="J228" s="33">
        <f t="shared" si="171"/>
        <v>1.7827261758534989E-2</v>
      </c>
      <c r="K228" s="33">
        <f t="shared" si="184"/>
        <v>56.093864192084325</v>
      </c>
      <c r="L228" s="33">
        <f t="shared" si="185"/>
        <v>8.8423218322333547E-2</v>
      </c>
      <c r="M228" s="33">
        <f t="shared" si="186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2"/>
        <v>3111</v>
      </c>
      <c r="X228" s="9">
        <f t="shared" si="172"/>
        <v>48</v>
      </c>
      <c r="Y228" s="7">
        <v>9.8249999999999993</v>
      </c>
      <c r="Z228" s="7">
        <f>BQ228-Y228-6</f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3"/>
        <v>7.5968944381445436</v>
      </c>
      <c r="AN228" s="33">
        <f t="shared" ref="AN228:AN230" si="192">(1-AO228-AP228)/2</f>
        <v>0.26250000000000001</v>
      </c>
      <c r="AO228" s="33">
        <v>0.25</v>
      </c>
      <c r="AP228" s="33">
        <v>0.22500000000000001</v>
      </c>
      <c r="AQ228" s="43">
        <f t="shared" ref="AQ228:AQ230" si="193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68"/>
        <v>1</v>
      </c>
      <c r="AX228">
        <v>0.38</v>
      </c>
      <c r="AY228" s="40">
        <v>0.62</v>
      </c>
      <c r="BA228" s="18"/>
      <c r="BB228">
        <f t="shared" si="189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CY228" s="34" t="s">
        <v>86</v>
      </c>
    </row>
    <row r="229" spans="1:103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4">D229-E229</f>
        <v>5.7364620938628139</v>
      </c>
      <c r="H229" s="16">
        <f t="shared" ref="H229:H258" si="195">D229+E229</f>
        <v>8.2635379061371825</v>
      </c>
      <c r="I229" s="11">
        <f t="shared" si="170"/>
        <v>9.8838919550565105E-2</v>
      </c>
      <c r="J229" s="33">
        <f t="shared" si="171"/>
        <v>1.7840960207683235E-2</v>
      </c>
      <c r="K229" s="33">
        <f t="shared" ref="K229:K278" si="196">IFERROR(1/J229, "X")</f>
        <v>56.050794820412669</v>
      </c>
      <c r="L229" s="33">
        <f t="shared" ref="L229:L278" si="197">IFERROR(I229-J229, "X")</f>
        <v>8.099795934288187E-2</v>
      </c>
      <c r="M229" s="33">
        <f t="shared" ref="M229:M278" si="198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199">U229-V229-1</f>
        <v>3111</v>
      </c>
      <c r="X229" s="9">
        <f t="shared" si="172"/>
        <v>48</v>
      </c>
      <c r="Y229" s="7">
        <v>9.8249999999999993</v>
      </c>
      <c r="Z229" s="7">
        <f>BQ229-Y229-6</f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3"/>
        <v>7.5968944381445436</v>
      </c>
      <c r="AN229" s="33">
        <f t="shared" si="192"/>
        <v>0.26250000000000001</v>
      </c>
      <c r="AO229" s="33">
        <v>0.25</v>
      </c>
      <c r="AP229" s="33">
        <v>0.22500000000000001</v>
      </c>
      <c r="AQ229" s="43">
        <f t="shared" si="193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68"/>
        <v>1</v>
      </c>
      <c r="AX229">
        <v>0.38</v>
      </c>
      <c r="AY229" s="40">
        <v>0.62</v>
      </c>
      <c r="BA229" s="18"/>
      <c r="BB229">
        <f t="shared" si="189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CY229" s="34" t="s">
        <v>86</v>
      </c>
    </row>
    <row r="230" spans="1:103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4"/>
        <v>7.8221881390593051</v>
      </c>
      <c r="H230" s="16">
        <f t="shared" si="195"/>
        <v>14.744478527607365</v>
      </c>
      <c r="I230" s="11">
        <f t="shared" si="170"/>
        <v>5.834814507735156E-2</v>
      </c>
      <c r="J230" s="33">
        <f t="shared" si="171"/>
        <v>1.7898204011457534E-2</v>
      </c>
      <c r="K230" s="33">
        <f t="shared" si="196"/>
        <v>55.871527632596546</v>
      </c>
      <c r="L230" s="33">
        <f t="shared" si="197"/>
        <v>4.0449941065894029E-2</v>
      </c>
      <c r="M230" s="33">
        <f t="shared" si="198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199"/>
        <v>3111</v>
      </c>
      <c r="X230" s="9">
        <f t="shared" si="172"/>
        <v>48</v>
      </c>
      <c r="Y230" s="7">
        <v>9.8249999999999993</v>
      </c>
      <c r="Z230" s="7">
        <f>BQ230-Y230-6</f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3"/>
        <v>7.5968944381445436</v>
      </c>
      <c r="AN230" s="33">
        <f t="shared" si="192"/>
        <v>0.26250000000000001</v>
      </c>
      <c r="AO230" s="33">
        <v>0.25</v>
      </c>
      <c r="AP230" s="33">
        <v>0.22500000000000001</v>
      </c>
      <c r="AQ230" s="43">
        <f t="shared" si="193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68"/>
        <v>1</v>
      </c>
      <c r="AX230">
        <v>0.38</v>
      </c>
      <c r="AY230" s="40">
        <v>0.62</v>
      </c>
      <c r="BA230" s="18"/>
      <c r="BB230">
        <f t="shared" si="189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CY230" s="34" t="s">
        <v>86</v>
      </c>
    </row>
    <row r="231" spans="1:103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4"/>
        <v>2.4989690721649489</v>
      </c>
      <c r="H231" s="16">
        <f t="shared" si="195"/>
        <v>4.2343642611683858</v>
      </c>
      <c r="I231" s="11">
        <f t="shared" si="170"/>
        <v>6.9307217002947966E-2</v>
      </c>
      <c r="J231" s="33">
        <f t="shared" si="171"/>
        <v>1.7862684794574219E-2</v>
      </c>
      <c r="K231" s="33">
        <f t="shared" si="196"/>
        <v>55.982625876248427</v>
      </c>
      <c r="L231" s="33">
        <f t="shared" si="197"/>
        <v>5.144453220837375E-2</v>
      </c>
      <c r="M231" s="33">
        <f t="shared" si="198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199"/>
        <v>3119</v>
      </c>
      <c r="X231" s="9">
        <f t="shared" si="172"/>
        <v>48</v>
      </c>
      <c r="Y231" s="7">
        <v>9.8249999999999993</v>
      </c>
      <c r="Z231" s="7">
        <f>BQ231-Y231-6</f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3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68"/>
        <v>1</v>
      </c>
      <c r="AX231">
        <v>0.38</v>
      </c>
      <c r="AY231" s="40">
        <v>0.62</v>
      </c>
      <c r="BA231" s="18"/>
      <c r="BB231">
        <f t="shared" si="189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CY231" s="34" t="s">
        <v>86</v>
      </c>
    </row>
    <row r="232" spans="1:103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4"/>
        <v>3.0193548387096767</v>
      </c>
      <c r="H232" s="16">
        <f t="shared" si="195"/>
        <v>4.1806451612903217</v>
      </c>
      <c r="I232" s="11">
        <f t="shared" si="170"/>
        <v>0.11033775320857062</v>
      </c>
      <c r="J232" s="33">
        <f t="shared" si="171"/>
        <v>1.7796411807833971E-2</v>
      </c>
      <c r="K232" s="33">
        <f t="shared" si="196"/>
        <v>56.191102498527286</v>
      </c>
      <c r="L232" s="33">
        <f t="shared" si="197"/>
        <v>9.2541341400736638E-2</v>
      </c>
      <c r="M232" s="33">
        <f t="shared" si="198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199"/>
        <v>3119</v>
      </c>
      <c r="X232" s="9">
        <f t="shared" si="172"/>
        <v>48</v>
      </c>
      <c r="Y232" s="7">
        <v>9.8249999999999993</v>
      </c>
      <c r="Z232" s="7">
        <f>BQ232-Y232-6</f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3"/>
        <v>7.5968944381445436</v>
      </c>
      <c r="AN232" s="33">
        <f t="shared" ref="AN232:AN250" si="200">(1-AO232-AP232)/2</f>
        <v>0.26250000000000001</v>
      </c>
      <c r="AO232" s="33">
        <v>0.25</v>
      </c>
      <c r="AP232" s="33">
        <v>0.22500000000000001</v>
      </c>
      <c r="AQ232" s="43">
        <f t="shared" ref="AQ232:AQ250" si="201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68"/>
        <v>1</v>
      </c>
      <c r="AX232">
        <v>0.38</v>
      </c>
      <c r="AY232" s="40">
        <v>0.62</v>
      </c>
      <c r="BA232" s="18"/>
      <c r="BB232">
        <f t="shared" si="189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CY232" s="34" t="s">
        <v>86</v>
      </c>
    </row>
    <row r="233" spans="1:103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4"/>
        <v>5.7073179396092346</v>
      </c>
      <c r="H233" s="16">
        <f t="shared" si="195"/>
        <v>8.1726820603907626</v>
      </c>
      <c r="I233" s="11">
        <f t="shared" si="170"/>
        <v>0.10030095821492577</v>
      </c>
      <c r="J233" s="33">
        <f t="shared" si="171"/>
        <v>1.7815445508867808E-2</v>
      </c>
      <c r="K233" s="33">
        <f t="shared" si="196"/>
        <v>56.131068936908733</v>
      </c>
      <c r="L233" s="33">
        <f t="shared" si="197"/>
        <v>8.2485512706057959E-2</v>
      </c>
      <c r="M233" s="33">
        <f t="shared" si="198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199"/>
        <v>3119</v>
      </c>
      <c r="X233" s="9">
        <f t="shared" si="172"/>
        <v>48</v>
      </c>
      <c r="Y233" s="7">
        <v>9.8249999999999993</v>
      </c>
      <c r="Z233" s="7">
        <f>BQ233-Y233-6</f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3"/>
        <v>7.5968944381445436</v>
      </c>
      <c r="AN233" s="33">
        <f t="shared" si="200"/>
        <v>0.26250000000000001</v>
      </c>
      <c r="AO233" s="33">
        <v>0.25</v>
      </c>
      <c r="AP233" s="33">
        <v>0.22500000000000001</v>
      </c>
      <c r="AQ233" s="43">
        <f t="shared" si="201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68"/>
        <v>1</v>
      </c>
      <c r="AX233">
        <v>0.38</v>
      </c>
      <c r="AY233" s="40">
        <v>0.62</v>
      </c>
      <c r="BA233" s="18"/>
      <c r="BB233">
        <f t="shared" si="189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CY233" s="34" t="s">
        <v>86</v>
      </c>
    </row>
    <row r="234" spans="1:103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4"/>
        <v>8.0140483383685801</v>
      </c>
      <c r="H234" s="16">
        <f t="shared" si="195"/>
        <v>14.952618328298085</v>
      </c>
      <c r="I234" s="11">
        <f t="shared" si="170"/>
        <v>5.9164182853938298E-2</v>
      </c>
      <c r="J234" s="33">
        <f t="shared" si="171"/>
        <v>1.7874375484573501E-2</v>
      </c>
      <c r="K234" s="33">
        <f t="shared" si="196"/>
        <v>55.946010581631292</v>
      </c>
      <c r="L234" s="33">
        <f t="shared" si="197"/>
        <v>4.12898073693648E-2</v>
      </c>
      <c r="M234" s="33">
        <f t="shared" si="198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199"/>
        <v>3119</v>
      </c>
      <c r="X234" s="9">
        <f t="shared" si="172"/>
        <v>48</v>
      </c>
      <c r="Y234" s="7">
        <v>9.8249999999999993</v>
      </c>
      <c r="Z234" s="7">
        <f>BQ234-Y234-6</f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3"/>
        <v>7.5968944381445436</v>
      </c>
      <c r="AN234" s="33">
        <f t="shared" si="200"/>
        <v>0.26250000000000001</v>
      </c>
      <c r="AO234" s="33">
        <v>0.25</v>
      </c>
      <c r="AP234" s="33">
        <v>0.22500000000000001</v>
      </c>
      <c r="AQ234" s="43">
        <f t="shared" si="201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68"/>
        <v>1</v>
      </c>
      <c r="AX234">
        <v>0.38</v>
      </c>
      <c r="AY234" s="40">
        <v>0.62</v>
      </c>
      <c r="BA234" s="18"/>
      <c r="BB234">
        <f t="shared" si="189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CY234" s="34" t="s">
        <v>86</v>
      </c>
    </row>
    <row r="235" spans="1:103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4"/>
        <v>-0.54999999999999993</v>
      </c>
      <c r="H235" s="16">
        <f t="shared" si="195"/>
        <v>1.1166666666666667</v>
      </c>
      <c r="I235" s="11">
        <f t="shared" si="170"/>
        <v>5.9239242863641309E-3</v>
      </c>
      <c r="J235" s="33">
        <f t="shared" si="171"/>
        <v>1.7423306724600386E-2</v>
      </c>
      <c r="K235" s="33">
        <f t="shared" si="196"/>
        <v>57.394386485091026</v>
      </c>
      <c r="L235" s="33">
        <f t="shared" si="197"/>
        <v>-1.1499382438236255E-2</v>
      </c>
      <c r="M235" s="33">
        <f t="shared" si="198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199"/>
        <v>3294</v>
      </c>
      <c r="X235" s="9">
        <f t="shared" si="172"/>
        <v>48</v>
      </c>
      <c r="Y235" s="7">
        <v>10.520000000000001</v>
      </c>
      <c r="Z235" s="7">
        <f>BQ235-Y235-6</f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3"/>
        <v>7.5968944381445436</v>
      </c>
      <c r="AN235" s="33">
        <f t="shared" si="200"/>
        <v>0.17</v>
      </c>
      <c r="AO235" s="33">
        <v>0.2</v>
      </c>
      <c r="AP235" s="33">
        <v>0.46</v>
      </c>
      <c r="AQ235" s="43">
        <f t="shared" si="201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68"/>
        <v>0</v>
      </c>
      <c r="AX235">
        <v>0.31</v>
      </c>
      <c r="AY235" s="40">
        <v>0.69</v>
      </c>
      <c r="BA235" s="18"/>
      <c r="BB235">
        <f t="shared" si="189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CY235" s="34" t="s">
        <v>86</v>
      </c>
    </row>
    <row r="236" spans="1:103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4"/>
        <v>3.164610389610389</v>
      </c>
      <c r="H236" s="16">
        <f t="shared" si="195"/>
        <v>5.3853896103896099</v>
      </c>
      <c r="I236" s="11">
        <f t="shared" si="170"/>
        <v>6.6930488438157312E-2</v>
      </c>
      <c r="J236" s="33">
        <f t="shared" si="171"/>
        <v>1.7384542451469431E-2</v>
      </c>
      <c r="K236" s="33">
        <f t="shared" si="196"/>
        <v>57.522365215627225</v>
      </c>
      <c r="L236" s="33">
        <f t="shared" si="197"/>
        <v>4.9545945986687878E-2</v>
      </c>
      <c r="M236" s="33">
        <f t="shared" si="198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199"/>
        <v>3294</v>
      </c>
      <c r="X236" s="9">
        <f t="shared" si="172"/>
        <v>48</v>
      </c>
      <c r="Y236" s="7">
        <v>10.520000000000001</v>
      </c>
      <c r="Z236" s="7">
        <f>BQ236-Y236-6</f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3"/>
        <v>7.5968944381445436</v>
      </c>
      <c r="AN236" s="33">
        <f t="shared" si="200"/>
        <v>0.17</v>
      </c>
      <c r="AO236" s="33">
        <v>0.2</v>
      </c>
      <c r="AP236" s="33">
        <v>0.46</v>
      </c>
      <c r="AQ236" s="43">
        <f t="shared" si="201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68"/>
        <v>0</v>
      </c>
      <c r="AX236">
        <v>0.31</v>
      </c>
      <c r="AY236" s="40">
        <v>0.69</v>
      </c>
      <c r="BA236" s="18"/>
      <c r="BB236">
        <f t="shared" si="189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CY236" s="34" t="s">
        <v>86</v>
      </c>
    </row>
    <row r="237" spans="1:103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4"/>
        <v>6.3496932515337408</v>
      </c>
      <c r="H237" s="16">
        <f t="shared" si="195"/>
        <v>8.6503067484662566</v>
      </c>
      <c r="I237" s="11">
        <f t="shared" si="170"/>
        <v>0.1128759333102024</v>
      </c>
      <c r="J237" s="33">
        <f t="shared" si="171"/>
        <v>1.7312259710153745E-2</v>
      </c>
      <c r="K237" s="33">
        <f t="shared" si="196"/>
        <v>57.762534570428954</v>
      </c>
      <c r="L237" s="33">
        <f t="shared" si="197"/>
        <v>9.5563673600048665E-2</v>
      </c>
      <c r="M237" s="33">
        <f t="shared" si="198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199"/>
        <v>3294</v>
      </c>
      <c r="X237" s="9">
        <f t="shared" si="172"/>
        <v>48</v>
      </c>
      <c r="Y237" s="7">
        <v>10.520000000000001</v>
      </c>
      <c r="Z237" s="7">
        <f>BQ237-Y237-6</f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3"/>
        <v>7.5968944381445436</v>
      </c>
      <c r="AN237" s="33">
        <f t="shared" si="200"/>
        <v>0.17</v>
      </c>
      <c r="AO237" s="33">
        <v>0.2</v>
      </c>
      <c r="AP237" s="33">
        <v>0.46</v>
      </c>
      <c r="AQ237" s="43">
        <f t="shared" si="201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68"/>
        <v>0</v>
      </c>
      <c r="AX237">
        <v>0.31</v>
      </c>
      <c r="AY237" s="40">
        <v>0.69</v>
      </c>
      <c r="BA237" s="18"/>
      <c r="BB237">
        <f t="shared" si="189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CY237" s="34" t="s">
        <v>86</v>
      </c>
    </row>
    <row r="238" spans="1:103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4"/>
        <v>11.147899159663865</v>
      </c>
      <c r="H238" s="16">
        <f t="shared" si="195"/>
        <v>15.652100840336136</v>
      </c>
      <c r="I238" s="11">
        <f t="shared" si="170"/>
        <v>0.10311784184327458</v>
      </c>
      <c r="J238" s="33">
        <f t="shared" si="171"/>
        <v>1.7330729721558753E-2</v>
      </c>
      <c r="K238" s="33">
        <f t="shared" si="196"/>
        <v>57.700974861782015</v>
      </c>
      <c r="L238" s="33">
        <f t="shared" si="197"/>
        <v>8.5787112121715831E-2</v>
      </c>
      <c r="M238" s="33">
        <f t="shared" si="198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199"/>
        <v>3294</v>
      </c>
      <c r="X238" s="9">
        <f t="shared" si="172"/>
        <v>48</v>
      </c>
      <c r="Y238" s="7">
        <v>10.520000000000001</v>
      </c>
      <c r="Z238" s="7">
        <f>BQ238-Y238-6</f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3"/>
        <v>7.5968944381445436</v>
      </c>
      <c r="AN238" s="33">
        <f t="shared" si="200"/>
        <v>0.17</v>
      </c>
      <c r="AO238" s="33">
        <v>0.2</v>
      </c>
      <c r="AP238" s="33">
        <v>0.46</v>
      </c>
      <c r="AQ238" s="43">
        <f t="shared" si="201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68"/>
        <v>0</v>
      </c>
      <c r="AX238">
        <v>0.31</v>
      </c>
      <c r="AY238" s="40">
        <v>0.69</v>
      </c>
      <c r="BA238" s="18"/>
      <c r="BB238">
        <f t="shared" si="189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CY238" s="34" t="s">
        <v>86</v>
      </c>
    </row>
    <row r="239" spans="1:103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4"/>
        <v>-0.46851851851851845</v>
      </c>
      <c r="H239" s="16">
        <f t="shared" si="195"/>
        <v>1.2351851851851849</v>
      </c>
      <c r="I239" s="11">
        <f t="shared" si="170"/>
        <v>7.8296962571316932E-3</v>
      </c>
      <c r="J239" s="33">
        <f t="shared" si="171"/>
        <v>1.7399325015848205E-2</v>
      </c>
      <c r="K239" s="33">
        <f t="shared" si="196"/>
        <v>57.473493890662326</v>
      </c>
      <c r="L239" s="33">
        <f t="shared" si="197"/>
        <v>-9.5696287587165117E-3</v>
      </c>
      <c r="M239" s="33">
        <f t="shared" si="198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199"/>
        <v>3303</v>
      </c>
      <c r="X239" s="9">
        <f t="shared" si="172"/>
        <v>48</v>
      </c>
      <c r="Y239" s="7">
        <v>10.520000000000001</v>
      </c>
      <c r="Z239" s="7">
        <f>BQ239-Y239-6</f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3"/>
        <v>7.5968944381445436</v>
      </c>
      <c r="AN239" s="33">
        <f t="shared" si="200"/>
        <v>0.17</v>
      </c>
      <c r="AO239" s="33">
        <v>0.2</v>
      </c>
      <c r="AP239" s="33">
        <v>0.46</v>
      </c>
      <c r="AQ239" s="43">
        <f t="shared" si="201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68"/>
        <v>0</v>
      </c>
      <c r="AX239">
        <v>0.31</v>
      </c>
      <c r="AY239" s="40">
        <v>0.69</v>
      </c>
      <c r="BA239" s="18"/>
      <c r="BB239">
        <f t="shared" si="189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CY239" s="34" t="s">
        <v>86</v>
      </c>
    </row>
    <row r="240" spans="1:103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4"/>
        <v>3.1875</v>
      </c>
      <c r="H240" s="16">
        <f t="shared" si="195"/>
        <v>5.3125</v>
      </c>
      <c r="I240" s="11">
        <f t="shared" si="170"/>
        <v>6.9431470784376378E-2</v>
      </c>
      <c r="J240" s="33">
        <f t="shared" si="171"/>
        <v>1.7357867696094095E-2</v>
      </c>
      <c r="K240" s="33">
        <f t="shared" si="196"/>
        <v>57.610762883336307</v>
      </c>
      <c r="L240" s="33">
        <f t="shared" si="197"/>
        <v>5.207360308828228E-2</v>
      </c>
      <c r="M240" s="33">
        <f t="shared" si="198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199"/>
        <v>3303</v>
      </c>
      <c r="X240" s="9">
        <f t="shared" si="172"/>
        <v>48</v>
      </c>
      <c r="Y240" s="7">
        <v>10.520000000000001</v>
      </c>
      <c r="Z240" s="7">
        <f>BQ240-Y240-6</f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3"/>
        <v>7.5968944381445436</v>
      </c>
      <c r="AN240" s="33">
        <f t="shared" si="200"/>
        <v>0.17</v>
      </c>
      <c r="AO240" s="33">
        <v>0.2</v>
      </c>
      <c r="AP240" s="33">
        <v>0.46</v>
      </c>
      <c r="AQ240" s="43">
        <f t="shared" si="201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68"/>
        <v>0</v>
      </c>
      <c r="AX240">
        <v>0.31</v>
      </c>
      <c r="AY240" s="40">
        <v>0.69</v>
      </c>
      <c r="BA240" s="18"/>
      <c r="BB240">
        <f t="shared" si="189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CY240" s="34" t="s">
        <v>86</v>
      </c>
    </row>
    <row r="241" spans="1:103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4"/>
        <v>6.2058447488584481</v>
      </c>
      <c r="H241" s="16">
        <f t="shared" si="195"/>
        <v>8.4341552511415543</v>
      </c>
      <c r="I241" s="11">
        <f t="shared" si="170"/>
        <v>0.11357734174803634</v>
      </c>
      <c r="J241" s="33">
        <f t="shared" si="171"/>
        <v>1.7287266628316034E-2</v>
      </c>
      <c r="K241" s="33">
        <f t="shared" si="196"/>
        <v>57.846044808612454</v>
      </c>
      <c r="L241" s="33">
        <f t="shared" si="197"/>
        <v>9.6290075119720306E-2</v>
      </c>
      <c r="M241" s="33">
        <f t="shared" si="198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199"/>
        <v>3303</v>
      </c>
      <c r="X241" s="9">
        <f t="shared" si="172"/>
        <v>48</v>
      </c>
      <c r="Y241" s="7">
        <v>10.520000000000001</v>
      </c>
      <c r="Z241" s="7">
        <f>BQ241-Y241-6</f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3"/>
        <v>7.5968944381445436</v>
      </c>
      <c r="AN241" s="33">
        <f t="shared" si="200"/>
        <v>0.17</v>
      </c>
      <c r="AO241" s="33">
        <v>0.2</v>
      </c>
      <c r="AP241" s="33">
        <v>0.46</v>
      </c>
      <c r="AQ241" s="43">
        <f t="shared" si="201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68"/>
        <v>0</v>
      </c>
      <c r="AX241">
        <v>0.31</v>
      </c>
      <c r="AY241" s="40">
        <v>0.69</v>
      </c>
      <c r="BA241" s="18"/>
      <c r="BB241">
        <f t="shared" si="189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CY241" s="34" t="s">
        <v>86</v>
      </c>
    </row>
    <row r="242" spans="1:103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4"/>
        <v>10.766323024054982</v>
      </c>
      <c r="H242" s="16">
        <f t="shared" si="195"/>
        <v>15.233676975945015</v>
      </c>
      <c r="I242" s="11">
        <f t="shared" si="170"/>
        <v>0.10075188604331468</v>
      </c>
      <c r="J242" s="33">
        <f t="shared" si="171"/>
        <v>1.7311320625999084E-2</v>
      </c>
      <c r="K242" s="33">
        <f t="shared" si="196"/>
        <v>57.765668004447072</v>
      </c>
      <c r="L242" s="33">
        <f t="shared" si="197"/>
        <v>8.3440565417315593E-2</v>
      </c>
      <c r="M242" s="33">
        <f t="shared" si="198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199"/>
        <v>3303</v>
      </c>
      <c r="X242" s="9">
        <f t="shared" si="172"/>
        <v>48</v>
      </c>
      <c r="Y242" s="7">
        <v>10.520000000000001</v>
      </c>
      <c r="Z242" s="7">
        <f>BQ242-Y242-6</f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3"/>
        <v>7.5968944381445436</v>
      </c>
      <c r="AN242" s="33">
        <f t="shared" si="200"/>
        <v>0.17</v>
      </c>
      <c r="AO242" s="33">
        <v>0.2</v>
      </c>
      <c r="AP242" s="33">
        <v>0.46</v>
      </c>
      <c r="AQ242" s="43">
        <f t="shared" si="201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68"/>
        <v>0</v>
      </c>
      <c r="AX242">
        <v>0.31</v>
      </c>
      <c r="AY242" s="40">
        <v>0.69</v>
      </c>
      <c r="BA242" s="18"/>
      <c r="BB242">
        <f t="shared" si="189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CY242" s="34" t="s">
        <v>86</v>
      </c>
    </row>
    <row r="243" spans="1:103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4"/>
        <v>3.8080188679245284</v>
      </c>
      <c r="H243" s="16">
        <f t="shared" si="195"/>
        <v>6.1586477987421384</v>
      </c>
      <c r="I243" s="11">
        <f t="shared" si="170"/>
        <v>9.0111297961682588E-2</v>
      </c>
      <c r="J243" s="33">
        <f t="shared" si="171"/>
        <v>2.1252664613604384E-2</v>
      </c>
      <c r="K243" s="33">
        <f t="shared" si="196"/>
        <v>47.05292339483276</v>
      </c>
      <c r="L243" s="33">
        <f t="shared" si="197"/>
        <v>6.8858633348078208E-2</v>
      </c>
      <c r="M243" s="33">
        <f t="shared" si="198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199"/>
        <v>2196</v>
      </c>
      <c r="X243" s="9">
        <f t="shared" si="172"/>
        <v>48</v>
      </c>
      <c r="Y243" s="7">
        <v>9.8450000000000006</v>
      </c>
      <c r="Z243" s="7">
        <f>BQ243-Y243-6</f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3"/>
        <v>7.6004023345003997</v>
      </c>
      <c r="AN243" s="33">
        <f t="shared" si="200"/>
        <v>0.19249999999999998</v>
      </c>
      <c r="AO243" s="33">
        <v>0.28999999999999998</v>
      </c>
      <c r="AP243" s="33">
        <v>0.32500000000000001</v>
      </c>
      <c r="AQ243" s="43">
        <f t="shared" si="201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68"/>
        <v>1</v>
      </c>
      <c r="AX243">
        <v>0.38</v>
      </c>
      <c r="AY243" s="40">
        <v>0.62</v>
      </c>
      <c r="BA243" s="18"/>
      <c r="BB243">
        <f t="shared" si="189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CY243" s="34" t="s">
        <v>86</v>
      </c>
    </row>
    <row r="244" spans="1:103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4"/>
        <v>3.5065891472868227</v>
      </c>
      <c r="H244" s="16">
        <f t="shared" si="195"/>
        <v>4.7934108527131798</v>
      </c>
      <c r="I244" s="11">
        <f t="shared" si="170"/>
        <v>0.13635411386705673</v>
      </c>
      <c r="J244" s="33">
        <f t="shared" si="171"/>
        <v>2.1140172692566933E-2</v>
      </c>
      <c r="K244" s="33">
        <f t="shared" si="196"/>
        <v>47.303303267319507</v>
      </c>
      <c r="L244" s="33">
        <f t="shared" si="197"/>
        <v>0.1152139411744898</v>
      </c>
      <c r="M244" s="33">
        <f t="shared" si="198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199"/>
        <v>2196</v>
      </c>
      <c r="X244" s="9">
        <f t="shared" si="172"/>
        <v>48</v>
      </c>
      <c r="Y244" s="7">
        <v>9.8450000000000006</v>
      </c>
      <c r="Z244" s="7">
        <f>BQ244-Y244-6</f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3"/>
        <v>7.6004023345003997</v>
      </c>
      <c r="AN244" s="33">
        <f t="shared" si="200"/>
        <v>0.19249999999999998</v>
      </c>
      <c r="AO244" s="33">
        <v>0.28999999999999998</v>
      </c>
      <c r="AP244" s="33">
        <v>0.32500000000000001</v>
      </c>
      <c r="AQ244" s="43">
        <f t="shared" si="201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68"/>
        <v>1</v>
      </c>
      <c r="AX244">
        <v>0.38</v>
      </c>
      <c r="AY244" s="40">
        <v>0.62</v>
      </c>
      <c r="BA244" s="18"/>
      <c r="BB244">
        <f t="shared" si="189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CY244" s="34" t="s">
        <v>86</v>
      </c>
    </row>
    <row r="245" spans="1:103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4"/>
        <v>10.02577281191806</v>
      </c>
      <c r="H245" s="16">
        <f t="shared" si="195"/>
        <v>14.614227188081934</v>
      </c>
      <c r="I245" s="11">
        <f t="shared" si="170"/>
        <v>0.11384794510822124</v>
      </c>
      <c r="J245" s="33">
        <f t="shared" si="171"/>
        <v>2.1200734657024437E-2</v>
      </c>
      <c r="K245" s="33">
        <f t="shared" si="196"/>
        <v>47.168176772056817</v>
      </c>
      <c r="L245" s="33">
        <f t="shared" si="197"/>
        <v>9.264721045119681E-2</v>
      </c>
      <c r="M245" s="33">
        <f t="shared" si="198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199"/>
        <v>2196</v>
      </c>
      <c r="X245" s="9">
        <f t="shared" si="172"/>
        <v>48</v>
      </c>
      <c r="Y245" s="7">
        <v>9.8450000000000006</v>
      </c>
      <c r="Z245" s="7">
        <f>BQ245-Y245-6</f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3"/>
        <v>7.6004023345003997</v>
      </c>
      <c r="AN245" s="33">
        <f t="shared" si="200"/>
        <v>0.19249999999999998</v>
      </c>
      <c r="AO245" s="33">
        <v>0.28999999999999998</v>
      </c>
      <c r="AP245" s="33">
        <v>0.32500000000000001</v>
      </c>
      <c r="AQ245" s="43">
        <f t="shared" si="201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68"/>
        <v>1</v>
      </c>
      <c r="AX245">
        <v>0.38</v>
      </c>
      <c r="AY245" s="40">
        <v>0.62</v>
      </c>
      <c r="BA245" s="18"/>
      <c r="BB245">
        <f t="shared" si="189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CY245" s="34" t="s">
        <v>86</v>
      </c>
    </row>
    <row r="246" spans="1:103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4"/>
        <v>13.121133525456292</v>
      </c>
      <c r="H246" s="16">
        <f t="shared" si="195"/>
        <v>23.745533141210373</v>
      </c>
      <c r="I246" s="11">
        <f t="shared" si="170"/>
        <v>7.3845820103091431E-2</v>
      </c>
      <c r="J246" s="33">
        <f t="shared" si="171"/>
        <v>2.1281216168037877E-2</v>
      </c>
      <c r="K246" s="33">
        <f t="shared" si="196"/>
        <v>46.989795700768909</v>
      </c>
      <c r="L246" s="33">
        <f t="shared" si="197"/>
        <v>5.256460393505355E-2</v>
      </c>
      <c r="M246" s="33">
        <f t="shared" si="198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199"/>
        <v>2196</v>
      </c>
      <c r="X246" s="9">
        <f t="shared" si="172"/>
        <v>48</v>
      </c>
      <c r="Y246" s="7">
        <v>9.8450000000000006</v>
      </c>
      <c r="Z246" s="7">
        <f>BQ246-Y246-6</f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3"/>
        <v>7.6004023345003997</v>
      </c>
      <c r="AN246" s="33">
        <f t="shared" si="200"/>
        <v>0.19249999999999998</v>
      </c>
      <c r="AO246" s="33">
        <v>0.28999999999999998</v>
      </c>
      <c r="AP246" s="33">
        <v>0.32500000000000001</v>
      </c>
      <c r="AQ246" s="43">
        <f t="shared" si="201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68"/>
        <v>1</v>
      </c>
      <c r="AX246">
        <v>0.38</v>
      </c>
      <c r="AY246" s="40">
        <v>0.62</v>
      </c>
      <c r="BA246" s="18"/>
      <c r="BB246">
        <f t="shared" si="189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CY246" s="34" t="s">
        <v>86</v>
      </c>
    </row>
    <row r="247" spans="1:103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4"/>
        <v>3.8452655889145495</v>
      </c>
      <c r="H247" s="16">
        <f t="shared" si="195"/>
        <v>6.1547344110854505</v>
      </c>
      <c r="I247" s="11">
        <f t="shared" si="170"/>
        <v>9.1800996606447416E-2</v>
      </c>
      <c r="J247" s="33">
        <f t="shared" si="171"/>
        <v>2.1201153950680698E-2</v>
      </c>
      <c r="K247" s="33">
        <f t="shared" si="196"/>
        <v>47.167243930507539</v>
      </c>
      <c r="L247" s="33">
        <f t="shared" si="197"/>
        <v>7.0599842655766715E-2</v>
      </c>
      <c r="M247" s="33">
        <f t="shared" si="198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199"/>
        <v>2206</v>
      </c>
      <c r="X247" s="9">
        <f t="shared" si="172"/>
        <v>48</v>
      </c>
      <c r="Y247" s="7">
        <v>9.8450000000000006</v>
      </c>
      <c r="Z247" s="7">
        <f>BQ247-Y247-6</f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3"/>
        <v>7.6004023345003997</v>
      </c>
      <c r="AN247" s="33">
        <f t="shared" si="200"/>
        <v>0.19249999999999998</v>
      </c>
      <c r="AO247" s="33">
        <v>0.28999999999999998</v>
      </c>
      <c r="AP247" s="33">
        <v>0.32500000000000001</v>
      </c>
      <c r="AQ247" s="43">
        <f t="shared" si="201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68"/>
        <v>1</v>
      </c>
      <c r="AX247">
        <v>0.38</v>
      </c>
      <c r="AY247" s="40">
        <v>0.62</v>
      </c>
      <c r="BA247" s="18"/>
      <c r="BB247">
        <f t="shared" si="189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CY247" s="34" t="s">
        <v>86</v>
      </c>
    </row>
    <row r="248" spans="1:103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4"/>
        <v>3.4297856049004602</v>
      </c>
      <c r="H248" s="16">
        <f t="shared" si="195"/>
        <v>4.6702143950995412</v>
      </c>
      <c r="I248" s="11">
        <f t="shared" si="170"/>
        <v>0.1377060840526772</v>
      </c>
      <c r="J248" s="33">
        <f t="shared" si="171"/>
        <v>2.1088221141298193E-2</v>
      </c>
      <c r="K248" s="33">
        <f t="shared" si="196"/>
        <v>47.419836566567788</v>
      </c>
      <c r="L248" s="33">
        <f t="shared" si="197"/>
        <v>0.11661786291137902</v>
      </c>
      <c r="M248" s="33">
        <f t="shared" si="198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199"/>
        <v>2206</v>
      </c>
      <c r="X248" s="9">
        <f t="shared" si="172"/>
        <v>48</v>
      </c>
      <c r="Y248" s="7">
        <v>9.8450000000000006</v>
      </c>
      <c r="Z248" s="7">
        <f>BQ248-Y248-6</f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3"/>
        <v>7.6004023345003997</v>
      </c>
      <c r="AN248" s="33">
        <f t="shared" si="200"/>
        <v>0.19249999999999998</v>
      </c>
      <c r="AO248" s="33">
        <v>0.28999999999999998</v>
      </c>
      <c r="AP248" s="33">
        <v>0.32500000000000001</v>
      </c>
      <c r="AQ248" s="43">
        <f t="shared" si="201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68"/>
        <v>1</v>
      </c>
      <c r="AX248">
        <v>0.38</v>
      </c>
      <c r="AY248" s="40">
        <v>0.62</v>
      </c>
      <c r="BA248" s="18"/>
      <c r="BB248">
        <f t="shared" si="189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CY248" s="34" t="s">
        <v>86</v>
      </c>
    </row>
    <row r="249" spans="1:103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4"/>
        <v>10.062602230483272</v>
      </c>
      <c r="H249" s="16">
        <f t="shared" si="195"/>
        <v>14.657397769516731</v>
      </c>
      <c r="I249" s="11">
        <f t="shared" si="170"/>
        <v>0.11380174303938231</v>
      </c>
      <c r="J249" s="33">
        <f t="shared" si="171"/>
        <v>2.1152740341892618E-2</v>
      </c>
      <c r="K249" s="33">
        <f t="shared" si="196"/>
        <v>47.275198571766992</v>
      </c>
      <c r="L249" s="33">
        <f t="shared" si="197"/>
        <v>9.2649002697489699E-2</v>
      </c>
      <c r="M249" s="33">
        <f t="shared" si="198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199"/>
        <v>2206</v>
      </c>
      <c r="X249" s="9">
        <f t="shared" si="172"/>
        <v>48</v>
      </c>
      <c r="Y249" s="7">
        <v>9.8450000000000006</v>
      </c>
      <c r="Z249" s="7">
        <f>BQ249-Y249-6</f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3"/>
        <v>7.6004023345003997</v>
      </c>
      <c r="AN249" s="33">
        <f t="shared" si="200"/>
        <v>0.19249999999999998</v>
      </c>
      <c r="AO249" s="33">
        <v>0.28999999999999998</v>
      </c>
      <c r="AP249" s="33">
        <v>0.32500000000000001</v>
      </c>
      <c r="AQ249" s="43">
        <f t="shared" si="201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68"/>
        <v>1</v>
      </c>
      <c r="AX249">
        <v>0.38</v>
      </c>
      <c r="AY249" s="40">
        <v>0.62</v>
      </c>
      <c r="BA249" s="18"/>
      <c r="BB249">
        <f t="shared" si="189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CY249" s="34" t="s">
        <v>86</v>
      </c>
    </row>
    <row r="250" spans="1:103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4"/>
        <v>13.373946360153255</v>
      </c>
      <c r="H250" s="16">
        <f t="shared" si="195"/>
        <v>24.159386973180077</v>
      </c>
      <c r="I250" s="11">
        <f t="shared" si="170"/>
        <v>7.3890339994261867E-2</v>
      </c>
      <c r="J250" s="33">
        <f t="shared" si="171"/>
        <v>2.1232856320190192E-2</v>
      </c>
      <c r="K250" s="33">
        <f t="shared" si="196"/>
        <v>47.096819425519598</v>
      </c>
      <c r="L250" s="33">
        <f t="shared" si="197"/>
        <v>5.2657483674071678E-2</v>
      </c>
      <c r="M250" s="33">
        <f t="shared" si="198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199"/>
        <v>2206</v>
      </c>
      <c r="X250" s="9">
        <f t="shared" si="172"/>
        <v>48</v>
      </c>
      <c r="Y250" s="7">
        <v>9.8450000000000006</v>
      </c>
      <c r="Z250" s="7">
        <f>BQ250-Y250-6</f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3"/>
        <v>7.6004023345003997</v>
      </c>
      <c r="AN250" s="33">
        <f t="shared" si="200"/>
        <v>0.19249999999999998</v>
      </c>
      <c r="AO250" s="33">
        <v>0.28999999999999998</v>
      </c>
      <c r="AP250" s="33">
        <v>0.32500000000000001</v>
      </c>
      <c r="AQ250" s="43">
        <f t="shared" si="201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68"/>
        <v>1</v>
      </c>
      <c r="AX250">
        <v>0.38</v>
      </c>
      <c r="AY250" s="40">
        <v>0.62</v>
      </c>
      <c r="BA250" s="18"/>
      <c r="BB250">
        <f t="shared" si="189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CY250" s="34" t="s">
        <v>86</v>
      </c>
    </row>
    <row r="251" spans="1:103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4"/>
        <v>-1.3481481481481483</v>
      </c>
      <c r="H251" s="16">
        <f t="shared" si="195"/>
        <v>1.6148148148148149</v>
      </c>
      <c r="I251" s="11">
        <f t="shared" si="170"/>
        <v>2.1873233617308667E-3</v>
      </c>
      <c r="J251" s="33">
        <f t="shared" si="171"/>
        <v>2.4303592908120744E-2</v>
      </c>
      <c r="K251" s="33">
        <f t="shared" si="196"/>
        <v>41.146179652550977</v>
      </c>
      <c r="L251" s="33">
        <f t="shared" si="197"/>
        <v>-2.2116269546389879E-2</v>
      </c>
      <c r="M251" s="33">
        <f t="shared" si="198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199"/>
        <v>1693</v>
      </c>
      <c r="X251" s="9">
        <f t="shared" si="172"/>
        <v>48</v>
      </c>
      <c r="Y251" s="7">
        <v>10.525</v>
      </c>
      <c r="Z251" s="7">
        <f>BQ251-Y251-6</f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3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68"/>
        <v>0</v>
      </c>
      <c r="AX251">
        <v>0.31</v>
      </c>
      <c r="AY251" s="40">
        <v>0.69</v>
      </c>
      <c r="BA251" s="18"/>
      <c r="BB251">
        <f t="shared" si="189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CY251" s="34" t="s">
        <v>86</v>
      </c>
    </row>
    <row r="252" spans="1:103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4"/>
        <v>3.379710144927536</v>
      </c>
      <c r="H252" s="16">
        <f t="shared" si="195"/>
        <v>7.2202898550724637</v>
      </c>
      <c r="I252" s="11">
        <f t="shared" si="170"/>
        <v>6.692767639841693E-2</v>
      </c>
      <c r="J252" s="33">
        <f t="shared" si="171"/>
        <v>2.4249158115368458E-2</v>
      </c>
      <c r="K252" s="33">
        <f t="shared" si="196"/>
        <v>41.238545076178426</v>
      </c>
      <c r="L252" s="33">
        <f t="shared" si="197"/>
        <v>4.2678518283048472E-2</v>
      </c>
      <c r="M252" s="33">
        <f t="shared" si="198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199"/>
        <v>1693</v>
      </c>
      <c r="X252" s="9">
        <f t="shared" si="172"/>
        <v>48</v>
      </c>
      <c r="Y252" s="7">
        <v>10.525</v>
      </c>
      <c r="Z252" s="7">
        <f>BQ252-Y252-6</f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3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68"/>
        <v>0</v>
      </c>
      <c r="AX252">
        <v>0.31</v>
      </c>
      <c r="AY252" s="40">
        <v>0.69</v>
      </c>
      <c r="BA252" s="18"/>
      <c r="BB252">
        <f t="shared" si="189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CY252" s="34" t="s">
        <v>86</v>
      </c>
    </row>
    <row r="253" spans="1:103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4"/>
        <v>3.8714285714285719</v>
      </c>
      <c r="H253" s="16">
        <f t="shared" si="195"/>
        <v>6.9685714285714297</v>
      </c>
      <c r="I253" s="11">
        <f t="shared" si="170"/>
        <v>8.4756695340678367E-2</v>
      </c>
      <c r="J253" s="33">
        <f t="shared" si="171"/>
        <v>2.4216198668765246E-2</v>
      </c>
      <c r="K253" s="33">
        <f t="shared" si="196"/>
        <v>41.294672779911942</v>
      </c>
      <c r="L253" s="33">
        <f t="shared" si="197"/>
        <v>6.0540496671913122E-2</v>
      </c>
      <c r="M253" s="33">
        <f t="shared" si="198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199"/>
        <v>1693</v>
      </c>
      <c r="X253" s="9">
        <f t="shared" si="172"/>
        <v>48</v>
      </c>
      <c r="Y253" s="7">
        <v>10.525</v>
      </c>
      <c r="Z253" s="7">
        <f>BQ253-Y253-6</f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3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68"/>
        <v>0</v>
      </c>
      <c r="AX253">
        <v>0.31</v>
      </c>
      <c r="AY253" s="40">
        <v>0.69</v>
      </c>
      <c r="BA253" s="18"/>
      <c r="BB253">
        <f t="shared" si="189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CY253" s="34" t="s">
        <v>86</v>
      </c>
    </row>
    <row r="254" spans="1:103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4"/>
        <v>13.754716981132077</v>
      </c>
      <c r="H254" s="16">
        <f t="shared" si="195"/>
        <v>22.24528301886793</v>
      </c>
      <c r="I254" s="11">
        <f t="shared" si="170"/>
        <v>0.10250468011579229</v>
      </c>
      <c r="J254" s="33">
        <f t="shared" si="171"/>
        <v>2.4175632102781199E-2</v>
      </c>
      <c r="K254" s="33">
        <f t="shared" si="196"/>
        <v>41.363964993699526</v>
      </c>
      <c r="L254" s="33">
        <f t="shared" si="197"/>
        <v>7.8329048013011091E-2</v>
      </c>
      <c r="M254" s="33">
        <f t="shared" si="198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199"/>
        <v>1693</v>
      </c>
      <c r="X254" s="9">
        <f t="shared" si="172"/>
        <v>48</v>
      </c>
      <c r="Y254" s="7">
        <v>10.525</v>
      </c>
      <c r="Z254" s="7">
        <f>BQ254-Y254-6</f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3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68"/>
        <v>0</v>
      </c>
      <c r="AX254">
        <v>0.31</v>
      </c>
      <c r="AY254" s="40">
        <v>0.69</v>
      </c>
      <c r="BA254" s="18"/>
      <c r="BB254">
        <f t="shared" si="189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CY254" s="34" t="s">
        <v>86</v>
      </c>
    </row>
    <row r="255" spans="1:103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4"/>
        <v>-0.89736842105263159</v>
      </c>
      <c r="H255" s="16">
        <f t="shared" si="195"/>
        <v>1.9973684210526317</v>
      </c>
      <c r="I255" s="11">
        <f t="shared" si="170"/>
        <v>9.2132532004612858E-3</v>
      </c>
      <c r="J255" s="33">
        <f t="shared" si="171"/>
        <v>2.4245403159108649E-2</v>
      </c>
      <c r="K255" s="33">
        <f t="shared" si="196"/>
        <v>41.244931809859985</v>
      </c>
      <c r="L255" s="33">
        <f t="shared" si="197"/>
        <v>-1.5032149958647363E-2</v>
      </c>
      <c r="M255" s="33">
        <f t="shared" si="198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199"/>
        <v>1701</v>
      </c>
      <c r="X255" s="9">
        <f t="shared" si="172"/>
        <v>48</v>
      </c>
      <c r="Y255" s="7">
        <v>10.525</v>
      </c>
      <c r="Z255" s="7">
        <f>BQ255-Y255-6</f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3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68"/>
        <v>0</v>
      </c>
      <c r="AX255">
        <v>0.31</v>
      </c>
      <c r="AY255" s="40">
        <v>0.69</v>
      </c>
      <c r="BA255" s="18"/>
      <c r="BB255">
        <f t="shared" si="189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CY255" s="34" t="s">
        <v>86</v>
      </c>
    </row>
    <row r="256" spans="1:103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4"/>
        <v>3.842307692307692</v>
      </c>
      <c r="H256" s="16">
        <f t="shared" si="195"/>
        <v>7.2576923076923077</v>
      </c>
      <c r="I256" s="11">
        <f t="shared" si="170"/>
        <v>7.8557378008585005E-2</v>
      </c>
      <c r="J256" s="33">
        <f t="shared" si="171"/>
        <v>2.4171500925718459E-2</v>
      </c>
      <c r="K256" s="33">
        <f t="shared" si="196"/>
        <v>41.371034553175008</v>
      </c>
      <c r="L256" s="33">
        <f t="shared" si="197"/>
        <v>5.4385877082866546E-2</v>
      </c>
      <c r="M256" s="33">
        <f t="shared" si="198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199"/>
        <v>1701</v>
      </c>
      <c r="X256" s="9">
        <f t="shared" si="172"/>
        <v>48</v>
      </c>
      <c r="Y256" s="7">
        <v>10.525</v>
      </c>
      <c r="Z256" s="7">
        <f>BQ256-Y256-6</f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3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68"/>
        <v>0</v>
      </c>
      <c r="AX256">
        <v>0.31</v>
      </c>
      <c r="AY256" s="40">
        <v>0.69</v>
      </c>
      <c r="BA256" s="18"/>
      <c r="BB256">
        <f t="shared" si="189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CY256" s="34" t="s">
        <v>86</v>
      </c>
    </row>
    <row r="257" spans="1:103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4"/>
        <v>4.2421994884910497</v>
      </c>
      <c r="H257" s="16">
        <f t="shared" si="195"/>
        <v>7.1578005115089525</v>
      </c>
      <c r="I257" s="11">
        <f t="shared" si="170"/>
        <v>9.4380366995624174E-2</v>
      </c>
      <c r="J257" s="33">
        <f t="shared" si="171"/>
        <v>2.4138201277653239E-2</v>
      </c>
      <c r="K257" s="33">
        <f t="shared" si="196"/>
        <v>41.428107608241049</v>
      </c>
      <c r="L257" s="33">
        <f t="shared" si="197"/>
        <v>7.0242165717970928E-2</v>
      </c>
      <c r="M257" s="33">
        <f t="shared" si="198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199"/>
        <v>1701</v>
      </c>
      <c r="X257" s="9">
        <f t="shared" si="172"/>
        <v>48</v>
      </c>
      <c r="Y257" s="7">
        <v>10.525</v>
      </c>
      <c r="Z257" s="7">
        <f>BQ257-Y257-6</f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3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68"/>
        <v>0</v>
      </c>
      <c r="AX257">
        <v>0.31</v>
      </c>
      <c r="AY257" s="40">
        <v>0.69</v>
      </c>
      <c r="BA257" s="18"/>
      <c r="BB257">
        <f t="shared" si="189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CY257" s="34" t="s">
        <v>86</v>
      </c>
    </row>
    <row r="258" spans="1:103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4"/>
        <v>14.117456734386755</v>
      </c>
      <c r="H258" s="56">
        <f t="shared" si="195"/>
        <v>22.349209932279905</v>
      </c>
      <c r="I258" s="57">
        <f t="shared" ref="I258:I321" si="202">IFERROR(F258/SQRT(F258^2+W258), "X")</f>
        <v>0.10679738638220909</v>
      </c>
      <c r="J258" s="58">
        <f t="shared" ref="J258:J321" si="203">IFERROR(SQRT((1-I258^2)/W258), "X")</f>
        <v>2.4107762163026882E-2</v>
      </c>
      <c r="K258" s="58">
        <f t="shared" si="196"/>
        <v>41.480415860981921</v>
      </c>
      <c r="L258" s="58">
        <f t="shared" si="197"/>
        <v>8.2689624219182217E-2</v>
      </c>
      <c r="M258" s="58">
        <f t="shared" si="198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199"/>
        <v>1701</v>
      </c>
      <c r="X258" s="60">
        <f t="shared" si="172"/>
        <v>48</v>
      </c>
      <c r="Y258" s="55">
        <v>10.525</v>
      </c>
      <c r="Z258" s="55">
        <f>BQ258-Y258-6</f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3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68"/>
        <v>0</v>
      </c>
      <c r="AX258" s="51">
        <v>0.31</v>
      </c>
      <c r="AY258" s="67">
        <v>0.69</v>
      </c>
      <c r="BA258" s="66"/>
      <c r="BB258" s="51">
        <f t="shared" si="189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X258" s="52"/>
      <c r="CY258" s="68" t="s">
        <v>86</v>
      </c>
    </row>
    <row r="259" spans="1:103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4">D259-E259</f>
        <v>8.7589934762348562</v>
      </c>
      <c r="H259" s="16">
        <f t="shared" ref="H259:H266" si="205">D259+E259</f>
        <v>8.8410065237651452</v>
      </c>
      <c r="I259" s="11">
        <f t="shared" si="202"/>
        <v>0.56729789934477026</v>
      </c>
      <c r="J259" s="33">
        <f t="shared" si="203"/>
        <v>2.6435130444770285E-3</v>
      </c>
      <c r="K259" s="33">
        <f t="shared" si="196"/>
        <v>378.28449611370542</v>
      </c>
      <c r="L259" s="33">
        <f t="shared" si="197"/>
        <v>0.56465438630029319</v>
      </c>
      <c r="M259" s="33">
        <f t="shared" si="198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199"/>
        <v>97046</v>
      </c>
      <c r="X259" s="9">
        <f t="shared" ref="X259:X322" si="206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07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CY259" s="34" t="s">
        <v>86</v>
      </c>
    </row>
    <row r="260" spans="1:103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08">D260/F260</f>
        <v>4.5559210526315792E-2</v>
      </c>
      <c r="F260" s="7">
        <v>182.4</v>
      </c>
      <c r="G260" s="7">
        <f t="shared" si="204"/>
        <v>8.2644407894736851</v>
      </c>
      <c r="H260" s="16">
        <f t="shared" si="205"/>
        <v>8.3555592105263159</v>
      </c>
      <c r="I260" s="11">
        <f t="shared" si="202"/>
        <v>0.57113962349685266</v>
      </c>
      <c r="J260" s="33">
        <f t="shared" si="203"/>
        <v>3.1312479358380075E-3</v>
      </c>
      <c r="K260" s="33">
        <f t="shared" si="196"/>
        <v>319.36148797248552</v>
      </c>
      <c r="L260" s="33">
        <f t="shared" si="197"/>
        <v>0.56800837556101469</v>
      </c>
      <c r="M260" s="33">
        <f t="shared" si="198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199"/>
        <v>68722</v>
      </c>
      <c r="X260" s="9">
        <f t="shared" si="206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07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CY260" s="34" t="s">
        <v>86</v>
      </c>
    </row>
    <row r="261" spans="1:103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08"/>
        <v>8.45648604269294E-2</v>
      </c>
      <c r="F261" s="7">
        <v>121.8</v>
      </c>
      <c r="G261" s="7">
        <f t="shared" si="204"/>
        <v>10.215435139573071</v>
      </c>
      <c r="H261" s="16">
        <f t="shared" si="205"/>
        <v>10.384564860426931</v>
      </c>
      <c r="I261" s="11">
        <f t="shared" si="202"/>
        <v>0.58631434535014559</v>
      </c>
      <c r="J261" s="33">
        <f t="shared" si="203"/>
        <v>4.8137466777516055E-3</v>
      </c>
      <c r="K261" s="33">
        <f t="shared" si="196"/>
        <v>207.73839317757324</v>
      </c>
      <c r="L261" s="33">
        <f t="shared" si="197"/>
        <v>0.58150059867239401</v>
      </c>
      <c r="M261" s="33">
        <f t="shared" si="198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199"/>
        <v>28320</v>
      </c>
      <c r="X261" s="9">
        <f t="shared" si="206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07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CY261" s="34" t="s">
        <v>86</v>
      </c>
    </row>
    <row r="262" spans="1:103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08"/>
        <v>0.30044843049327352</v>
      </c>
      <c r="F262" s="7">
        <v>44.6</v>
      </c>
      <c r="G262" s="7">
        <f t="shared" si="204"/>
        <v>13.099551569506726</v>
      </c>
      <c r="H262" s="16">
        <f t="shared" si="205"/>
        <v>13.700448430493275</v>
      </c>
      <c r="I262" s="11">
        <f t="shared" si="202"/>
        <v>0.2561815851402216</v>
      </c>
      <c r="J262" s="33">
        <f t="shared" si="203"/>
        <v>5.7439817296013806E-3</v>
      </c>
      <c r="K262" s="33">
        <f t="shared" si="196"/>
        <v>174.09526127956499</v>
      </c>
      <c r="L262" s="33">
        <f t="shared" si="197"/>
        <v>0.25043760341062021</v>
      </c>
      <c r="M262" s="33">
        <f t="shared" si="198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199"/>
        <v>28320</v>
      </c>
      <c r="X262" s="9">
        <f t="shared" si="206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07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CY262" s="34" t="s">
        <v>86</v>
      </c>
    </row>
    <row r="263" spans="1:103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08"/>
        <v>8.856502242152467E-2</v>
      </c>
      <c r="F263" s="7">
        <v>89.2</v>
      </c>
      <c r="G263" s="7">
        <f t="shared" si="204"/>
        <v>7.8114349775784753</v>
      </c>
      <c r="H263" s="16">
        <f t="shared" si="205"/>
        <v>7.9885650224215254</v>
      </c>
      <c r="I263" s="11">
        <f t="shared" si="202"/>
        <v>0.50802802585012474</v>
      </c>
      <c r="J263" s="33">
        <f t="shared" si="203"/>
        <v>5.6953814557188873E-3</v>
      </c>
      <c r="K263" s="33">
        <f t="shared" si="196"/>
        <v>175.58086456103354</v>
      </c>
      <c r="L263" s="33">
        <f t="shared" si="197"/>
        <v>0.50233264439440584</v>
      </c>
      <c r="M263" s="33">
        <f t="shared" si="198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199"/>
        <v>22872</v>
      </c>
      <c r="X263" s="9">
        <f t="shared" si="206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07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CY263" s="34" t="s">
        <v>86</v>
      </c>
    </row>
    <row r="264" spans="1:103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08"/>
        <v>5.2208835341365459E-2</v>
      </c>
      <c r="F264" s="7">
        <v>124.5</v>
      </c>
      <c r="G264" s="7">
        <f t="shared" si="204"/>
        <v>6.4477911646586348</v>
      </c>
      <c r="H264" s="16">
        <f t="shared" si="205"/>
        <v>6.5522088353413652</v>
      </c>
      <c r="I264" s="11">
        <f t="shared" si="202"/>
        <v>0.41575771597427358</v>
      </c>
      <c r="J264" s="33">
        <f t="shared" si="203"/>
        <v>3.3394194054158521E-3</v>
      </c>
      <c r="K264" s="33">
        <f t="shared" si="196"/>
        <v>299.4532517773016</v>
      </c>
      <c r="L264" s="33">
        <f t="shared" si="197"/>
        <v>0.4124182965688577</v>
      </c>
      <c r="M264" s="33">
        <f t="shared" si="198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199"/>
        <v>74172</v>
      </c>
      <c r="X264" s="9">
        <f t="shared" si="206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07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CY264" s="34" t="s">
        <v>86</v>
      </c>
    </row>
    <row r="265" spans="1:103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08"/>
        <v>0.86821705426356577</v>
      </c>
      <c r="F265" s="7">
        <v>12.9</v>
      </c>
      <c r="G265" s="7">
        <f t="shared" si="204"/>
        <v>10.331782945736434</v>
      </c>
      <c r="H265" s="16">
        <f t="shared" si="205"/>
        <v>12.068217054263565</v>
      </c>
      <c r="I265" s="11">
        <f t="shared" si="202"/>
        <v>7.6431230218154844E-2</v>
      </c>
      <c r="J265" s="33">
        <f t="shared" si="203"/>
        <v>5.924901567298824E-3</v>
      </c>
      <c r="K265" s="33">
        <f t="shared" si="196"/>
        <v>168.77917525571689</v>
      </c>
      <c r="L265" s="33">
        <f t="shared" si="197"/>
        <v>7.0506328650856015E-2</v>
      </c>
      <c r="M265" s="33">
        <f t="shared" si="198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199"/>
        <v>28320</v>
      </c>
      <c r="X265" s="9">
        <f t="shared" si="206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07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CY265" s="34" t="s">
        <v>86</v>
      </c>
    </row>
    <row r="266" spans="1:103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08"/>
        <v>1.0843373493975903</v>
      </c>
      <c r="F266" s="55">
        <v>16.600000000000001</v>
      </c>
      <c r="G266" s="55">
        <f t="shared" si="204"/>
        <v>16.91566265060241</v>
      </c>
      <c r="H266" s="56">
        <f t="shared" si="205"/>
        <v>19.08433734939759</v>
      </c>
      <c r="I266" s="57">
        <f t="shared" si="202"/>
        <v>6.3196237365657243E-2</v>
      </c>
      <c r="J266" s="58">
        <f t="shared" si="203"/>
        <v>3.8070022509432066E-3</v>
      </c>
      <c r="K266" s="58">
        <f t="shared" si="196"/>
        <v>262.67386622958901</v>
      </c>
      <c r="L266" s="58">
        <f t="shared" si="197"/>
        <v>5.9389235114714035E-2</v>
      </c>
      <c r="M266" s="58">
        <f t="shared" si="198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199"/>
        <v>68722</v>
      </c>
      <c r="X266" s="60">
        <f t="shared" si="206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07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X266" s="52"/>
      <c r="CY266" s="68" t="s">
        <v>86</v>
      </c>
    </row>
    <row r="267" spans="1:103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9">D267-E267</f>
        <v>12.156840195843781</v>
      </c>
      <c r="H267" s="16">
        <f t="shared" ref="H267:H290" si="210">D267+E267</f>
        <v>13.660244740319133</v>
      </c>
      <c r="I267" s="11">
        <f t="shared" si="202"/>
        <v>0.27491202321058933</v>
      </c>
      <c r="J267" s="33">
        <f t="shared" si="203"/>
        <v>1.6008933078528294E-2</v>
      </c>
      <c r="K267" s="33">
        <f t="shared" si="196"/>
        <v>62.465124633523068</v>
      </c>
      <c r="L267" s="33">
        <f t="shared" si="197"/>
        <v>0.25890309013206103</v>
      </c>
      <c r="M267" s="33">
        <f t="shared" si="198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199"/>
        <v>3607</v>
      </c>
      <c r="X267" s="9">
        <f t="shared" si="206"/>
        <v>48</v>
      </c>
      <c r="Y267" s="7">
        <v>17</v>
      </c>
      <c r="Z267" s="7">
        <f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07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CY267" s="34" t="s">
        <v>86</v>
      </c>
    </row>
    <row r="268" spans="1:103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9"/>
        <v>8.6993977471604467</v>
      </c>
      <c r="H268" s="16">
        <f t="shared" si="210"/>
        <v>10.750784115486493</v>
      </c>
      <c r="I268" s="11">
        <f t="shared" si="202"/>
        <v>0.15593996707303245</v>
      </c>
      <c r="J268" s="33">
        <f t="shared" si="203"/>
        <v>1.644679340223389E-2</v>
      </c>
      <c r="K268" s="33">
        <f t="shared" si="196"/>
        <v>60.802125711883434</v>
      </c>
      <c r="L268" s="33">
        <f t="shared" si="197"/>
        <v>0.13949317367079855</v>
      </c>
      <c r="M268" s="33">
        <f t="shared" si="198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199"/>
        <v>3607</v>
      </c>
      <c r="X268" s="9">
        <f t="shared" si="206"/>
        <v>48</v>
      </c>
      <c r="Y268" s="7">
        <v>12</v>
      </c>
      <c r="Z268" s="7">
        <f>BQ268-Y268-6</f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07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CY268" s="34" t="s">
        <v>86</v>
      </c>
    </row>
    <row r="269" spans="1:103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09"/>
        <v>7.2862186902123893</v>
      </c>
      <c r="H269" s="16">
        <f t="shared" si="210"/>
        <v>11.99190159430789</v>
      </c>
      <c r="I269" s="11">
        <f t="shared" si="202"/>
        <v>6.8055135339707112E-2</v>
      </c>
      <c r="J269" s="33">
        <f t="shared" si="203"/>
        <v>1.6611883429377326E-2</v>
      </c>
      <c r="K269" s="33">
        <f t="shared" si="196"/>
        <v>60.19787005196217</v>
      </c>
      <c r="L269" s="33">
        <f t="shared" si="197"/>
        <v>5.1443251910329786E-2</v>
      </c>
      <c r="M269" s="33">
        <f t="shared" si="198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199"/>
        <v>3607</v>
      </c>
      <c r="X269" s="9">
        <f t="shared" si="206"/>
        <v>48</v>
      </c>
      <c r="Y269" s="7">
        <v>9</v>
      </c>
      <c r="Z269" s="7">
        <f>BQ269-Y269-6</f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07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CY269" s="34" t="s">
        <v>86</v>
      </c>
    </row>
    <row r="270" spans="1:103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9"/>
        <v>12.124354879717853</v>
      </c>
      <c r="H270" s="16">
        <f t="shared" si="210"/>
        <v>13.626945869084594</v>
      </c>
      <c r="I270" s="11">
        <f t="shared" si="202"/>
        <v>0.27440159564256938</v>
      </c>
      <c r="J270" s="33">
        <f t="shared" si="203"/>
        <v>1.6011360711538254E-2</v>
      </c>
      <c r="K270" s="33">
        <f t="shared" si="196"/>
        <v>62.455653708392866</v>
      </c>
      <c r="L270" s="33">
        <f t="shared" si="197"/>
        <v>0.25839023493103114</v>
      </c>
      <c r="M270" s="33">
        <f t="shared" si="198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199"/>
        <v>3607</v>
      </c>
      <c r="X270" s="9">
        <f t="shared" si="206"/>
        <v>48</v>
      </c>
      <c r="Y270" s="7">
        <v>17</v>
      </c>
      <c r="Z270" s="7">
        <f>BQ270-Y270-6</f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07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CY270" s="34" t="s">
        <v>86</v>
      </c>
    </row>
    <row r="271" spans="1:103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9"/>
        <v>8.2342103780496974</v>
      </c>
      <c r="H271" s="16">
        <f t="shared" si="210"/>
        <v>10.273877168942741</v>
      </c>
      <c r="I271" s="11">
        <f t="shared" si="202"/>
        <v>0.14939224351455971</v>
      </c>
      <c r="J271" s="33">
        <f t="shared" si="203"/>
        <v>1.6463634999563725E-2</v>
      </c>
      <c r="K271" s="33">
        <f t="shared" si="196"/>
        <v>60.739927727169565</v>
      </c>
      <c r="L271" s="33">
        <f t="shared" si="197"/>
        <v>0.13292860851499599</v>
      </c>
      <c r="M271" s="33">
        <f t="shared" si="198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199"/>
        <v>3607</v>
      </c>
      <c r="X271" s="9">
        <f t="shared" si="206"/>
        <v>48</v>
      </c>
      <c r="Y271" s="7">
        <v>12</v>
      </c>
      <c r="Z271" s="7">
        <f>BQ271-Y271-6</f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07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CY271" s="34" t="s">
        <v>86</v>
      </c>
    </row>
    <row r="272" spans="1:103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9"/>
        <v>7.9213137409607643</v>
      </c>
      <c r="H272" s="16">
        <f t="shared" si="210"/>
        <v>12.742982974589056</v>
      </c>
      <c r="I272" s="11">
        <f t="shared" si="202"/>
        <v>7.1178233468594559E-2</v>
      </c>
      <c r="J272" s="33">
        <f t="shared" si="203"/>
        <v>1.6608254476005398E-2</v>
      </c>
      <c r="K272" s="33">
        <f t="shared" si="196"/>
        <v>60.21102346695973</v>
      </c>
      <c r="L272" s="33">
        <f t="shared" si="197"/>
        <v>5.4569978992589162E-2</v>
      </c>
      <c r="M272" s="33">
        <f t="shared" si="198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199"/>
        <v>3607</v>
      </c>
      <c r="X272" s="9">
        <f t="shared" si="206"/>
        <v>48</v>
      </c>
      <c r="Y272" s="7">
        <v>9</v>
      </c>
      <c r="Z272" s="7">
        <f>BQ272-Y272-6</f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07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CY272" s="34" t="s">
        <v>86</v>
      </c>
    </row>
    <row r="273" spans="1:103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9"/>
        <v>11.316627581306244</v>
      </c>
      <c r="H273" s="16">
        <f t="shared" si="210"/>
        <v>12.747171925670015</v>
      </c>
      <c r="I273" s="11">
        <f t="shared" si="202"/>
        <v>0.27001834234929567</v>
      </c>
      <c r="J273" s="33">
        <f t="shared" si="203"/>
        <v>1.6052045829682123E-2</v>
      </c>
      <c r="K273" s="33">
        <f t="shared" si="196"/>
        <v>62.297355154000513</v>
      </c>
      <c r="L273" s="33">
        <f t="shared" si="197"/>
        <v>0.25396629651961355</v>
      </c>
      <c r="M273" s="33">
        <f t="shared" si="198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199"/>
        <v>3598</v>
      </c>
      <c r="X273" s="9">
        <f t="shared" si="206"/>
        <v>48</v>
      </c>
      <c r="Y273" s="7">
        <v>17</v>
      </c>
      <c r="Z273" s="7">
        <f>BQ273-Y273-6</f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07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CY273" s="34" t="s">
        <v>86</v>
      </c>
    </row>
    <row r="274" spans="1:103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9"/>
        <v>6.9949455635997335</v>
      </c>
      <c r="H274" s="16">
        <f t="shared" si="210"/>
        <v>9.0785463697783779</v>
      </c>
      <c r="I274" s="11">
        <f t="shared" si="202"/>
        <v>0.12755660349884759</v>
      </c>
      <c r="J274" s="33">
        <f t="shared" si="203"/>
        <v>1.6535115268369132E-2</v>
      </c>
      <c r="K274" s="33">
        <f t="shared" si="196"/>
        <v>60.4773528197261</v>
      </c>
      <c r="L274" s="33">
        <f t="shared" si="197"/>
        <v>0.11102148823047846</v>
      </c>
      <c r="M274" s="33">
        <f t="shared" si="198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199"/>
        <v>3598</v>
      </c>
      <c r="X274" s="9">
        <f t="shared" si="206"/>
        <v>48</v>
      </c>
      <c r="Y274" s="7">
        <v>12</v>
      </c>
      <c r="Z274" s="7">
        <f>BQ274-Y274-6</f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07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CY274" s="34" t="s">
        <v>86</v>
      </c>
    </row>
    <row r="275" spans="1:103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9"/>
        <v>6.750573073567339</v>
      </c>
      <c r="H275" s="16">
        <f t="shared" si="210"/>
        <v>11.502373114178987</v>
      </c>
      <c r="I275" s="11">
        <f t="shared" si="202"/>
        <v>6.3908046110112735E-2</v>
      </c>
      <c r="J275" s="33">
        <f t="shared" si="203"/>
        <v>1.6637218615442571E-2</v>
      </c>
      <c r="K275" s="33">
        <f t="shared" si="196"/>
        <v>60.106200628499629</v>
      </c>
      <c r="L275" s="33">
        <f t="shared" si="197"/>
        <v>4.7270827494670167E-2</v>
      </c>
      <c r="M275" s="33">
        <f t="shared" si="198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6"/>
        <v>48</v>
      </c>
      <c r="Y275" s="7">
        <v>9</v>
      </c>
      <c r="Z275" s="7">
        <f>BQ275-Y275-6</f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07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CY275" s="34" t="s">
        <v>86</v>
      </c>
    </row>
    <row r="276" spans="1:103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09"/>
        <v>9.6935717472031975</v>
      </c>
      <c r="H276" s="16">
        <f t="shared" si="210"/>
        <v>11.184890477542151</v>
      </c>
      <c r="I276" s="11">
        <f t="shared" si="202"/>
        <v>0.22737941430131367</v>
      </c>
      <c r="J276" s="33">
        <f t="shared" si="203"/>
        <v>1.6241386735808119E-2</v>
      </c>
      <c r="K276" s="33">
        <f t="shared" si="196"/>
        <v>61.571097115448573</v>
      </c>
      <c r="L276" s="33">
        <f t="shared" si="197"/>
        <v>0.21113802756550554</v>
      </c>
      <c r="M276" s="33">
        <f t="shared" si="198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6"/>
        <v>48</v>
      </c>
      <c r="Y276" s="7">
        <v>17</v>
      </c>
      <c r="Z276" s="7">
        <f>BQ276-Y276-6</f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07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CY276" s="34" t="s">
        <v>86</v>
      </c>
    </row>
    <row r="277" spans="1:103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9"/>
        <v>6.6730621587632957</v>
      </c>
      <c r="H277" s="16">
        <f t="shared" si="210"/>
        <v>8.8232710765870248</v>
      </c>
      <c r="I277" s="11">
        <f t="shared" si="202"/>
        <v>0.11933944596542113</v>
      </c>
      <c r="J277" s="33">
        <f t="shared" si="203"/>
        <v>1.6559061880369444E-2</v>
      </c>
      <c r="K277" s="33">
        <f t="shared" si="196"/>
        <v>60.389894501541008</v>
      </c>
      <c r="L277" s="33">
        <f t="shared" si="197"/>
        <v>0.10278038408505169</v>
      </c>
      <c r="M277" s="33">
        <f t="shared" si="198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199"/>
        <v>3595</v>
      </c>
      <c r="X277" s="9">
        <f t="shared" si="206"/>
        <v>48</v>
      </c>
      <c r="Y277" s="7">
        <v>12</v>
      </c>
      <c r="Z277" s="7">
        <f>BQ277-Y277-6</f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07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CY277" s="34" t="s">
        <v>86</v>
      </c>
    </row>
    <row r="278" spans="1:103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09"/>
        <v>6.3845532301028811</v>
      </c>
      <c r="H278" s="16">
        <f t="shared" si="210"/>
        <v>11.19174625041564</v>
      </c>
      <c r="I278" s="11">
        <f t="shared" si="202"/>
        <v>6.0866798928885767E-2</v>
      </c>
      <c r="J278" s="33">
        <f t="shared" si="203"/>
        <v>1.6647329621575595E-2</v>
      </c>
      <c r="K278" s="33">
        <f t="shared" si="196"/>
        <v>60.069694223147991</v>
      </c>
      <c r="L278" s="33">
        <f t="shared" si="197"/>
        <v>4.4219469307310175E-2</v>
      </c>
      <c r="M278" s="33">
        <f t="shared" si="198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199"/>
        <v>3595</v>
      </c>
      <c r="X278" s="9">
        <f t="shared" si="206"/>
        <v>48</v>
      </c>
      <c r="Y278" s="7">
        <v>9</v>
      </c>
      <c r="Z278" s="7">
        <f>BQ278-Y278-6</f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07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CY278" s="34" t="s">
        <v>86</v>
      </c>
    </row>
    <row r="279" spans="1:103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09"/>
        <v>9.1999999999999993</v>
      </c>
      <c r="H279" s="16">
        <f t="shared" si="210"/>
        <v>10</v>
      </c>
      <c r="I279" s="11">
        <f t="shared" si="202"/>
        <v>0.37112415986742592</v>
      </c>
      <c r="J279" s="33">
        <f t="shared" si="203"/>
        <v>1.5463506661142748E-2</v>
      </c>
      <c r="K279" s="33">
        <f t="shared" ref="K279:K289" si="211">IFERROR(1/J279, "X")</f>
        <v>64.668384856898967</v>
      </c>
      <c r="L279" s="33">
        <f t="shared" ref="L279:L289" si="212">IFERROR(I279-J279, "X")</f>
        <v>0.35566065320628315</v>
      </c>
      <c r="M279" s="33">
        <f t="shared" ref="M279:M289" si="213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199"/>
        <v>3606</v>
      </c>
      <c r="X279" s="9">
        <f t="shared" si="206"/>
        <v>48</v>
      </c>
      <c r="Y279" s="7">
        <v>10.967499999999999</v>
      </c>
      <c r="Z279" s="7">
        <f>BQ279-Y279-6</f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07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CY279" s="34" t="s">
        <v>86</v>
      </c>
    </row>
    <row r="280" spans="1:103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4">D280/E280</f>
        <v>23.999999999999996</v>
      </c>
      <c r="G280" s="7">
        <f t="shared" si="209"/>
        <v>9.1999999999999993</v>
      </c>
      <c r="H280" s="16">
        <f t="shared" si="210"/>
        <v>10</v>
      </c>
      <c r="I280" s="11">
        <f t="shared" si="202"/>
        <v>0.37112415986742592</v>
      </c>
      <c r="J280" s="33">
        <f t="shared" si="203"/>
        <v>1.5463506661142748E-2</v>
      </c>
      <c r="K280" s="33">
        <f t="shared" si="211"/>
        <v>64.668384856898967</v>
      </c>
      <c r="L280" s="33">
        <f t="shared" si="212"/>
        <v>0.35566065320628315</v>
      </c>
      <c r="M280" s="33">
        <f t="shared" si="213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199"/>
        <v>3606</v>
      </c>
      <c r="X280" s="9">
        <f t="shared" si="206"/>
        <v>48</v>
      </c>
      <c r="Y280" s="7">
        <v>10.967499999999999</v>
      </c>
      <c r="Z280" s="7">
        <f>BQ280-Y280-6</f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07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CY280" s="34" t="s">
        <v>86</v>
      </c>
    </row>
    <row r="281" spans="1:103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4"/>
        <v>22.25</v>
      </c>
      <c r="G281" s="7">
        <f t="shared" si="209"/>
        <v>8.5</v>
      </c>
      <c r="H281" s="16">
        <f t="shared" si="210"/>
        <v>9.3000000000000007</v>
      </c>
      <c r="I281" s="11">
        <f t="shared" si="202"/>
        <v>0.34782347219477794</v>
      </c>
      <c r="J281" s="33">
        <f t="shared" si="203"/>
        <v>1.5632515604259684E-2</v>
      </c>
      <c r="K281" s="33">
        <f t="shared" si="211"/>
        <v>63.969230884855875</v>
      </c>
      <c r="L281" s="33">
        <f t="shared" si="212"/>
        <v>0.33219095659051823</v>
      </c>
      <c r="M281" s="33">
        <f t="shared" si="213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199"/>
        <v>3597</v>
      </c>
      <c r="X281" s="9">
        <f t="shared" si="206"/>
        <v>48</v>
      </c>
      <c r="Y281" s="7">
        <v>10.967499999999999</v>
      </c>
      <c r="Z281" s="7">
        <f>BQ281-Y281-6</f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07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CY281" s="34" t="s">
        <v>86</v>
      </c>
    </row>
    <row r="282" spans="1:103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4"/>
        <v>20.75</v>
      </c>
      <c r="G282" s="7">
        <f t="shared" si="209"/>
        <v>7.9</v>
      </c>
      <c r="H282" s="16">
        <f t="shared" si="210"/>
        <v>8.7000000000000011</v>
      </c>
      <c r="I282" s="11">
        <f t="shared" si="202"/>
        <v>0.32708359535466042</v>
      </c>
      <c r="J282" s="33">
        <f t="shared" si="203"/>
        <v>1.5763064836369176E-2</v>
      </c>
      <c r="K282" s="33">
        <f t="shared" si="211"/>
        <v>63.439439625520023</v>
      </c>
      <c r="L282" s="33">
        <f t="shared" si="212"/>
        <v>0.31132053051829123</v>
      </c>
      <c r="M282" s="33">
        <f t="shared" si="213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199"/>
        <v>3594</v>
      </c>
      <c r="X282" s="9">
        <f t="shared" si="206"/>
        <v>48</v>
      </c>
      <c r="Y282" s="7">
        <v>10.967499999999999</v>
      </c>
      <c r="Z282" s="7">
        <f>BQ282-Y282-6</f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07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CY282" s="34" t="s">
        <v>86</v>
      </c>
    </row>
    <row r="283" spans="1:103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4"/>
        <v>19.285714285714288</v>
      </c>
      <c r="G283" s="7">
        <f t="shared" si="209"/>
        <v>12.8</v>
      </c>
      <c r="H283" s="16">
        <f t="shared" si="210"/>
        <v>14.2</v>
      </c>
      <c r="I283" s="11">
        <f t="shared" si="202"/>
        <v>0.30573988659797846</v>
      </c>
      <c r="J283" s="33">
        <f t="shared" si="203"/>
        <v>1.5853179305080366E-2</v>
      </c>
      <c r="K283" s="33">
        <f t="shared" si="211"/>
        <v>63.078829852100171</v>
      </c>
      <c r="L283" s="33">
        <f t="shared" si="212"/>
        <v>0.28988670729289812</v>
      </c>
      <c r="M283" s="33">
        <f t="shared" si="213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199"/>
        <v>3607</v>
      </c>
      <c r="X283" s="9">
        <f t="shared" si="206"/>
        <v>48</v>
      </c>
      <c r="Y283" s="7">
        <v>17</v>
      </c>
      <c r="Z283" s="7">
        <f>BQ283-Y283-6</f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07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CY283" s="34" t="s">
        <v>86</v>
      </c>
    </row>
    <row r="284" spans="1:103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4"/>
        <v>9</v>
      </c>
      <c r="G284" s="7">
        <f t="shared" si="209"/>
        <v>5.6</v>
      </c>
      <c r="H284" s="16">
        <f t="shared" si="210"/>
        <v>7</v>
      </c>
      <c r="I284" s="11">
        <f t="shared" si="202"/>
        <v>0.14819960743622645</v>
      </c>
      <c r="J284" s="33">
        <f t="shared" si="203"/>
        <v>1.6466623048469606E-2</v>
      </c>
      <c r="K284" s="33">
        <f t="shared" si="211"/>
        <v>60.728905802755904</v>
      </c>
      <c r="L284" s="33">
        <f t="shared" si="212"/>
        <v>0.13173298438775685</v>
      </c>
      <c r="M284" s="33">
        <f t="shared" si="213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199"/>
        <v>3607</v>
      </c>
      <c r="X284" s="9">
        <f t="shared" si="206"/>
        <v>48</v>
      </c>
      <c r="Y284" s="7">
        <v>7</v>
      </c>
      <c r="Z284" s="7">
        <f>BQ284-Y284-6</f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07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CY284" s="34" t="s">
        <v>86</v>
      </c>
    </row>
    <row r="285" spans="1:103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4"/>
        <v>19.285714285714288</v>
      </c>
      <c r="G285" s="7">
        <f t="shared" si="209"/>
        <v>12.8</v>
      </c>
      <c r="H285" s="16">
        <f t="shared" si="210"/>
        <v>14.2</v>
      </c>
      <c r="I285" s="11">
        <f t="shared" si="202"/>
        <v>0.30573988659797846</v>
      </c>
      <c r="J285" s="33">
        <f t="shared" si="203"/>
        <v>1.5853179305080366E-2</v>
      </c>
      <c r="K285" s="33">
        <f t="shared" si="211"/>
        <v>63.078829852100171</v>
      </c>
      <c r="L285" s="33">
        <f t="shared" si="212"/>
        <v>0.28988670729289812</v>
      </c>
      <c r="M285" s="33">
        <f t="shared" si="213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199"/>
        <v>3607</v>
      </c>
      <c r="X285" s="9">
        <f t="shared" si="206"/>
        <v>48</v>
      </c>
      <c r="Y285" s="7">
        <v>17</v>
      </c>
      <c r="Z285" s="7">
        <f>BQ285-Y285-6</f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07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CY285" s="34" t="s">
        <v>86</v>
      </c>
    </row>
    <row r="286" spans="1:103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4"/>
        <v>7.75</v>
      </c>
      <c r="G286" s="7">
        <f t="shared" si="209"/>
        <v>5.4</v>
      </c>
      <c r="H286" s="16">
        <f t="shared" si="210"/>
        <v>7</v>
      </c>
      <c r="I286" s="11">
        <f t="shared" si="202"/>
        <v>0.12803251186248216</v>
      </c>
      <c r="J286" s="33">
        <f t="shared" si="203"/>
        <v>1.652032411128802E-2</v>
      </c>
      <c r="K286" s="33">
        <f t="shared" si="211"/>
        <v>60.531500064016249</v>
      </c>
      <c r="L286" s="33">
        <f t="shared" si="212"/>
        <v>0.11151218775119413</v>
      </c>
      <c r="M286" s="33">
        <f t="shared" si="213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199"/>
        <v>3604</v>
      </c>
      <c r="X286" s="9">
        <f t="shared" si="206"/>
        <v>48</v>
      </c>
      <c r="Y286" s="7">
        <v>7</v>
      </c>
      <c r="Z286" s="7">
        <f>BQ286-Y286-6</f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07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CY286" s="34" t="s">
        <v>86</v>
      </c>
    </row>
    <row r="287" spans="1:103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4"/>
        <v>18.428571428571431</v>
      </c>
      <c r="G287" s="7">
        <f t="shared" si="209"/>
        <v>12.200000000000001</v>
      </c>
      <c r="H287" s="16">
        <f t="shared" si="210"/>
        <v>13.6</v>
      </c>
      <c r="I287" s="11">
        <f t="shared" si="202"/>
        <v>0.2936805581146279</v>
      </c>
      <c r="J287" s="33">
        <f t="shared" si="203"/>
        <v>1.5936154316297638E-2</v>
      </c>
      <c r="K287" s="33">
        <f t="shared" si="211"/>
        <v>62.750396372437024</v>
      </c>
      <c r="L287" s="33">
        <f t="shared" si="212"/>
        <v>0.27774440379833026</v>
      </c>
      <c r="M287" s="33">
        <f t="shared" si="213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199"/>
        <v>3598</v>
      </c>
      <c r="X287" s="9">
        <f t="shared" si="206"/>
        <v>48</v>
      </c>
      <c r="Y287" s="7">
        <v>17</v>
      </c>
      <c r="Z287" s="7">
        <f>BQ287-Y287-6</f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07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CY287" s="34" t="s">
        <v>86</v>
      </c>
    </row>
    <row r="288" spans="1:103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4"/>
        <v>7.7142857142857153</v>
      </c>
      <c r="G288" s="7">
        <f t="shared" si="209"/>
        <v>4.7</v>
      </c>
      <c r="H288" s="16">
        <f t="shared" si="210"/>
        <v>6.1000000000000005</v>
      </c>
      <c r="I288" s="11">
        <f t="shared" si="202"/>
        <v>0.12755660349884759</v>
      </c>
      <c r="J288" s="33">
        <f t="shared" si="203"/>
        <v>1.6535115268369132E-2</v>
      </c>
      <c r="K288" s="33">
        <f t="shared" si="211"/>
        <v>60.4773528197261</v>
      </c>
      <c r="L288" s="33">
        <f t="shared" si="212"/>
        <v>0.11102148823047846</v>
      </c>
      <c r="M288" s="33">
        <f t="shared" si="213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199"/>
        <v>3598</v>
      </c>
      <c r="X288" s="9">
        <f t="shared" si="206"/>
        <v>48</v>
      </c>
      <c r="Y288" s="7">
        <v>7</v>
      </c>
      <c r="Z288" s="7">
        <f>BQ288-Y288-6</f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07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CY288" s="34" t="s">
        <v>86</v>
      </c>
    </row>
    <row r="289" spans="1:103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4"/>
        <v>17</v>
      </c>
      <c r="G289" s="7">
        <f t="shared" si="209"/>
        <v>11.200000000000001</v>
      </c>
      <c r="H289" s="16">
        <f t="shared" si="210"/>
        <v>12.6</v>
      </c>
      <c r="I289" s="11">
        <f t="shared" si="202"/>
        <v>0.27277798111741397</v>
      </c>
      <c r="J289" s="33">
        <f t="shared" si="203"/>
        <v>1.6045763595141999E-2</v>
      </c>
      <c r="K289" s="33">
        <f t="shared" si="211"/>
        <v>62.321745803531535</v>
      </c>
      <c r="L289" s="33">
        <f t="shared" si="212"/>
        <v>0.25673221752227199</v>
      </c>
      <c r="M289" s="33">
        <f t="shared" si="213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199"/>
        <v>3595</v>
      </c>
      <c r="X289" s="9">
        <f t="shared" si="206"/>
        <v>48</v>
      </c>
      <c r="Y289" s="7">
        <v>17</v>
      </c>
      <c r="Z289" s="7">
        <f>BQ289-Y289-6</f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07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CY289" s="34" t="s">
        <v>86</v>
      </c>
    </row>
    <row r="290" spans="1:103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4"/>
        <v>6.6249999999999991</v>
      </c>
      <c r="G290" s="7">
        <f t="shared" si="209"/>
        <v>4.5</v>
      </c>
      <c r="H290" s="16">
        <f t="shared" si="210"/>
        <v>6.1</v>
      </c>
      <c r="I290" s="11">
        <f t="shared" si="202"/>
        <v>0.10982504289539416</v>
      </c>
      <c r="J290" s="33">
        <f t="shared" si="203"/>
        <v>1.6577364965342515E-2</v>
      </c>
      <c r="K290" s="33">
        <f t="shared" ref="K290" si="215">IFERROR(1/J290, "X")</f>
        <v>60.323217959588334</v>
      </c>
      <c r="L290" s="33">
        <f t="shared" ref="L290" si="216">IFERROR(I290-J290, "X")</f>
        <v>9.3247677930051648E-2</v>
      </c>
      <c r="M290" s="33">
        <f t="shared" ref="M290" si="217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199"/>
        <v>3595</v>
      </c>
      <c r="X290" s="9">
        <f t="shared" si="206"/>
        <v>48</v>
      </c>
      <c r="Y290" s="7">
        <v>7</v>
      </c>
      <c r="Z290" s="7">
        <f>BQ290-Y290-6</f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07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CY290" s="34" t="s">
        <v>86</v>
      </c>
    </row>
    <row r="291" spans="1:103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8">D291-E291</f>
        <v>9.6935717472031975</v>
      </c>
      <c r="H291" s="16">
        <f t="shared" ref="H291:H314" si="219">D291+E291</f>
        <v>11.184890477542151</v>
      </c>
      <c r="I291" s="11">
        <f t="shared" si="202"/>
        <v>0.22710998958306755</v>
      </c>
      <c r="J291" s="33">
        <f t="shared" si="203"/>
        <v>1.6222142113076255E-2</v>
      </c>
      <c r="K291" s="33">
        <f t="shared" ref="K291:K314" si="220">IFERROR(1/J291, "X")</f>
        <v>61.644140029689758</v>
      </c>
      <c r="L291" s="33">
        <f t="shared" ref="L291:L314" si="221">IFERROR(I291-J291, "X")</f>
        <v>0.21088784746999129</v>
      </c>
      <c r="M291" s="33">
        <f t="shared" ref="M291:M314" si="222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199"/>
        <v>3604</v>
      </c>
      <c r="X291" s="9">
        <f t="shared" si="206"/>
        <v>48</v>
      </c>
      <c r="Y291" s="7">
        <v>17</v>
      </c>
      <c r="Z291" s="7">
        <f>BQ291-Y291-6</f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07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CY291" s="34" t="s">
        <v>86</v>
      </c>
    </row>
    <row r="292" spans="1:103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8"/>
        <v>6.6730621587632957</v>
      </c>
      <c r="H292" s="16">
        <f t="shared" si="219"/>
        <v>8.8232710765870248</v>
      </c>
      <c r="I292" s="11">
        <f t="shared" si="202"/>
        <v>0.11919246365301839</v>
      </c>
      <c r="J292" s="33">
        <f t="shared" si="203"/>
        <v>1.6538667205442746E-2</v>
      </c>
      <c r="K292" s="33">
        <f t="shared" si="220"/>
        <v>60.464364363708086</v>
      </c>
      <c r="L292" s="33">
        <f t="shared" si="221"/>
        <v>0.10265379644757563</v>
      </c>
      <c r="M292" s="33">
        <f t="shared" si="222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199"/>
        <v>3604</v>
      </c>
      <c r="X292" s="9">
        <f t="shared" si="206"/>
        <v>48</v>
      </c>
      <c r="Y292" s="7">
        <v>12</v>
      </c>
      <c r="Z292" s="7">
        <f>BQ292-Y292-6</f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07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CY292" s="34" t="s">
        <v>86</v>
      </c>
    </row>
    <row r="293" spans="1:103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18"/>
        <v>6.3845532301028811</v>
      </c>
      <c r="H293" s="16">
        <f t="shared" si="219"/>
        <v>11.19174625041564</v>
      </c>
      <c r="I293" s="11">
        <f t="shared" si="202"/>
        <v>6.0791033576574907E-2</v>
      </c>
      <c r="J293" s="33">
        <f t="shared" si="203"/>
        <v>1.6626607473935018E-2</v>
      </c>
      <c r="K293" s="33">
        <f t="shared" si="220"/>
        <v>60.144560552576159</v>
      </c>
      <c r="L293" s="33">
        <f t="shared" si="221"/>
        <v>4.4164426102639889E-2</v>
      </c>
      <c r="M293" s="33">
        <f t="shared" si="222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199"/>
        <v>3604</v>
      </c>
      <c r="X293" s="9">
        <f t="shared" si="206"/>
        <v>48</v>
      </c>
      <c r="Y293" s="7">
        <v>9</v>
      </c>
      <c r="Z293" s="7">
        <f>BQ293-Y293-6</f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07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CY293" s="34" t="s">
        <v>86</v>
      </c>
    </row>
    <row r="294" spans="1:103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8"/>
        <v>4.9122033361568977</v>
      </c>
      <c r="H294" s="16">
        <f t="shared" si="219"/>
        <v>13.520718093580372</v>
      </c>
      <c r="I294" s="11">
        <f t="shared" si="202"/>
        <v>3.5644906394878523E-2</v>
      </c>
      <c r="J294" s="33">
        <f t="shared" si="203"/>
        <v>1.6646829635602899E-2</v>
      </c>
      <c r="K294" s="33">
        <f t="shared" si="220"/>
        <v>60.071498410801333</v>
      </c>
      <c r="L294" s="33">
        <f t="shared" si="221"/>
        <v>1.8998076759275624E-2</v>
      </c>
      <c r="M294" s="33">
        <f t="shared" si="222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199"/>
        <v>3604</v>
      </c>
      <c r="X294" s="9">
        <f t="shared" si="206"/>
        <v>48</v>
      </c>
      <c r="Y294" s="7">
        <v>17</v>
      </c>
      <c r="Z294" s="7">
        <f>BQ294-Y294-6</f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07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CY294" s="34" t="s">
        <v>86</v>
      </c>
    </row>
    <row r="295" spans="1:103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8"/>
        <v>6.4510960403478261</v>
      </c>
      <c r="H295" s="16">
        <f t="shared" si="219"/>
        <v>15.799390901211142</v>
      </c>
      <c r="I295" s="11">
        <f t="shared" si="202"/>
        <v>3.9616276756962054E-2</v>
      </c>
      <c r="J295" s="33">
        <f t="shared" si="203"/>
        <v>1.6644338498584751E-2</v>
      </c>
      <c r="K295" s="33">
        <f t="shared" si="220"/>
        <v>60.080489235725942</v>
      </c>
      <c r="L295" s="33">
        <f t="shared" si="221"/>
        <v>2.2971938258377303E-2</v>
      </c>
      <c r="M295" s="33">
        <f t="shared" si="222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199"/>
        <v>3604</v>
      </c>
      <c r="X295" s="9">
        <f t="shared" si="206"/>
        <v>48</v>
      </c>
      <c r="Y295" s="7">
        <v>12</v>
      </c>
      <c r="Z295" s="7">
        <f>BQ295-Y295-6</f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07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CY295" s="34" t="s">
        <v>86</v>
      </c>
    </row>
    <row r="296" spans="1:103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8"/>
        <v>3.8585771321726656</v>
      </c>
      <c r="H296" s="16">
        <f t="shared" si="219"/>
        <v>10.252790665487366</v>
      </c>
      <c r="I296" s="11">
        <f t="shared" si="202"/>
        <v>3.6736377862039815E-2</v>
      </c>
      <c r="J296" s="33">
        <f t="shared" si="203"/>
        <v>1.6646171218736787E-2</v>
      </c>
      <c r="K296" s="33">
        <f t="shared" si="220"/>
        <v>60.073874457953949</v>
      </c>
      <c r="L296" s="33">
        <f t="shared" si="221"/>
        <v>2.0090206643303028E-2</v>
      </c>
      <c r="M296" s="33">
        <f t="shared" si="222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199"/>
        <v>3604</v>
      </c>
      <c r="X296" s="9">
        <f t="shared" si="206"/>
        <v>48</v>
      </c>
      <c r="Y296" s="7">
        <v>9</v>
      </c>
      <c r="Z296" s="7">
        <f>BQ296-Y296-6</f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07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CY296" s="34" t="s">
        <v>86</v>
      </c>
    </row>
    <row r="297" spans="1:103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8"/>
        <v>4.6993808664236791</v>
      </c>
      <c r="H297" s="16">
        <f t="shared" si="219"/>
        <v>12.748576811990391</v>
      </c>
      <c r="I297" s="11">
        <f t="shared" si="202"/>
        <v>3.6174506318020855E-2</v>
      </c>
      <c r="J297" s="33">
        <f t="shared" si="203"/>
        <v>1.6688239102512385E-2</v>
      </c>
      <c r="K297" s="33">
        <f t="shared" si="220"/>
        <v>59.92243962093351</v>
      </c>
      <c r="L297" s="33">
        <f t="shared" si="221"/>
        <v>1.948626721550847E-2</v>
      </c>
      <c r="M297" s="33">
        <f t="shared" si="222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199"/>
        <v>3586</v>
      </c>
      <c r="X297" s="9">
        <f t="shared" si="206"/>
        <v>48</v>
      </c>
      <c r="Y297" s="7">
        <v>17</v>
      </c>
      <c r="Z297" s="7">
        <f>BQ297-Y297-6</f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07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CY297" s="34" t="s">
        <v>86</v>
      </c>
    </row>
    <row r="298" spans="1:103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8"/>
        <v>6.8841698175225643</v>
      </c>
      <c r="H298" s="16">
        <f t="shared" si="219"/>
        <v>16.529786285011806</v>
      </c>
      <c r="I298" s="11">
        <f t="shared" si="202"/>
        <v>4.0502623357663262E-2</v>
      </c>
      <c r="J298" s="33">
        <f t="shared" si="203"/>
        <v>1.6685466100831381E-2</v>
      </c>
      <c r="K298" s="33">
        <f t="shared" si="220"/>
        <v>59.932398289441451</v>
      </c>
      <c r="L298" s="33">
        <f t="shared" si="221"/>
        <v>2.3817157256831881E-2</v>
      </c>
      <c r="M298" s="33">
        <f t="shared" si="222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199"/>
        <v>3586</v>
      </c>
      <c r="X298" s="9">
        <f t="shared" si="206"/>
        <v>48</v>
      </c>
      <c r="Y298" s="7">
        <v>12</v>
      </c>
      <c r="Z298" s="7">
        <f>BQ298-Y298-6</f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07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CY298" s="34" t="s">
        <v>86</v>
      </c>
    </row>
    <row r="299" spans="1:103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8"/>
        <v>3.7077560286635793</v>
      </c>
      <c r="H299" s="16">
        <f t="shared" si="219"/>
        <v>10.242217148486519</v>
      </c>
      <c r="I299" s="11">
        <f t="shared" si="202"/>
        <v>3.5627278687847777E-2</v>
      </c>
      <c r="J299" s="33">
        <f t="shared" si="203"/>
        <v>1.6688567385360273E-2</v>
      </c>
      <c r="K299" s="33">
        <f t="shared" si="220"/>
        <v>59.92126087930297</v>
      </c>
      <c r="L299" s="33">
        <f t="shared" si="221"/>
        <v>1.8938711302487504E-2</v>
      </c>
      <c r="M299" s="33">
        <f t="shared" si="222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199"/>
        <v>3586</v>
      </c>
      <c r="X299" s="9">
        <f t="shared" si="206"/>
        <v>48</v>
      </c>
      <c r="Y299" s="7">
        <v>9</v>
      </c>
      <c r="Z299" s="7">
        <f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07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CY299" s="34" t="s">
        <v>86</v>
      </c>
    </row>
    <row r="300" spans="1:103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8"/>
        <v>4.7511276464999437</v>
      </c>
      <c r="H300" s="16">
        <f t="shared" si="219"/>
        <v>13.332245946811065</v>
      </c>
      <c r="I300" s="11">
        <f t="shared" si="202"/>
        <v>3.5183836008184796E-2</v>
      </c>
      <c r="J300" s="33">
        <f t="shared" si="203"/>
        <v>1.6695814942221738E-2</v>
      </c>
      <c r="K300" s="33">
        <f t="shared" si="220"/>
        <v>59.895249405952534</v>
      </c>
      <c r="L300" s="33">
        <f t="shared" si="221"/>
        <v>1.8488021065963058E-2</v>
      </c>
      <c r="M300" s="33">
        <f t="shared" si="222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199"/>
        <v>3583</v>
      </c>
      <c r="X300" s="9">
        <f t="shared" si="206"/>
        <v>48</v>
      </c>
      <c r="Y300" s="7">
        <v>17</v>
      </c>
      <c r="Z300" s="7">
        <f>BQ300-Y300-6</f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07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CY300" s="34" t="s">
        <v>86</v>
      </c>
    </row>
    <row r="301" spans="1:103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8"/>
        <v>6.3704988645164367</v>
      </c>
      <c r="H301" s="16">
        <f t="shared" si="219"/>
        <v>15.791115367195287</v>
      </c>
      <c r="I301" s="11">
        <f t="shared" si="202"/>
        <v>3.9270237655435782E-2</v>
      </c>
      <c r="J301" s="33">
        <f t="shared" si="203"/>
        <v>1.6693271755969217E-2</v>
      </c>
      <c r="K301" s="33">
        <f t="shared" si="220"/>
        <v>59.904374326286145</v>
      </c>
      <c r="L301" s="33">
        <f t="shared" si="221"/>
        <v>2.2576965899466565E-2</v>
      </c>
      <c r="M301" s="33">
        <f t="shared" si="222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199"/>
        <v>3583</v>
      </c>
      <c r="X301" s="9">
        <f t="shared" si="206"/>
        <v>48</v>
      </c>
      <c r="Y301" s="7">
        <v>12</v>
      </c>
      <c r="Z301" s="7">
        <f>BQ301-Y301-6</f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07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CY301" s="34" t="s">
        <v>86</v>
      </c>
    </row>
    <row r="302" spans="1:103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8"/>
        <v>4.0159222397536398</v>
      </c>
      <c r="H302" s="16">
        <f t="shared" si="219"/>
        <v>10.500347140640251</v>
      </c>
      <c r="I302" s="11">
        <f t="shared" si="202"/>
        <v>3.7372886443261165E-2</v>
      </c>
      <c r="J302" s="33">
        <f t="shared" si="203"/>
        <v>1.6694487345213109E-2</v>
      </c>
      <c r="K302" s="33">
        <f t="shared" si="220"/>
        <v>59.900012460504506</v>
      </c>
      <c r="L302" s="33">
        <f t="shared" si="221"/>
        <v>2.0678399098048056E-2</v>
      </c>
      <c r="M302" s="33">
        <f t="shared" si="222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199"/>
        <v>3583</v>
      </c>
      <c r="X302" s="9">
        <f t="shared" si="206"/>
        <v>48</v>
      </c>
      <c r="Y302" s="7">
        <v>9</v>
      </c>
      <c r="Z302" s="7">
        <f>BQ302-Y302-6</f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07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CY302" s="34" t="s">
        <v>86</v>
      </c>
    </row>
    <row r="303" spans="1:103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18"/>
        <v>7.9</v>
      </c>
      <c r="H303" s="16">
        <f t="shared" si="219"/>
        <v>8.7000000000000011</v>
      </c>
      <c r="I303" s="11">
        <f t="shared" si="202"/>
        <v>0.3266375144591237</v>
      </c>
      <c r="J303" s="33">
        <f t="shared" si="203"/>
        <v>1.5741566961885479E-2</v>
      </c>
      <c r="K303" s="33">
        <f t="shared" si="220"/>
        <v>63.526077322623976</v>
      </c>
      <c r="L303" s="33">
        <f t="shared" si="221"/>
        <v>0.3108959474972382</v>
      </c>
      <c r="M303" s="33">
        <f t="shared" si="222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199"/>
        <v>3605</v>
      </c>
      <c r="X303" s="9">
        <f t="shared" si="206"/>
        <v>48</v>
      </c>
      <c r="Y303" s="7">
        <v>10.967499999999999</v>
      </c>
      <c r="Z303" s="7">
        <f>BQ303-Y303-6</f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07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CY303" s="34" t="s">
        <v>86</v>
      </c>
    </row>
    <row r="304" spans="1:103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3">D304/E304</f>
        <v>4.7058823529411766</v>
      </c>
      <c r="G304" s="7">
        <f t="shared" si="218"/>
        <v>6.3</v>
      </c>
      <c r="H304" s="16">
        <f t="shared" si="219"/>
        <v>9.6999999999999993</v>
      </c>
      <c r="I304" s="11">
        <f t="shared" si="202"/>
        <v>7.8137333630947534E-2</v>
      </c>
      <c r="J304" s="33">
        <f t="shared" si="203"/>
        <v>1.660418339657635E-2</v>
      </c>
      <c r="K304" s="33">
        <f t="shared" si="220"/>
        <v>60.225786244097499</v>
      </c>
      <c r="L304" s="33">
        <f t="shared" si="221"/>
        <v>6.1533150234371184E-2</v>
      </c>
      <c r="M304" s="33">
        <f t="shared" si="222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199"/>
        <v>3605</v>
      </c>
      <c r="X304" s="9">
        <f t="shared" si="206"/>
        <v>48</v>
      </c>
      <c r="Y304" s="7">
        <v>10.967499999999999</v>
      </c>
      <c r="Z304" s="7">
        <f>BQ304-Y304-6</f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07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CY304" s="34" t="s">
        <v>86</v>
      </c>
    </row>
    <row r="305" spans="1:103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3"/>
        <v>4.8235294117647056</v>
      </c>
      <c r="G305" s="7">
        <f t="shared" si="218"/>
        <v>6.4999999999999991</v>
      </c>
      <c r="H305" s="16">
        <f t="shared" si="219"/>
        <v>9.8999999999999986</v>
      </c>
      <c r="I305" s="11">
        <f t="shared" si="202"/>
        <v>8.0277770773294066E-2</v>
      </c>
      <c r="J305" s="33">
        <f t="shared" si="203"/>
        <v>1.6642952477390238E-2</v>
      </c>
      <c r="K305" s="33">
        <f t="shared" si="220"/>
        <v>60.085492724834651</v>
      </c>
      <c r="L305" s="33">
        <f t="shared" si="221"/>
        <v>6.3634818295903825E-2</v>
      </c>
      <c r="M305" s="33">
        <f t="shared" si="222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199"/>
        <v>3587</v>
      </c>
      <c r="X305" s="9">
        <f t="shared" si="206"/>
        <v>48</v>
      </c>
      <c r="Y305" s="7">
        <v>10.967499999999999</v>
      </c>
      <c r="Z305" s="7">
        <f>BQ305-Y305-6</f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07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CY305" s="34" t="s">
        <v>86</v>
      </c>
    </row>
    <row r="306" spans="1:103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3"/>
        <v>4.7058823529411766</v>
      </c>
      <c r="G306" s="7">
        <f t="shared" si="218"/>
        <v>6.3</v>
      </c>
      <c r="H306" s="16">
        <f t="shared" si="219"/>
        <v>9.6999999999999993</v>
      </c>
      <c r="I306" s="11">
        <f t="shared" si="202"/>
        <v>7.8364515553668732E-2</v>
      </c>
      <c r="J306" s="33">
        <f t="shared" si="203"/>
        <v>1.6652459555154608E-2</v>
      </c>
      <c r="K306" s="33">
        <f t="shared" si="220"/>
        <v>60.051189236514894</v>
      </c>
      <c r="L306" s="33">
        <f t="shared" si="221"/>
        <v>6.171205599851412E-2</v>
      </c>
      <c r="M306" s="33">
        <f t="shared" si="222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199"/>
        <v>3584</v>
      </c>
      <c r="X306" s="9">
        <f t="shared" si="206"/>
        <v>48</v>
      </c>
      <c r="Y306" s="7">
        <v>10.967499999999999</v>
      </c>
      <c r="Z306" s="7">
        <f>BQ306-Y306-6</f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07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CY306" s="34" t="s">
        <v>86</v>
      </c>
    </row>
    <row r="307" spans="1:103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3"/>
        <v>17</v>
      </c>
      <c r="G307" s="7">
        <f t="shared" si="218"/>
        <v>11.200000000000001</v>
      </c>
      <c r="H307" s="16">
        <f t="shared" si="219"/>
        <v>12.6</v>
      </c>
      <c r="I307" s="11">
        <f t="shared" si="202"/>
        <v>0.27246248890491698</v>
      </c>
      <c r="J307" s="33">
        <f t="shared" si="203"/>
        <v>1.6027205229700997E-2</v>
      </c>
      <c r="K307" s="33">
        <f t="shared" si="220"/>
        <v>62.393909959225994</v>
      </c>
      <c r="L307" s="33">
        <f t="shared" si="221"/>
        <v>0.25643528367521595</v>
      </c>
      <c r="M307" s="33">
        <f t="shared" si="222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199"/>
        <v>3604</v>
      </c>
      <c r="X307" s="9">
        <f t="shared" si="206"/>
        <v>48</v>
      </c>
      <c r="Y307" s="7">
        <v>17</v>
      </c>
      <c r="Z307" s="7">
        <f>BQ307-Y307-6</f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07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CY307" s="34" t="s">
        <v>86</v>
      </c>
    </row>
    <row r="308" spans="1:103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3"/>
        <v>6.6249999999999991</v>
      </c>
      <c r="G308" s="7">
        <f t="shared" si="218"/>
        <v>4.5</v>
      </c>
      <c r="H308" s="16">
        <f t="shared" si="219"/>
        <v>6.1</v>
      </c>
      <c r="I308" s="11">
        <f t="shared" si="202"/>
        <v>0.10968948019675485</v>
      </c>
      <c r="J308" s="33">
        <f t="shared" si="203"/>
        <v>1.6556902671208282E-2</v>
      </c>
      <c r="K308" s="33">
        <f t="shared" si="220"/>
        <v>60.397770033338155</v>
      </c>
      <c r="L308" s="33">
        <f t="shared" si="221"/>
        <v>9.3132577525546573E-2</v>
      </c>
      <c r="M308" s="33">
        <f t="shared" si="222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199"/>
        <v>3604</v>
      </c>
      <c r="X308" s="9">
        <f t="shared" si="206"/>
        <v>48</v>
      </c>
      <c r="Y308" s="7">
        <v>7</v>
      </c>
      <c r="Z308" s="7">
        <f>BQ308-Y308-6</f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07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CY308" s="34" t="s">
        <v>86</v>
      </c>
    </row>
    <row r="309" spans="1:103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3"/>
        <v>2.5384615384615388</v>
      </c>
      <c r="G309" s="7">
        <f t="shared" si="218"/>
        <v>6</v>
      </c>
      <c r="H309" s="16">
        <f t="shared" si="219"/>
        <v>13.8</v>
      </c>
      <c r="I309" s="11">
        <f t="shared" si="202"/>
        <v>4.2246457103995896E-2</v>
      </c>
      <c r="J309" s="33">
        <f t="shared" si="203"/>
        <v>1.6642543707634745E-2</v>
      </c>
      <c r="K309" s="33">
        <f t="shared" si="220"/>
        <v>60.086968528810374</v>
      </c>
      <c r="L309" s="33">
        <f t="shared" si="221"/>
        <v>2.5603913396361151E-2</v>
      </c>
      <c r="M309" s="33">
        <f t="shared" si="222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199"/>
        <v>3604</v>
      </c>
      <c r="X309" s="9">
        <f t="shared" si="206"/>
        <v>48</v>
      </c>
      <c r="Y309" s="7">
        <v>17</v>
      </c>
      <c r="Z309" s="7">
        <f>BQ309-Y309-6</f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07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CY309" s="34" t="s">
        <v>86</v>
      </c>
    </row>
    <row r="310" spans="1:103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3"/>
        <v>2.5925925925925926</v>
      </c>
      <c r="G310" s="7">
        <f t="shared" si="218"/>
        <v>4.3</v>
      </c>
      <c r="H310" s="16">
        <f t="shared" si="219"/>
        <v>9.6999999999999993</v>
      </c>
      <c r="I310" s="11">
        <f t="shared" si="202"/>
        <v>4.3145675984180239E-2</v>
      </c>
      <c r="J310" s="33">
        <f t="shared" si="203"/>
        <v>1.664190359389809E-2</v>
      </c>
      <c r="K310" s="33">
        <f t="shared" si="220"/>
        <v>60.08927971236772</v>
      </c>
      <c r="L310" s="33">
        <f t="shared" si="221"/>
        <v>2.6503772390282149E-2</v>
      </c>
      <c r="M310" s="33">
        <f t="shared" si="222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199"/>
        <v>3604</v>
      </c>
      <c r="X310" s="9">
        <f t="shared" si="206"/>
        <v>48</v>
      </c>
      <c r="Y310" s="7">
        <v>7</v>
      </c>
      <c r="Z310" s="7">
        <f>BQ310-Y310-6</f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07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CY310" s="34" t="s">
        <v>86</v>
      </c>
    </row>
    <row r="311" spans="1:103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3"/>
        <v>2.5945945945945943</v>
      </c>
      <c r="G311" s="7">
        <f t="shared" si="218"/>
        <v>5.8999999999999995</v>
      </c>
      <c r="H311" s="16">
        <f t="shared" si="219"/>
        <v>13.3</v>
      </c>
      <c r="I311" s="11">
        <f t="shared" si="202"/>
        <v>4.3286961577418265E-2</v>
      </c>
      <c r="J311" s="33">
        <f t="shared" si="203"/>
        <v>1.6683516441296627E-2</v>
      </c>
      <c r="K311" s="33">
        <f t="shared" si="220"/>
        <v>59.93940207501489</v>
      </c>
      <c r="L311" s="33">
        <f t="shared" si="221"/>
        <v>2.6603445136121638E-2</v>
      </c>
      <c r="M311" s="33">
        <f t="shared" si="222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199"/>
        <v>3586</v>
      </c>
      <c r="X311" s="9">
        <f t="shared" si="206"/>
        <v>48</v>
      </c>
      <c r="Y311" s="7">
        <v>17</v>
      </c>
      <c r="Z311" s="7">
        <f>BQ311-Y311-6</f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07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CY311" s="34" t="s">
        <v>86</v>
      </c>
    </row>
    <row r="312" spans="1:103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3"/>
        <v>2.7407407407407405</v>
      </c>
      <c r="G312" s="7">
        <f t="shared" si="218"/>
        <v>4.7</v>
      </c>
      <c r="H312" s="16">
        <f t="shared" si="219"/>
        <v>10.100000000000001</v>
      </c>
      <c r="I312" s="11">
        <f t="shared" si="202"/>
        <v>4.5720232096191346E-2</v>
      </c>
      <c r="J312" s="33">
        <f t="shared" si="203"/>
        <v>1.6681706305367115E-2</v>
      </c>
      <c r="K312" s="33">
        <f t="shared" si="220"/>
        <v>59.94590611382862</v>
      </c>
      <c r="L312" s="33">
        <f t="shared" si="221"/>
        <v>2.9038525790824232E-2</v>
      </c>
      <c r="M312" s="33">
        <f t="shared" si="222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199"/>
        <v>3586</v>
      </c>
      <c r="X312" s="9">
        <f t="shared" si="206"/>
        <v>48</v>
      </c>
      <c r="Y312" s="7">
        <v>7</v>
      </c>
      <c r="Z312" s="7">
        <f>BQ312-Y312-6</f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07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CY312" s="34" t="s">
        <v>86</v>
      </c>
    </row>
    <row r="313" spans="1:103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3"/>
        <v>2.4500000000000002</v>
      </c>
      <c r="G313" s="7">
        <f t="shared" si="218"/>
        <v>5.8000000000000007</v>
      </c>
      <c r="H313" s="16">
        <f t="shared" si="219"/>
        <v>13.8</v>
      </c>
      <c r="I313" s="11">
        <f t="shared" si="202"/>
        <v>4.0895846678058546E-2</v>
      </c>
      <c r="J313" s="33">
        <f t="shared" si="203"/>
        <v>1.6692182317574914E-2</v>
      </c>
      <c r="K313" s="33">
        <f t="shared" si="220"/>
        <v>59.90828406823217</v>
      </c>
      <c r="L313" s="33">
        <f t="shared" si="221"/>
        <v>2.4203664360483632E-2</v>
      </c>
      <c r="M313" s="33">
        <f t="shared" si="222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199"/>
        <v>3583</v>
      </c>
      <c r="X313" s="9">
        <f t="shared" si="206"/>
        <v>48</v>
      </c>
      <c r="Y313" s="7">
        <v>17</v>
      </c>
      <c r="Z313" s="7">
        <f>BQ313-Y313-6</f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07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CY313" s="34" t="s">
        <v>86</v>
      </c>
    </row>
    <row r="314" spans="1:103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3"/>
        <v>2.5925925925925926</v>
      </c>
      <c r="G314" s="55">
        <f t="shared" si="218"/>
        <v>4.3</v>
      </c>
      <c r="H314" s="56">
        <f t="shared" si="219"/>
        <v>9.6999999999999993</v>
      </c>
      <c r="I314" s="57">
        <f t="shared" si="202"/>
        <v>4.3271693828277141E-2</v>
      </c>
      <c r="J314" s="58">
        <f t="shared" si="203"/>
        <v>1.6690510476621182E-2</v>
      </c>
      <c r="K314" s="58">
        <f t="shared" si="220"/>
        <v>59.914284910621824</v>
      </c>
      <c r="L314" s="58">
        <f t="shared" si="221"/>
        <v>2.6581183351655959E-2</v>
      </c>
      <c r="M314" s="58">
        <f t="shared" si="222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199"/>
        <v>3583</v>
      </c>
      <c r="X314" s="60">
        <f t="shared" si="206"/>
        <v>48</v>
      </c>
      <c r="Y314" s="55">
        <v>7</v>
      </c>
      <c r="Z314" s="55">
        <f>BQ314-Y314-6</f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07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X314" s="52"/>
      <c r="CY314" s="68" t="s">
        <v>86</v>
      </c>
    </row>
    <row r="315" spans="1:103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4">D315-E315</f>
        <v>-9.003281431045167</v>
      </c>
      <c r="H315" s="16">
        <f t="shared" ref="H315:H326" si="225">D315+E315</f>
        <v>12.171773803557898</v>
      </c>
      <c r="I315" s="11">
        <f t="shared" si="202"/>
        <v>2.1486033195640083E-3</v>
      </c>
      <c r="J315" s="33">
        <f t="shared" si="203"/>
        <v>1.4359130027805221E-2</v>
      </c>
      <c r="K315" s="33">
        <f t="shared" ref="K315:K326" si="226">IFERROR(1/J315, "X")</f>
        <v>69.642102137356929</v>
      </c>
      <c r="L315" s="33">
        <f t="shared" ref="L315:L326" si="227">IFERROR(I315-J315, "X")</f>
        <v>-1.2210526708241213E-2</v>
      </c>
      <c r="M315" s="33">
        <f t="shared" ref="M315:M326" si="228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199"/>
        <v>4850</v>
      </c>
      <c r="X315" s="9">
        <f t="shared" si="206"/>
        <v>16</v>
      </c>
      <c r="Y315" s="7">
        <v>6</v>
      </c>
      <c r="Z315" s="7">
        <f>BQ315-Y315-6</f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07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CY315" s="34" t="s">
        <v>86</v>
      </c>
    </row>
    <row r="316" spans="1:103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4"/>
        <v>-3.9489575596732447</v>
      </c>
      <c r="H316" s="16">
        <f t="shared" si="225"/>
        <v>6.6089302702123938</v>
      </c>
      <c r="I316" s="11">
        <f t="shared" si="202"/>
        <v>3.6176489903127595E-3</v>
      </c>
      <c r="J316" s="33">
        <f t="shared" si="203"/>
        <v>1.4359069210104596E-2</v>
      </c>
      <c r="K316" s="33">
        <f t="shared" si="226"/>
        <v>69.642397105816002</v>
      </c>
      <c r="L316" s="33">
        <f t="shared" si="227"/>
        <v>-1.0741420219791836E-2</v>
      </c>
      <c r="M316" s="33">
        <f t="shared" si="228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199"/>
        <v>4850</v>
      </c>
      <c r="X316" s="9">
        <f t="shared" si="206"/>
        <v>16</v>
      </c>
      <c r="Y316" s="7">
        <v>12</v>
      </c>
      <c r="Z316" s="7">
        <f>BQ316-Y316-6</f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07"/>
        <v>7.6063873897726522</v>
      </c>
      <c r="AN316" s="33">
        <f t="shared" ref="AN316:AN330" si="229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0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CY316" s="34" t="s">
        <v>86</v>
      </c>
    </row>
    <row r="317" spans="1:103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4"/>
        <v>-0.54691683728220886</v>
      </c>
      <c r="H317" s="16">
        <f t="shared" si="225"/>
        <v>6.8022781636974745</v>
      </c>
      <c r="I317" s="11">
        <f t="shared" si="202"/>
        <v>1.2221072658809409E-2</v>
      </c>
      <c r="J317" s="33">
        <f t="shared" si="203"/>
        <v>1.4358090828655861E-2</v>
      </c>
      <c r="K317" s="33">
        <f t="shared" si="226"/>
        <v>69.647142641290515</v>
      </c>
      <c r="L317" s="33">
        <f t="shared" si="227"/>
        <v>-2.1370181698464521E-3</v>
      </c>
      <c r="M317" s="33">
        <f t="shared" si="228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199"/>
        <v>4850</v>
      </c>
      <c r="X317" s="9">
        <f t="shared" si="206"/>
        <v>16</v>
      </c>
      <c r="Y317" s="7">
        <v>16</v>
      </c>
      <c r="Z317" s="7">
        <f>BQ317-Y317-6</f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07"/>
        <v>7.6063873897726522</v>
      </c>
      <c r="AN317" s="33">
        <f t="shared" si="229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0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CY317" s="34" t="s">
        <v>86</v>
      </c>
    </row>
    <row r="318" spans="1:103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4"/>
        <v>1.3305480095937967</v>
      </c>
      <c r="H318" s="16">
        <f t="shared" si="225"/>
        <v>7.8040541735445998</v>
      </c>
      <c r="I318" s="11">
        <f t="shared" si="202"/>
        <v>2.0257697105299E-2</v>
      </c>
      <c r="J318" s="33">
        <f t="shared" si="203"/>
        <v>1.4356216554309312E-2</v>
      </c>
      <c r="K318" s="33">
        <f t="shared" si="226"/>
        <v>69.656235416693377</v>
      </c>
      <c r="L318" s="33">
        <f t="shared" si="227"/>
        <v>5.9014805509896885E-3</v>
      </c>
      <c r="M318" s="33">
        <f t="shared" si="228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199"/>
        <v>4850</v>
      </c>
      <c r="X318" s="9">
        <f t="shared" si="206"/>
        <v>16</v>
      </c>
      <c r="Y318" s="7">
        <v>21</v>
      </c>
      <c r="Z318" s="7">
        <f>BQ318-Y318-6</f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07"/>
        <v>7.6063873897726522</v>
      </c>
      <c r="AN318" s="33">
        <f t="shared" si="229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0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CY318" s="34" t="s">
        <v>86</v>
      </c>
    </row>
    <row r="319" spans="1:103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4"/>
        <v>-1.9030389131631287</v>
      </c>
      <c r="H319" s="16">
        <f t="shared" si="225"/>
        <v>4.2246155941696939</v>
      </c>
      <c r="I319" s="11">
        <f t="shared" si="202"/>
        <v>5.4401574114529179E-3</v>
      </c>
      <c r="J319" s="33">
        <f t="shared" si="203"/>
        <v>1.4358950688820801E-2</v>
      </c>
      <c r="K319" s="33">
        <f t="shared" si="226"/>
        <v>69.642971946310297</v>
      </c>
      <c r="L319" s="33">
        <f t="shared" si="227"/>
        <v>-8.9187932773678834E-3</v>
      </c>
      <c r="M319" s="33">
        <f t="shared" si="228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199"/>
        <v>4850</v>
      </c>
      <c r="X319" s="9">
        <f t="shared" si="206"/>
        <v>16</v>
      </c>
      <c r="Y319" s="7">
        <v>6</v>
      </c>
      <c r="Z319" s="7">
        <f>BQ319-Y319-6</f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07"/>
        <v>7.6063873897726522</v>
      </c>
      <c r="AN319" s="33">
        <f t="shared" si="229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0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CY319" s="34" t="s">
        <v>86</v>
      </c>
    </row>
    <row r="320" spans="1:103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4"/>
        <v>-1.7833424752291691</v>
      </c>
      <c r="H320" s="16">
        <f t="shared" si="225"/>
        <v>7.5829520375290702</v>
      </c>
      <c r="I320" s="11">
        <f t="shared" si="202"/>
        <v>8.8908424179269321E-3</v>
      </c>
      <c r="J320" s="33">
        <f t="shared" si="203"/>
        <v>1.4358595636186907E-2</v>
      </c>
      <c r="K320" s="33">
        <f t="shared" si="226"/>
        <v>69.644694045131686</v>
      </c>
      <c r="L320" s="33">
        <f t="shared" si="227"/>
        <v>-5.4677532182599749E-3</v>
      </c>
      <c r="M320" s="33">
        <f t="shared" si="228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199"/>
        <v>4850</v>
      </c>
      <c r="X320" s="9">
        <f t="shared" si="206"/>
        <v>16</v>
      </c>
      <c r="Y320" s="7">
        <v>12</v>
      </c>
      <c r="Z320" s="7">
        <f>BQ320-Y320-6</f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07"/>
        <v>7.6063873897726522</v>
      </c>
      <c r="AN320" s="33">
        <f t="shared" si="229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0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CY320" s="34" t="s">
        <v>86</v>
      </c>
    </row>
    <row r="321" spans="1:103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4"/>
        <v>5.805682516116569</v>
      </c>
      <c r="H321" s="16">
        <f t="shared" si="225"/>
        <v>12.237484774641242</v>
      </c>
      <c r="I321" s="11">
        <f t="shared" si="202"/>
        <v>4.0249191357102643E-2</v>
      </c>
      <c r="J321" s="33">
        <f t="shared" si="203"/>
        <v>1.4347527554489122E-2</v>
      </c>
      <c r="K321" s="33">
        <f t="shared" si="226"/>
        <v>69.698419898633702</v>
      </c>
      <c r="L321" s="33">
        <f t="shared" si="227"/>
        <v>2.5901663802613523E-2</v>
      </c>
      <c r="M321" s="33">
        <f t="shared" si="228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199"/>
        <v>4850</v>
      </c>
      <c r="X321" s="9">
        <f t="shared" si="206"/>
        <v>16</v>
      </c>
      <c r="Y321" s="7">
        <v>16</v>
      </c>
      <c r="Z321" s="7">
        <f>BQ321-Y321-6</f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07"/>
        <v>7.6063873897726522</v>
      </c>
      <c r="AN321" s="33">
        <f t="shared" si="229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0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CY321" s="34" t="s">
        <v>86</v>
      </c>
    </row>
    <row r="322" spans="1:103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4"/>
        <v>8.9457280365839509</v>
      </c>
      <c r="H322" s="16">
        <f t="shared" si="225"/>
        <v>13.04483404666253</v>
      </c>
      <c r="I322" s="11">
        <f t="shared" ref="I322:I385" si="231">IFERROR(F322/SQRT(F322^2+W322), "X")</f>
        <v>7.6805364073472646E-2</v>
      </c>
      <c r="J322" s="33">
        <f t="shared" ref="J322:J385" si="232">IFERROR(SQRT((1-I322^2)/W322), "X")</f>
        <v>1.4316747716044097E-2</v>
      </c>
      <c r="K322" s="33">
        <f t="shared" si="226"/>
        <v>69.848265809653654</v>
      </c>
      <c r="L322" s="33">
        <f t="shared" si="227"/>
        <v>6.2488616357428549E-2</v>
      </c>
      <c r="M322" s="33">
        <f t="shared" si="228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199"/>
        <v>4850</v>
      </c>
      <c r="X322" s="9">
        <f t="shared" si="206"/>
        <v>16</v>
      </c>
      <c r="Y322" s="7">
        <v>21</v>
      </c>
      <c r="Z322" s="7">
        <f>BQ322-Y322-6</f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07"/>
        <v>7.6063873897726522</v>
      </c>
      <c r="AN322" s="33">
        <f t="shared" si="229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0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CY322" s="34" t="s">
        <v>86</v>
      </c>
    </row>
    <row r="323" spans="1:103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4"/>
        <v>-3.8337287623726004</v>
      </c>
      <c r="H323" s="16">
        <f t="shared" si="225"/>
        <v>6.6214301306088599</v>
      </c>
      <c r="I323" s="11">
        <f t="shared" si="231"/>
        <v>3.8529197966167958E-3</v>
      </c>
      <c r="J323" s="33">
        <f t="shared" si="232"/>
        <v>1.44502166317151E-2</v>
      </c>
      <c r="K323" s="33">
        <f t="shared" si="226"/>
        <v>69.203114768896697</v>
      </c>
      <c r="L323" s="33">
        <f t="shared" si="227"/>
        <v>-1.0597296835098306E-2</v>
      </c>
      <c r="M323" s="33">
        <f t="shared" si="228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199"/>
        <v>4789</v>
      </c>
      <c r="X323" s="9">
        <f t="shared" ref="X323:X386" si="233">COUNTIF(B:B,B323)</f>
        <v>16</v>
      </c>
      <c r="Y323" s="7">
        <v>6</v>
      </c>
      <c r="Z323" s="7">
        <f>BQ323-Y323-6</f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4">LN(AL323)</f>
        <v>7.6063873897726522</v>
      </c>
      <c r="AN323" s="33">
        <f t="shared" si="229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0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CY323" s="34" t="s">
        <v>86</v>
      </c>
    </row>
    <row r="324" spans="1:103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4"/>
        <v>-7.5210989644745894</v>
      </c>
      <c r="H324" s="16">
        <f t="shared" si="225"/>
        <v>10.315020718960263</v>
      </c>
      <c r="I324" s="11">
        <f t="shared" si="231"/>
        <v>2.2635512410683397E-3</v>
      </c>
      <c r="J324" s="33">
        <f t="shared" si="232"/>
        <v>1.4450286870225745E-2</v>
      </c>
      <c r="K324" s="33">
        <f t="shared" si="226"/>
        <v>69.202778393310737</v>
      </c>
      <c r="L324" s="33">
        <f t="shared" si="227"/>
        <v>-1.2186735629157406E-2</v>
      </c>
      <c r="M324" s="33">
        <f t="shared" si="228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199"/>
        <v>4789</v>
      </c>
      <c r="X324" s="9">
        <f t="shared" si="233"/>
        <v>16</v>
      </c>
      <c r="Y324" s="7">
        <v>12</v>
      </c>
      <c r="Z324" s="7">
        <f>BQ324-Y324-6</f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4"/>
        <v>7.6063873897726522</v>
      </c>
      <c r="AN324" s="33">
        <f t="shared" si="229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0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CY324" s="34" t="s">
        <v>86</v>
      </c>
    </row>
    <row r="325" spans="1:103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4"/>
        <v>-0.93546953523465071</v>
      </c>
      <c r="H325" s="16">
        <f t="shared" si="225"/>
        <v>7.3320066036769269</v>
      </c>
      <c r="I325" s="11">
        <f t="shared" si="231"/>
        <v>1.1179500798345203E-2</v>
      </c>
      <c r="J325" s="33">
        <f t="shared" si="232"/>
        <v>1.4449420851674995E-2</v>
      </c>
      <c r="K325" s="33">
        <f t="shared" si="226"/>
        <v>69.206926025971399</v>
      </c>
      <c r="L325" s="33">
        <f t="shared" si="227"/>
        <v>-3.2699200533297928E-3</v>
      </c>
      <c r="M325" s="33">
        <f t="shared" si="228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199"/>
        <v>4789</v>
      </c>
      <c r="X325" s="9">
        <f t="shared" si="233"/>
        <v>16</v>
      </c>
      <c r="Y325" s="7">
        <v>16</v>
      </c>
      <c r="Z325" s="7">
        <f>BQ325-Y325-6</f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4"/>
        <v>7.6063873897726522</v>
      </c>
      <c r="AN325" s="33">
        <f t="shared" si="229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0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CY325" s="34" t="s">
        <v>86</v>
      </c>
    </row>
    <row r="326" spans="1:103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4"/>
        <v>1.0646486563446858</v>
      </c>
      <c r="H326" s="16">
        <f t="shared" si="225"/>
        <v>7.714109096783778</v>
      </c>
      <c r="I326" s="11">
        <f t="shared" si="231"/>
        <v>1.9074151257265526E-2</v>
      </c>
      <c r="J326" s="33">
        <f t="shared" si="232"/>
        <v>1.4447694968566549E-2</v>
      </c>
      <c r="K326" s="33">
        <f t="shared" si="226"/>
        <v>69.215193300777216</v>
      </c>
      <c r="L326" s="33">
        <f t="shared" si="227"/>
        <v>4.6264562886989772E-3</v>
      </c>
      <c r="M326" s="33">
        <f t="shared" si="228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199"/>
        <v>4789</v>
      </c>
      <c r="X326" s="9">
        <f t="shared" si="233"/>
        <v>16</v>
      </c>
      <c r="Y326" s="7">
        <v>21</v>
      </c>
      <c r="Z326" s="7">
        <f>BQ326-Y326-6</f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4"/>
        <v>7.6063873897726522</v>
      </c>
      <c r="AN326" s="33">
        <f t="shared" si="229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0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CY326" s="34" t="s">
        <v>86</v>
      </c>
    </row>
    <row r="327" spans="1:103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35">D327-E327</f>
        <v>-2.2397811324136576</v>
      </c>
      <c r="H327" s="16">
        <f t="shared" ref="H327:H358" si="236">D327+E327</f>
        <v>4.7309092746991723</v>
      </c>
      <c r="I327" s="11">
        <f t="shared" si="231"/>
        <v>5.1640693268210575E-3</v>
      </c>
      <c r="J327" s="33">
        <f t="shared" si="232"/>
        <v>1.445013121047686E-2</v>
      </c>
      <c r="K327" s="33">
        <f t="shared" ref="K327:K330" si="237">IFERROR(1/J327, "X")</f>
        <v>69.203523859697853</v>
      </c>
      <c r="L327" s="33">
        <f t="shared" ref="L327:L330" si="238">IFERROR(I327-J327, "X")</f>
        <v>-9.286061883655803E-3</v>
      </c>
      <c r="M327" s="33">
        <f t="shared" ref="M327:M330" si="239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199"/>
        <v>4789</v>
      </c>
      <c r="X327" s="9">
        <f t="shared" si="233"/>
        <v>16</v>
      </c>
      <c r="Y327" s="7">
        <v>6</v>
      </c>
      <c r="Z327" s="7">
        <f>BQ327-Y327-6</f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4"/>
        <v>7.6063873897726522</v>
      </c>
      <c r="AN327" s="33">
        <f t="shared" si="229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0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CY327" s="34" t="s">
        <v>86</v>
      </c>
    </row>
    <row r="328" spans="1:103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35"/>
        <v>-1.1633964120130011</v>
      </c>
      <c r="H328" s="16">
        <f t="shared" si="236"/>
        <v>7.4370173004618065</v>
      </c>
      <c r="I328" s="11">
        <f t="shared" si="231"/>
        <v>1.054028571930227E-2</v>
      </c>
      <c r="J328" s="33">
        <f t="shared" si="232"/>
        <v>1.4449521168963026E-2</v>
      </c>
      <c r="K328" s="33">
        <f t="shared" si="237"/>
        <v>69.20644554976387</v>
      </c>
      <c r="L328" s="33">
        <f t="shared" si="238"/>
        <v>-3.9092354496607553E-3</v>
      </c>
      <c r="M328" s="33">
        <f t="shared" si="239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0">U328-V328-1</f>
        <v>4789</v>
      </c>
      <c r="X328" s="9">
        <f t="shared" si="233"/>
        <v>16</v>
      </c>
      <c r="Y328" s="7">
        <v>12</v>
      </c>
      <c r="Z328" s="7">
        <f>BQ328-Y328-6</f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4"/>
        <v>7.6063873897726522</v>
      </c>
      <c r="AN328" s="33">
        <f t="shared" si="229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0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CY328" s="34" t="s">
        <v>86</v>
      </c>
    </row>
    <row r="329" spans="1:103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35"/>
        <v>5.9427397593278961</v>
      </c>
      <c r="H329" s="16">
        <f t="shared" si="236"/>
        <v>12.135146860672887</v>
      </c>
      <c r="I329" s="11">
        <f t="shared" si="231"/>
        <v>4.214825897840617E-2</v>
      </c>
      <c r="J329" s="33">
        <f t="shared" si="232"/>
        <v>1.4437482859221445E-2</v>
      </c>
      <c r="K329" s="33">
        <f t="shared" si="237"/>
        <v>69.26415149724555</v>
      </c>
      <c r="L329" s="33">
        <f t="shared" si="238"/>
        <v>2.7710776119184724E-2</v>
      </c>
      <c r="M329" s="33">
        <f t="shared" si="239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0"/>
        <v>4789</v>
      </c>
      <c r="X329" s="9">
        <f t="shared" si="233"/>
        <v>16</v>
      </c>
      <c r="Y329" s="7">
        <v>16</v>
      </c>
      <c r="Z329" s="7">
        <f>BQ329-Y329-6</f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4"/>
        <v>7.6063873897726522</v>
      </c>
      <c r="AN329" s="33">
        <f t="shared" si="229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0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CY329" s="34" t="s">
        <v>86</v>
      </c>
    </row>
    <row r="330" spans="1:103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35"/>
        <v>8.978039384174437</v>
      </c>
      <c r="H330" s="56">
        <f t="shared" si="236"/>
        <v>13.007251704727089</v>
      </c>
      <c r="I330" s="57">
        <f t="shared" si="231"/>
        <v>7.8603851765246743E-2</v>
      </c>
      <c r="J330" s="58">
        <f t="shared" si="232"/>
        <v>1.4405613584771087E-2</v>
      </c>
      <c r="K330" s="58">
        <f t="shared" si="237"/>
        <v>69.417383307931516</v>
      </c>
      <c r="L330" s="58">
        <f t="shared" si="238"/>
        <v>6.4198238180475653E-2</v>
      </c>
      <c r="M330" s="58">
        <f t="shared" si="239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0"/>
        <v>4789</v>
      </c>
      <c r="X330" s="60">
        <f t="shared" si="233"/>
        <v>16</v>
      </c>
      <c r="Y330" s="55">
        <v>21</v>
      </c>
      <c r="Z330" s="55">
        <f>BQ330-Y330-6</f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4"/>
        <v>7.6063873897726522</v>
      </c>
      <c r="AN330" s="58">
        <f t="shared" si="229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0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X330" s="52"/>
      <c r="CY330" s="68" t="s">
        <v>86</v>
      </c>
    </row>
    <row r="331" spans="1:103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35"/>
        <v>7.27</v>
      </c>
      <c r="H331" s="16">
        <f t="shared" si="236"/>
        <v>7.33</v>
      </c>
      <c r="I331" s="11">
        <f t="shared" si="231"/>
        <v>0.29748793755946545</v>
      </c>
      <c r="J331" s="33">
        <f t="shared" si="232"/>
        <v>1.2225531680525976E-3</v>
      </c>
      <c r="K331" s="33">
        <f t="shared" ref="K331:K345" si="241">IFERROR(1/J331, "X")</f>
        <v>817.96033590334389</v>
      </c>
      <c r="L331" s="33">
        <f t="shared" ref="L331:L345" si="242">IFERROR(I331-J331, "X")</f>
        <v>0.29626538439141287</v>
      </c>
      <c r="M331" s="33">
        <f t="shared" ref="M331:M345" si="243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0"/>
        <v>609848</v>
      </c>
      <c r="X331" s="9">
        <f t="shared" si="233"/>
        <v>16</v>
      </c>
      <c r="Y331" s="7">
        <v>11.59</v>
      </c>
      <c r="Z331" s="7">
        <f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4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CY331" s="34" t="s">
        <v>86</v>
      </c>
    </row>
    <row r="332" spans="1:103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44">D332/E332</f>
        <v>226.66666666666666</v>
      </c>
      <c r="G332" s="7">
        <f t="shared" si="235"/>
        <v>6.77</v>
      </c>
      <c r="H332" s="16">
        <f t="shared" si="236"/>
        <v>6.83</v>
      </c>
      <c r="I332" s="11">
        <f t="shared" si="231"/>
        <v>0.27530222229546214</v>
      </c>
      <c r="J332" s="33">
        <f t="shared" si="232"/>
        <v>1.2145686277740978E-3</v>
      </c>
      <c r="K332" s="33">
        <f t="shared" si="241"/>
        <v>823.33758433450487</v>
      </c>
      <c r="L332" s="33">
        <f t="shared" si="242"/>
        <v>0.27408765366768806</v>
      </c>
      <c r="M332" s="33">
        <f t="shared" si="243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0"/>
        <v>626507</v>
      </c>
      <c r="X332" s="9">
        <f t="shared" si="233"/>
        <v>16</v>
      </c>
      <c r="Y332" s="7">
        <v>10.52</v>
      </c>
      <c r="Z332" s="7">
        <f>BQ332-Y332-6</f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4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CY332" s="34" t="s">
        <v>86</v>
      </c>
    </row>
    <row r="333" spans="1:103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44"/>
        <v>250</v>
      </c>
      <c r="G333" s="7">
        <f t="shared" si="235"/>
        <v>7.47</v>
      </c>
      <c r="H333" s="16">
        <f t="shared" si="236"/>
        <v>7.53</v>
      </c>
      <c r="I333" s="11">
        <f t="shared" si="231"/>
        <v>0.28088274233337129</v>
      </c>
      <c r="J333" s="33">
        <f t="shared" si="232"/>
        <v>1.1235309693334852E-3</v>
      </c>
      <c r="K333" s="33">
        <f t="shared" si="241"/>
        <v>890.05112212726294</v>
      </c>
      <c r="L333" s="33">
        <f t="shared" si="242"/>
        <v>0.27975921136403781</v>
      </c>
      <c r="M333" s="33">
        <f t="shared" si="243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0"/>
        <v>729691</v>
      </c>
      <c r="X333" s="9">
        <f t="shared" si="233"/>
        <v>16</v>
      </c>
      <c r="Y333" s="7">
        <v>11.59</v>
      </c>
      <c r="Z333" s="7">
        <f>BQ333-Y333-6</f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4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CY333" s="34" t="s">
        <v>86</v>
      </c>
    </row>
    <row r="334" spans="1:103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44"/>
        <v>27.5</v>
      </c>
      <c r="G334" s="7">
        <f t="shared" si="235"/>
        <v>5.3</v>
      </c>
      <c r="H334" s="16">
        <f t="shared" si="236"/>
        <v>5.7</v>
      </c>
      <c r="I334" s="11">
        <f t="shared" si="231"/>
        <v>0.20840959907803441</v>
      </c>
      <c r="J334" s="33">
        <f t="shared" si="232"/>
        <v>7.5785308755648879E-3</v>
      </c>
      <c r="K334" s="33">
        <f t="shared" si="241"/>
        <v>131.95169570717914</v>
      </c>
      <c r="L334" s="33">
        <f t="shared" si="242"/>
        <v>0.20083106820246951</v>
      </c>
      <c r="M334" s="33">
        <f t="shared" si="243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0"/>
        <v>16655</v>
      </c>
      <c r="X334" s="9">
        <f t="shared" si="233"/>
        <v>16</v>
      </c>
      <c r="Y334" s="7">
        <v>6.97</v>
      </c>
      <c r="Z334" s="7">
        <f>BQ334-Y334-6</f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4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CY334" s="34" t="s">
        <v>86</v>
      </c>
    </row>
    <row r="335" spans="1:103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44"/>
        <v>69</v>
      </c>
      <c r="G335" s="7">
        <f t="shared" si="235"/>
        <v>6.8000000000000007</v>
      </c>
      <c r="H335" s="16">
        <f t="shared" si="236"/>
        <v>7</v>
      </c>
      <c r="I335" s="11">
        <f t="shared" si="231"/>
        <v>0.248495818581531</v>
      </c>
      <c r="J335" s="33">
        <f t="shared" si="232"/>
        <v>3.6013886750946517E-3</v>
      </c>
      <c r="K335" s="33">
        <f t="shared" si="241"/>
        <v>277.67066823847279</v>
      </c>
      <c r="L335" s="33">
        <f t="shared" si="242"/>
        <v>0.24489442990643634</v>
      </c>
      <c r="M335" s="33">
        <f t="shared" si="243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0"/>
        <v>72340</v>
      </c>
      <c r="X335" s="9">
        <f t="shared" si="233"/>
        <v>16</v>
      </c>
      <c r="Y335" s="7">
        <v>10.52</v>
      </c>
      <c r="Z335" s="7">
        <f>BQ335-Y335-6</f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4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CY335" s="34" t="s">
        <v>86</v>
      </c>
    </row>
    <row r="336" spans="1:103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44"/>
        <v>75.999999999999986</v>
      </c>
      <c r="G336" s="7">
        <f t="shared" si="235"/>
        <v>7.5</v>
      </c>
      <c r="H336" s="16">
        <f t="shared" si="236"/>
        <v>7.6999999999999993</v>
      </c>
      <c r="I336" s="11">
        <f t="shared" si="231"/>
        <v>0.18608624280062647</v>
      </c>
      <c r="J336" s="33">
        <f t="shared" si="232"/>
        <v>2.4485031947450858E-3</v>
      </c>
      <c r="K336" s="33">
        <f t="shared" si="241"/>
        <v>408.41278138667496</v>
      </c>
      <c r="L336" s="33">
        <f t="shared" si="242"/>
        <v>0.18363773960588137</v>
      </c>
      <c r="M336" s="33">
        <f t="shared" si="243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0"/>
        <v>161025</v>
      </c>
      <c r="X336" s="9">
        <f t="shared" si="233"/>
        <v>16</v>
      </c>
      <c r="Y336" s="7">
        <v>11.59</v>
      </c>
      <c r="Z336" s="7">
        <f>BQ336-Y336-6</f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4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CY336" s="34" t="s">
        <v>86</v>
      </c>
    </row>
    <row r="337" spans="1:103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44"/>
        <v>75</v>
      </c>
      <c r="G337" s="7">
        <f t="shared" si="235"/>
        <v>7.4</v>
      </c>
      <c r="H337" s="16">
        <f t="shared" si="236"/>
        <v>7.6</v>
      </c>
      <c r="I337" s="11">
        <f t="shared" si="231"/>
        <v>0.1213312702998607</v>
      </c>
      <c r="J337" s="33">
        <f t="shared" si="232"/>
        <v>1.6177502706648094E-3</v>
      </c>
      <c r="K337" s="33">
        <f t="shared" si="241"/>
        <v>618.14237842102364</v>
      </c>
      <c r="L337" s="33">
        <f t="shared" si="242"/>
        <v>0.11971352002919589</v>
      </c>
      <c r="M337" s="33">
        <f t="shared" si="243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0"/>
        <v>376475</v>
      </c>
      <c r="X337" s="9">
        <f t="shared" si="233"/>
        <v>16</v>
      </c>
      <c r="Y337" s="7">
        <v>12.62</v>
      </c>
      <c r="Z337" s="7">
        <f>BQ337-Y337-6</f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4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CY337" s="34" t="s">
        <v>86</v>
      </c>
    </row>
    <row r="338" spans="1:103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44"/>
        <v>101.99999999999999</v>
      </c>
      <c r="G338" s="7">
        <f t="shared" si="235"/>
        <v>10.1</v>
      </c>
      <c r="H338" s="16">
        <f t="shared" si="236"/>
        <v>10.299999999999999</v>
      </c>
      <c r="I338" s="11">
        <f t="shared" si="231"/>
        <v>0.30265063701510003</v>
      </c>
      <c r="J338" s="33">
        <f t="shared" si="232"/>
        <v>2.9671631079911773E-3</v>
      </c>
      <c r="K338" s="33">
        <f t="shared" si="241"/>
        <v>337.02225445806988</v>
      </c>
      <c r="L338" s="33">
        <f t="shared" si="242"/>
        <v>0.29968347390710887</v>
      </c>
      <c r="M338" s="33">
        <f t="shared" si="243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0"/>
        <v>103180</v>
      </c>
      <c r="X338" s="9">
        <f t="shared" si="233"/>
        <v>16</v>
      </c>
      <c r="Y338" s="7">
        <v>13.7</v>
      </c>
      <c r="Z338" s="7">
        <f>BQ338-Y338-6</f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4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CY338" s="34" t="s">
        <v>86</v>
      </c>
    </row>
    <row r="339" spans="1:103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44"/>
        <v>6.166666666666667</v>
      </c>
      <c r="G339" s="7">
        <f t="shared" si="235"/>
        <v>6.2</v>
      </c>
      <c r="H339" s="16">
        <f t="shared" si="236"/>
        <v>8.6</v>
      </c>
      <c r="I339" s="11">
        <f t="shared" si="231"/>
        <v>7.8963906215058065E-3</v>
      </c>
      <c r="J339" s="33">
        <f t="shared" si="232"/>
        <v>1.280495776460401E-3</v>
      </c>
      <c r="K339" s="33">
        <f t="shared" si="241"/>
        <v>780.94751922121998</v>
      </c>
      <c r="L339" s="33">
        <f t="shared" si="242"/>
        <v>6.6158948450454058E-3</v>
      </c>
      <c r="M339" s="33">
        <f t="shared" si="243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0"/>
        <v>609841</v>
      </c>
      <c r="X339" s="9">
        <f t="shared" si="233"/>
        <v>16</v>
      </c>
      <c r="Y339" s="7">
        <v>11.59</v>
      </c>
      <c r="Z339" s="7">
        <f>BQ339-Y339-6</f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4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CY339" s="34" t="s">
        <v>86</v>
      </c>
    </row>
    <row r="340" spans="1:103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44"/>
        <v>6.166666666666667</v>
      </c>
      <c r="G340" s="7">
        <f t="shared" si="235"/>
        <v>6.2</v>
      </c>
      <c r="H340" s="16">
        <f t="shared" si="236"/>
        <v>8.6</v>
      </c>
      <c r="I340" s="11">
        <f t="shared" si="231"/>
        <v>7.8963906215058065E-3</v>
      </c>
      <c r="J340" s="33">
        <f t="shared" si="232"/>
        <v>1.280495776460401E-3</v>
      </c>
      <c r="K340" s="33">
        <f t="shared" si="241"/>
        <v>780.94751922121998</v>
      </c>
      <c r="L340" s="33">
        <f t="shared" si="242"/>
        <v>6.6158948450454058E-3</v>
      </c>
      <c r="M340" s="33">
        <f t="shared" si="243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0"/>
        <v>609841</v>
      </c>
      <c r="X340" s="9">
        <f t="shared" si="233"/>
        <v>16</v>
      </c>
      <c r="Y340" s="7">
        <v>11.59</v>
      </c>
      <c r="Z340" s="7">
        <f>BQ340-Y340-6</f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4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CY340" s="34" t="s">
        <v>86</v>
      </c>
    </row>
    <row r="341" spans="1:103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44"/>
        <v>6.25</v>
      </c>
      <c r="G341" s="7">
        <f t="shared" si="235"/>
        <v>6.3</v>
      </c>
      <c r="H341" s="16">
        <f t="shared" si="236"/>
        <v>8.6999999999999993</v>
      </c>
      <c r="I341" s="11">
        <f t="shared" si="231"/>
        <v>8.0030983750574436E-3</v>
      </c>
      <c r="J341" s="33">
        <f t="shared" si="232"/>
        <v>1.2804957400091911E-3</v>
      </c>
      <c r="K341" s="33">
        <f t="shared" si="241"/>
        <v>780.94754145204911</v>
      </c>
      <c r="L341" s="33">
        <f t="shared" si="242"/>
        <v>6.722602635048253E-3</v>
      </c>
      <c r="M341" s="33">
        <f t="shared" si="243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0"/>
        <v>609840</v>
      </c>
      <c r="X341" s="9">
        <f t="shared" si="233"/>
        <v>16</v>
      </c>
      <c r="Y341" s="7">
        <v>11.59</v>
      </c>
      <c r="Z341" s="7">
        <f>BQ341-Y341-6</f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4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CY341" s="34" t="s">
        <v>86</v>
      </c>
    </row>
    <row r="342" spans="1:103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44"/>
        <v>4.615384615384615</v>
      </c>
      <c r="G342" s="7">
        <f t="shared" si="235"/>
        <v>4.7</v>
      </c>
      <c r="H342" s="16">
        <f t="shared" si="236"/>
        <v>7.3</v>
      </c>
      <c r="I342" s="11">
        <f t="shared" si="231"/>
        <v>5.9100712401924313E-3</v>
      </c>
      <c r="J342" s="33">
        <f t="shared" si="232"/>
        <v>1.2805154353750267E-3</v>
      </c>
      <c r="K342" s="33">
        <f t="shared" si="241"/>
        <v>780.93552984554879</v>
      </c>
      <c r="L342" s="33">
        <f t="shared" si="242"/>
        <v>4.6295558048174042E-3</v>
      </c>
      <c r="M342" s="33">
        <f t="shared" si="243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0"/>
        <v>609839</v>
      </c>
      <c r="X342" s="9">
        <f t="shared" si="233"/>
        <v>16</v>
      </c>
      <c r="Y342" s="7">
        <v>11.59</v>
      </c>
      <c r="Z342" s="7">
        <f>BQ342-Y342-6</f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4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CY342" s="34" t="s">
        <v>86</v>
      </c>
    </row>
    <row r="343" spans="1:103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44"/>
        <v>243.33333333333334</v>
      </c>
      <c r="G343" s="7">
        <f t="shared" si="235"/>
        <v>7.27</v>
      </c>
      <c r="H343" s="16">
        <f t="shared" si="236"/>
        <v>7.33</v>
      </c>
      <c r="I343" s="11">
        <f t="shared" si="231"/>
        <v>0.29748927147720233</v>
      </c>
      <c r="J343" s="33">
        <f t="shared" si="232"/>
        <v>1.2225586499063107E-3</v>
      </c>
      <c r="K343" s="33">
        <f t="shared" si="241"/>
        <v>817.95666823561692</v>
      </c>
      <c r="L343" s="33">
        <f t="shared" si="242"/>
        <v>0.296266712827296</v>
      </c>
      <c r="M343" s="33">
        <f t="shared" si="243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0"/>
        <v>609842</v>
      </c>
      <c r="X343" s="9">
        <f t="shared" si="233"/>
        <v>16</v>
      </c>
      <c r="Y343" s="7">
        <v>11.59</v>
      </c>
      <c r="Z343" s="7">
        <f>BQ343-Y343-6</f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4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CY343" s="34" t="s">
        <v>86</v>
      </c>
    </row>
    <row r="344" spans="1:103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44"/>
        <v>243.33333333333334</v>
      </c>
      <c r="G344" s="7">
        <f t="shared" si="235"/>
        <v>7.27</v>
      </c>
      <c r="H344" s="16">
        <f t="shared" si="236"/>
        <v>7.33</v>
      </c>
      <c r="I344" s="11">
        <f t="shared" si="231"/>
        <v>0.29748927147720233</v>
      </c>
      <c r="J344" s="33">
        <f t="shared" si="232"/>
        <v>1.2225586499063107E-3</v>
      </c>
      <c r="K344" s="33">
        <f t="shared" si="241"/>
        <v>817.95666823561692</v>
      </c>
      <c r="L344" s="33">
        <f t="shared" si="242"/>
        <v>0.296266712827296</v>
      </c>
      <c r="M344" s="33">
        <f t="shared" si="243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0"/>
        <v>609842</v>
      </c>
      <c r="X344" s="9">
        <f t="shared" si="233"/>
        <v>16</v>
      </c>
      <c r="Y344" s="7">
        <v>11.59</v>
      </c>
      <c r="Z344" s="7">
        <f>BQ344-Y344-6</f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4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CY344" s="34" t="s">
        <v>86</v>
      </c>
    </row>
    <row r="345" spans="1:103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44"/>
        <v>243.33333333333334</v>
      </c>
      <c r="G345" s="7">
        <f t="shared" si="235"/>
        <v>7.27</v>
      </c>
      <c r="H345" s="16">
        <f t="shared" si="236"/>
        <v>7.33</v>
      </c>
      <c r="I345" s="11">
        <f t="shared" si="231"/>
        <v>0.29748949379856965</v>
      </c>
      <c r="J345" s="33">
        <f t="shared" si="232"/>
        <v>1.2225595635557657E-3</v>
      </c>
      <c r="K345" s="33">
        <f t="shared" si="241"/>
        <v>817.95605695606355</v>
      </c>
      <c r="L345" s="33">
        <f t="shared" si="242"/>
        <v>0.29626693423501388</v>
      </c>
      <c r="M345" s="33">
        <f t="shared" si="243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0"/>
        <v>609841</v>
      </c>
      <c r="X345" s="9">
        <f t="shared" si="233"/>
        <v>16</v>
      </c>
      <c r="Y345" s="7">
        <v>11.59</v>
      </c>
      <c r="Z345" s="7">
        <f>BQ345-Y345-6</f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4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CY345" s="34" t="s">
        <v>86</v>
      </c>
    </row>
    <row r="346" spans="1:103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44"/>
        <v>243.33333333333334</v>
      </c>
      <c r="G346" s="55">
        <f t="shared" si="235"/>
        <v>7.27</v>
      </c>
      <c r="H346" s="56">
        <f t="shared" si="236"/>
        <v>7.33</v>
      </c>
      <c r="I346" s="57">
        <f t="shared" si="231"/>
        <v>0.29748993844279964</v>
      </c>
      <c r="J346" s="58">
        <f t="shared" si="232"/>
        <v>1.2225613908608203E-3</v>
      </c>
      <c r="K346" s="58">
        <f t="shared" ref="K346:K358" si="245">IFERROR(1/J346, "X")</f>
        <v>817.95483439558632</v>
      </c>
      <c r="L346" s="58">
        <f t="shared" ref="L346:L358" si="246">IFERROR(I346-J346, "X")</f>
        <v>0.29626737705193884</v>
      </c>
      <c r="M346" s="58">
        <f t="shared" ref="M346:M358" si="247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0"/>
        <v>609839</v>
      </c>
      <c r="X346" s="60">
        <f t="shared" si="233"/>
        <v>16</v>
      </c>
      <c r="Y346" s="55">
        <v>11.59</v>
      </c>
      <c r="Z346" s="55">
        <f>BQ346-Y346-6</f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4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X346" s="52"/>
      <c r="CY346" s="68" t="s">
        <v>86</v>
      </c>
    </row>
    <row r="347" spans="1:103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44"/>
        <v>50</v>
      </c>
      <c r="G347" s="7">
        <f t="shared" si="235"/>
        <v>4.9000000000000004</v>
      </c>
      <c r="H347" s="16">
        <f t="shared" si="236"/>
        <v>5.0999999999999996</v>
      </c>
      <c r="I347" s="11">
        <f t="shared" si="231"/>
        <v>0.21218275209520929</v>
      </c>
      <c r="J347" s="33">
        <f t="shared" si="232"/>
        <v>4.2436550419041857E-3</v>
      </c>
      <c r="K347" s="33">
        <f t="shared" si="245"/>
        <v>235.64592082189753</v>
      </c>
      <c r="L347" s="33">
        <f t="shared" si="246"/>
        <v>0.2079390970533051</v>
      </c>
      <c r="M347" s="33">
        <f t="shared" si="247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0"/>
        <v>53029</v>
      </c>
      <c r="X347" s="9">
        <f t="shared" si="233"/>
        <v>12</v>
      </c>
      <c r="Y347" s="7">
        <v>7.8040000000000003</v>
      </c>
      <c r="Z347" s="7">
        <f>BQ347-Y347-6</f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4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CY347" s="34" t="s">
        <v>86</v>
      </c>
    </row>
    <row r="348" spans="1:103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44"/>
        <v>70.999999999999986</v>
      </c>
      <c r="G348" s="7">
        <f t="shared" si="235"/>
        <v>7</v>
      </c>
      <c r="H348" s="16">
        <f t="shared" si="236"/>
        <v>7.1999999999999993</v>
      </c>
      <c r="I348" s="11">
        <f t="shared" si="231"/>
        <v>0.51647633440499785</v>
      </c>
      <c r="J348" s="33">
        <f t="shared" si="232"/>
        <v>7.2743145690844797E-3</v>
      </c>
      <c r="K348" s="33">
        <f t="shared" si="245"/>
        <v>137.46999672655846</v>
      </c>
      <c r="L348" s="33">
        <f t="shared" si="246"/>
        <v>0.5092020198359134</v>
      </c>
      <c r="M348" s="33">
        <f t="shared" si="247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0"/>
        <v>13857</v>
      </c>
      <c r="X348" s="9">
        <f t="shared" si="233"/>
        <v>12</v>
      </c>
      <c r="Y348" s="7">
        <v>10.032</v>
      </c>
      <c r="Z348" s="7">
        <f>BQ348-Y348-6</f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4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48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49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CY348" s="34" t="s">
        <v>86</v>
      </c>
    </row>
    <row r="349" spans="1:103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44"/>
        <v>49</v>
      </c>
      <c r="G349" s="7">
        <f t="shared" si="235"/>
        <v>4.8000000000000007</v>
      </c>
      <c r="H349" s="16">
        <f t="shared" si="236"/>
        <v>5</v>
      </c>
      <c r="I349" s="11">
        <f t="shared" si="231"/>
        <v>0.33699468069112615</v>
      </c>
      <c r="J349" s="33">
        <f t="shared" si="232"/>
        <v>6.8774424630842074E-3</v>
      </c>
      <c r="K349" s="33">
        <f t="shared" si="245"/>
        <v>145.40288855452633</v>
      </c>
      <c r="L349" s="33">
        <f t="shared" si="246"/>
        <v>0.33011723822804195</v>
      </c>
      <c r="M349" s="33">
        <f t="shared" si="247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0"/>
        <v>18741</v>
      </c>
      <c r="X349" s="9">
        <f t="shared" si="233"/>
        <v>12</v>
      </c>
      <c r="Y349" s="7">
        <v>6.3079999999999998</v>
      </c>
      <c r="Z349" s="7">
        <f>BQ349-Y349-6</f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4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48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49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CY349" s="34" t="s">
        <v>86</v>
      </c>
    </row>
    <row r="350" spans="1:103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44"/>
        <v>17.5</v>
      </c>
      <c r="G350" s="7">
        <f t="shared" si="235"/>
        <v>3.3</v>
      </c>
      <c r="H350" s="16">
        <f t="shared" si="236"/>
        <v>3.7</v>
      </c>
      <c r="I350" s="11">
        <f t="shared" si="231"/>
        <v>0.12159449831189598</v>
      </c>
      <c r="J350" s="33">
        <f t="shared" si="232"/>
        <v>6.9482570463940563E-3</v>
      </c>
      <c r="K350" s="33">
        <f t="shared" si="245"/>
        <v>143.92098526622169</v>
      </c>
      <c r="L350" s="33">
        <f t="shared" si="246"/>
        <v>0.11464624126550192</v>
      </c>
      <c r="M350" s="33">
        <f t="shared" si="247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0"/>
        <v>20407</v>
      </c>
      <c r="X350" s="9">
        <f t="shared" si="233"/>
        <v>12</v>
      </c>
      <c r="Y350" s="7">
        <v>7.6660000000000004</v>
      </c>
      <c r="Z350" s="7">
        <f>BQ350-Y350-6</f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4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48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49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CY350" s="34" t="s">
        <v>86</v>
      </c>
    </row>
    <row r="351" spans="1:103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44"/>
        <v>9.0666666666666664</v>
      </c>
      <c r="G351" s="7">
        <f t="shared" si="235"/>
        <v>12.1</v>
      </c>
      <c r="H351" s="16">
        <f t="shared" si="236"/>
        <v>15.1</v>
      </c>
      <c r="I351" s="11">
        <f t="shared" si="231"/>
        <v>3.9341831513423985E-2</v>
      </c>
      <c r="J351" s="33">
        <f t="shared" si="232"/>
        <v>4.3391725933923514E-3</v>
      </c>
      <c r="K351" s="33">
        <f t="shared" si="245"/>
        <v>230.45868272739139</v>
      </c>
      <c r="L351" s="33">
        <f t="shared" si="246"/>
        <v>3.5002658920031633E-2</v>
      </c>
      <c r="M351" s="33">
        <f t="shared" si="247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0"/>
        <v>53029</v>
      </c>
      <c r="X351" s="9">
        <f t="shared" si="233"/>
        <v>12</v>
      </c>
      <c r="Y351" s="7">
        <v>7.8040000000000003</v>
      </c>
      <c r="Z351" s="7">
        <f>BQ351-Y351-6</f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4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49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CY351" s="34" t="s">
        <v>86</v>
      </c>
    </row>
    <row r="352" spans="1:103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44"/>
        <v>9.7333333333333325</v>
      </c>
      <c r="G352" s="7">
        <f t="shared" si="235"/>
        <v>13.1</v>
      </c>
      <c r="H352" s="16">
        <f t="shared" si="236"/>
        <v>16.100000000000001</v>
      </c>
      <c r="I352" s="11">
        <f t="shared" si="231"/>
        <v>8.2403838857020115E-2</v>
      </c>
      <c r="J352" s="33">
        <f t="shared" si="232"/>
        <v>8.4661478277760407E-3</v>
      </c>
      <c r="K352" s="33">
        <f t="shared" si="245"/>
        <v>118.11747448103425</v>
      </c>
      <c r="L352" s="33">
        <f t="shared" si="246"/>
        <v>7.3937691029244079E-2</v>
      </c>
      <c r="M352" s="33">
        <f t="shared" si="247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0"/>
        <v>13857</v>
      </c>
      <c r="X352" s="9">
        <f t="shared" si="233"/>
        <v>12</v>
      </c>
      <c r="Y352" s="7">
        <v>10.032</v>
      </c>
      <c r="Z352" s="7">
        <f>BQ352-Y352-6</f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4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48"/>
        <v>0.52</v>
      </c>
      <c r="AW352" s="40">
        <v>0.48</v>
      </c>
      <c r="AX352">
        <v>1</v>
      </c>
      <c r="AY352" s="40">
        <v>0</v>
      </c>
      <c r="BA352" s="18"/>
      <c r="BB352">
        <f t="shared" si="249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CY352" s="34" t="s">
        <v>86</v>
      </c>
    </row>
    <row r="353" spans="1:103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44"/>
        <v>3.7333333333333329</v>
      </c>
      <c r="G353" s="7">
        <f t="shared" si="235"/>
        <v>8.1999999999999993</v>
      </c>
      <c r="H353" s="16">
        <f t="shared" si="236"/>
        <v>14.2</v>
      </c>
      <c r="I353" s="11">
        <f t="shared" si="231"/>
        <v>2.7260822444108244E-2</v>
      </c>
      <c r="J353" s="33">
        <f t="shared" si="232"/>
        <v>7.3020060118147078E-3</v>
      </c>
      <c r="K353" s="33">
        <f t="shared" si="245"/>
        <v>136.94866840454409</v>
      </c>
      <c r="L353" s="33">
        <f t="shared" si="246"/>
        <v>1.9958816432293535E-2</v>
      </c>
      <c r="M353" s="33">
        <f t="shared" si="247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0"/>
        <v>18741</v>
      </c>
      <c r="X353" s="9">
        <f t="shared" si="233"/>
        <v>12</v>
      </c>
      <c r="Y353" s="7">
        <v>6.3079999999999998</v>
      </c>
      <c r="Z353" s="7">
        <f>BQ353-Y353-6</f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4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48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49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CY353" s="34" t="s">
        <v>86</v>
      </c>
    </row>
    <row r="354" spans="1:103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44"/>
        <v>3.3055555555555554</v>
      </c>
      <c r="G354" s="7">
        <f t="shared" si="235"/>
        <v>8.3000000000000007</v>
      </c>
      <c r="H354" s="16">
        <f t="shared" si="236"/>
        <v>15.5</v>
      </c>
      <c r="I354" s="11">
        <f t="shared" si="231"/>
        <v>2.3133355957210736E-2</v>
      </c>
      <c r="J354" s="33">
        <f t="shared" si="232"/>
        <v>6.9983261719292981E-3</v>
      </c>
      <c r="K354" s="33">
        <f t="shared" si="245"/>
        <v>142.89131078386421</v>
      </c>
      <c r="L354" s="33">
        <f t="shared" si="246"/>
        <v>1.6135029785281439E-2</v>
      </c>
      <c r="M354" s="33">
        <f t="shared" si="247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0"/>
        <v>20407</v>
      </c>
      <c r="X354" s="9">
        <f t="shared" si="233"/>
        <v>12</v>
      </c>
      <c r="Y354" s="7">
        <v>7.6660000000000004</v>
      </c>
      <c r="Z354" s="7">
        <f>BQ354-Y354-6</f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4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48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49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CY354" s="34" t="s">
        <v>86</v>
      </c>
    </row>
    <row r="355" spans="1:103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44"/>
        <v>50.999999999999993</v>
      </c>
      <c r="G355" s="7">
        <f t="shared" si="235"/>
        <v>5</v>
      </c>
      <c r="H355" s="16">
        <f t="shared" si="236"/>
        <v>5.1999999999999993</v>
      </c>
      <c r="I355" s="11">
        <f t="shared" si="231"/>
        <v>0.2975544533148119</v>
      </c>
      <c r="J355" s="33">
        <f t="shared" si="232"/>
        <v>5.8344010453884694E-3</v>
      </c>
      <c r="K355" s="33">
        <f t="shared" si="245"/>
        <v>171.39719951037708</v>
      </c>
      <c r="L355" s="33">
        <f t="shared" si="246"/>
        <v>0.29172005226942344</v>
      </c>
      <c r="M355" s="33">
        <f t="shared" si="247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0"/>
        <v>26776</v>
      </c>
      <c r="X355" s="9">
        <f t="shared" si="233"/>
        <v>12</v>
      </c>
      <c r="Y355" s="7">
        <v>7.8040000000000003</v>
      </c>
      <c r="Z355" s="7">
        <f>BQ355-Y355-6</f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4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49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CY355" s="34" t="s">
        <v>86</v>
      </c>
    </row>
    <row r="356" spans="1:103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44"/>
        <v>49</v>
      </c>
      <c r="G356" s="7">
        <f t="shared" si="235"/>
        <v>4.8000000000000007</v>
      </c>
      <c r="H356" s="16">
        <f t="shared" si="236"/>
        <v>5</v>
      </c>
      <c r="I356" s="11">
        <f t="shared" si="231"/>
        <v>0.28952550548973338</v>
      </c>
      <c r="J356" s="33">
        <f t="shared" si="232"/>
        <v>5.9086837855047633E-3</v>
      </c>
      <c r="K356" s="33">
        <f t="shared" si="245"/>
        <v>169.24242966821294</v>
      </c>
      <c r="L356" s="33">
        <f t="shared" si="246"/>
        <v>0.28361682170422864</v>
      </c>
      <c r="M356" s="33">
        <f t="shared" si="247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0"/>
        <v>26242</v>
      </c>
      <c r="X356" s="9">
        <f t="shared" si="233"/>
        <v>12</v>
      </c>
      <c r="Y356" s="7">
        <v>7.8040000000000003</v>
      </c>
      <c r="Z356" s="7">
        <f>BQ356-Y356-6</f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4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49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CY356" s="34" t="s">
        <v>86</v>
      </c>
    </row>
    <row r="357" spans="1:103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44"/>
        <v>7.1764705882352935</v>
      </c>
      <c r="G357" s="7">
        <f t="shared" si="235"/>
        <v>10.5</v>
      </c>
      <c r="H357" s="16">
        <f t="shared" si="236"/>
        <v>13.899999999999999</v>
      </c>
      <c r="I357" s="11">
        <f t="shared" si="231"/>
        <v>4.3814795954272248E-2</v>
      </c>
      <c r="J357" s="33">
        <f t="shared" si="232"/>
        <v>6.1053404198576086E-3</v>
      </c>
      <c r="K357" s="33">
        <f t="shared" si="245"/>
        <v>163.7910306766027</v>
      </c>
      <c r="L357" s="33">
        <f t="shared" si="246"/>
        <v>3.770945553441464E-2</v>
      </c>
      <c r="M357" s="33">
        <f t="shared" si="247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0"/>
        <v>26776</v>
      </c>
      <c r="X357" s="9">
        <f t="shared" si="233"/>
        <v>12</v>
      </c>
      <c r="Y357" s="7">
        <v>7.8040000000000003</v>
      </c>
      <c r="Z357" s="7">
        <f>BQ357-Y357-6</f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4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49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CY357" s="34" t="s">
        <v>86</v>
      </c>
    </row>
    <row r="358" spans="1:103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44"/>
        <v>7.1818181818181817</v>
      </c>
      <c r="G358" s="55">
        <f t="shared" si="235"/>
        <v>13.600000000000001</v>
      </c>
      <c r="H358" s="56">
        <f t="shared" si="236"/>
        <v>18</v>
      </c>
      <c r="I358" s="57">
        <f t="shared" si="231"/>
        <v>4.4290395425208039E-2</v>
      </c>
      <c r="J358" s="58">
        <f t="shared" si="232"/>
        <v>6.1670170845226384E-3</v>
      </c>
      <c r="K358" s="58">
        <f t="shared" si="245"/>
        <v>162.15294789918772</v>
      </c>
      <c r="L358" s="58">
        <f t="shared" si="246"/>
        <v>3.8123378340685403E-2</v>
      </c>
      <c r="M358" s="58">
        <f t="shared" si="247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0"/>
        <v>26242</v>
      </c>
      <c r="X358" s="60">
        <f t="shared" si="233"/>
        <v>12</v>
      </c>
      <c r="Y358" s="55">
        <v>7.8040000000000003</v>
      </c>
      <c r="Z358" s="55">
        <f>BQ358-Y358-6</f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4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49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X358" s="52"/>
      <c r="CY358" s="68" t="s">
        <v>86</v>
      </c>
    </row>
    <row r="359" spans="1:103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0">D359-E359</f>
        <v>3.3375770020533881</v>
      </c>
      <c r="H359" s="16">
        <f t="shared" ref="H359:H382" si="251">D359+E359</f>
        <v>5.0624229979466122</v>
      </c>
      <c r="I359" s="11">
        <f t="shared" si="231"/>
        <v>0.11280776361417817</v>
      </c>
      <c r="J359" s="33">
        <f t="shared" si="232"/>
        <v>2.3163811830426727E-2</v>
      </c>
      <c r="K359" s="33">
        <f t="shared" ref="K359:K380" si="252">IFERROR(1/J359, "X")</f>
        <v>43.170787576786225</v>
      </c>
      <c r="L359" s="33">
        <f t="shared" ref="L359:L380" si="253">IFERROR(I359-J359, "X")</f>
        <v>8.9643951783751452E-2</v>
      </c>
      <c r="M359" s="33">
        <f t="shared" ref="M359:M380" si="254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0"/>
        <v>1840</v>
      </c>
      <c r="X359" s="9">
        <f t="shared" si="233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4"/>
        <v>7.5953872788539725</v>
      </c>
      <c r="AN359" s="33">
        <f t="shared" ref="AN359:AQ362" si="255">$AV$359*AN371+$AW$359*AN363</f>
        <v>0.21501220000000001</v>
      </c>
      <c r="AO359" s="33">
        <f t="shared" si="255"/>
        <v>0.34625300000000003</v>
      </c>
      <c r="AP359" s="33">
        <f t="shared" si="255"/>
        <v>0.30737340000000002</v>
      </c>
      <c r="AQ359" s="43">
        <f t="shared" si="255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CY359" s="34" t="s">
        <v>86</v>
      </c>
    </row>
    <row r="360" spans="1:103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56">D360/F360</f>
        <v>0.77821011673151752</v>
      </c>
      <c r="F360" s="7">
        <v>2.57</v>
      </c>
      <c r="G360" s="7">
        <f t="shared" si="250"/>
        <v>1.2217898832684826</v>
      </c>
      <c r="H360" s="16">
        <f t="shared" si="251"/>
        <v>2.7782101167315174</v>
      </c>
      <c r="I360" s="11">
        <f t="shared" si="231"/>
        <v>6.6565906564949873E-2</v>
      </c>
      <c r="J360" s="33">
        <f t="shared" si="232"/>
        <v>2.5901130959124465E-2</v>
      </c>
      <c r="K360" s="33">
        <f t="shared" si="252"/>
        <v>38.608352723212633</v>
      </c>
      <c r="L360" s="33">
        <f t="shared" si="253"/>
        <v>4.0664775605825404E-2</v>
      </c>
      <c r="M360" s="33">
        <f t="shared" si="254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0"/>
        <v>1484</v>
      </c>
      <c r="X360" s="9">
        <f t="shared" si="233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4"/>
        <v>7.5973963202127948</v>
      </c>
      <c r="AN360" s="33">
        <f t="shared" si="255"/>
        <v>0.21501220000000001</v>
      </c>
      <c r="AO360" s="33">
        <f t="shared" si="255"/>
        <v>0.34625300000000003</v>
      </c>
      <c r="AP360" s="33">
        <f t="shared" si="255"/>
        <v>0.30737340000000002</v>
      </c>
      <c r="AQ360" s="43">
        <f t="shared" si="255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57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CY360" s="34" t="s">
        <v>86</v>
      </c>
    </row>
    <row r="361" spans="1:103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56"/>
        <v>0.65015479876160998</v>
      </c>
      <c r="F361" s="7">
        <v>6.46</v>
      </c>
      <c r="G361" s="7">
        <f t="shared" si="250"/>
        <v>3.5498452012383903</v>
      </c>
      <c r="H361" s="16">
        <f t="shared" si="251"/>
        <v>4.8501547987616105</v>
      </c>
      <c r="I361" s="11">
        <f t="shared" si="231"/>
        <v>0.1858862658176324</v>
      </c>
      <c r="J361" s="33">
        <f t="shared" si="232"/>
        <v>2.8774963748859506E-2</v>
      </c>
      <c r="K361" s="33">
        <f t="shared" si="252"/>
        <v>34.752433008352092</v>
      </c>
      <c r="L361" s="33">
        <f t="shared" si="253"/>
        <v>0.15711130206877288</v>
      </c>
      <c r="M361" s="33">
        <f t="shared" si="254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0"/>
        <v>1166</v>
      </c>
      <c r="X361" s="9">
        <f t="shared" si="233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4"/>
        <v>7.5994013334158153</v>
      </c>
      <c r="AN361" s="33">
        <f t="shared" si="255"/>
        <v>8.9482000000000006E-2</v>
      </c>
      <c r="AO361" s="33">
        <f t="shared" si="255"/>
        <v>0.30738960000000004</v>
      </c>
      <c r="AP361" s="33">
        <f t="shared" si="255"/>
        <v>0.40731719999999999</v>
      </c>
      <c r="AQ361" s="43">
        <f t="shared" si="255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57"/>
        <v>0.56369999999999998</v>
      </c>
      <c r="AW361" s="40">
        <v>0.43630000000000002</v>
      </c>
      <c r="AX361">
        <v>8.5300000000000001E-2</v>
      </c>
      <c r="AY361" s="40">
        <f t="shared" ref="AY361:AY382" si="258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CY361" s="34" t="s">
        <v>86</v>
      </c>
    </row>
    <row r="362" spans="1:103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56"/>
        <v>0.71991001124859388</v>
      </c>
      <c r="F362" s="7">
        <v>8.89</v>
      </c>
      <c r="G362" s="7">
        <f t="shared" si="250"/>
        <v>5.6800899887514067</v>
      </c>
      <c r="H362" s="16">
        <f t="shared" si="251"/>
        <v>7.119910011248594</v>
      </c>
      <c r="I362" s="11">
        <f t="shared" si="231"/>
        <v>0.26457488505143828</v>
      </c>
      <c r="J362" s="33">
        <f t="shared" si="232"/>
        <v>2.9760954448980682E-2</v>
      </c>
      <c r="K362" s="33">
        <f t="shared" si="252"/>
        <v>33.601072899537002</v>
      </c>
      <c r="L362" s="33">
        <f t="shared" si="253"/>
        <v>0.23481393060245759</v>
      </c>
      <c r="M362" s="33">
        <f t="shared" si="254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0"/>
        <v>1050</v>
      </c>
      <c r="X362" s="9">
        <f t="shared" si="233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4"/>
        <v>7.6009024595420822</v>
      </c>
      <c r="AN362" s="33">
        <f t="shared" si="255"/>
        <v>8.9482000000000006E-2</v>
      </c>
      <c r="AO362" s="33">
        <f t="shared" si="255"/>
        <v>0.30738960000000004</v>
      </c>
      <c r="AP362" s="33">
        <f t="shared" si="255"/>
        <v>0.40731719999999999</v>
      </c>
      <c r="AQ362" s="43">
        <f t="shared" si="255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57"/>
        <v>0.57479999999999998</v>
      </c>
      <c r="AW362" s="40">
        <v>0.42520000000000002</v>
      </c>
      <c r="AX362">
        <v>8.5300000000000001E-2</v>
      </c>
      <c r="AY362" s="40">
        <f t="shared" si="258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CY362" s="34" t="s">
        <v>86</v>
      </c>
    </row>
    <row r="363" spans="1:103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56"/>
        <v>1.2987012987012987</v>
      </c>
      <c r="F363" s="7">
        <v>2.31</v>
      </c>
      <c r="G363" s="7">
        <f t="shared" si="250"/>
        <v>1.7012987012987013</v>
      </c>
      <c r="H363" s="16">
        <f t="shared" si="251"/>
        <v>4.2987012987012987</v>
      </c>
      <c r="I363" s="11">
        <f t="shared" si="231"/>
        <v>8.1198409743599181E-2</v>
      </c>
      <c r="J363" s="33">
        <f t="shared" si="232"/>
        <v>3.5150826728830811E-2</v>
      </c>
      <c r="K363" s="33">
        <f t="shared" si="252"/>
        <v>28.44883301648769</v>
      </c>
      <c r="L363" s="33">
        <f t="shared" si="253"/>
        <v>4.604758301476837E-2</v>
      </c>
      <c r="M363" s="33">
        <f t="shared" si="254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0"/>
        <v>804</v>
      </c>
      <c r="X363" s="9">
        <f t="shared" si="233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4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58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CY363" s="34" t="s">
        <v>86</v>
      </c>
    </row>
    <row r="364" spans="1:103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56"/>
        <v>3.2558139534883721</v>
      </c>
      <c r="F364" s="7">
        <v>0.86</v>
      </c>
      <c r="G364" s="7">
        <f t="shared" si="250"/>
        <v>-0.45581395348837228</v>
      </c>
      <c r="H364" s="16">
        <f t="shared" si="251"/>
        <v>6.0558139534883715</v>
      </c>
      <c r="I364" s="11">
        <f t="shared" si="231"/>
        <v>2.3486928885310506E-2</v>
      </c>
      <c r="J364" s="33">
        <f t="shared" si="232"/>
        <v>2.7310382424779657E-2</v>
      </c>
      <c r="K364" s="33">
        <f t="shared" si="252"/>
        <v>36.616111208046114</v>
      </c>
      <c r="L364" s="33">
        <f t="shared" si="253"/>
        <v>-3.8234535394691509E-3</v>
      </c>
      <c r="M364" s="33">
        <f t="shared" si="254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0"/>
        <v>1340</v>
      </c>
      <c r="X364" s="9">
        <f t="shared" si="233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4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59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58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CY364" s="34" t="s">
        <v>86</v>
      </c>
    </row>
    <row r="365" spans="1:103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56"/>
        <v>0.89552238805970164</v>
      </c>
      <c r="F365" s="7">
        <v>2.0099999999999998</v>
      </c>
      <c r="G365" s="7">
        <f t="shared" si="250"/>
        <v>0.90447761194029841</v>
      </c>
      <c r="H365" s="16">
        <f t="shared" si="251"/>
        <v>2.6955223880597017</v>
      </c>
      <c r="I365" s="11">
        <f t="shared" si="231"/>
        <v>7.9079937896204405E-2</v>
      </c>
      <c r="J365" s="33">
        <f t="shared" si="232"/>
        <v>3.9343252684678816E-2</v>
      </c>
      <c r="K365" s="33">
        <f t="shared" si="252"/>
        <v>25.417318898735168</v>
      </c>
      <c r="L365" s="33">
        <f t="shared" si="253"/>
        <v>3.9736685211525589E-2</v>
      </c>
      <c r="M365" s="33">
        <f t="shared" si="254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0"/>
        <v>642</v>
      </c>
      <c r="X365" s="9">
        <f t="shared" si="233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4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59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58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CY365" s="34" t="s">
        <v>86</v>
      </c>
    </row>
    <row r="366" spans="1:103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56"/>
        <v>2.9999999999999996</v>
      </c>
      <c r="F366" s="7">
        <v>-0.1</v>
      </c>
      <c r="G366" s="7">
        <f t="shared" si="250"/>
        <v>-3.2999999999999994</v>
      </c>
      <c r="H366" s="16">
        <f t="shared" si="251"/>
        <v>2.6999999999999997</v>
      </c>
      <c r="I366" s="11">
        <f t="shared" si="231"/>
        <v>-3.2124462549688771E-3</v>
      </c>
      <c r="J366" s="33">
        <f t="shared" si="232"/>
        <v>3.2124462549688766E-2</v>
      </c>
      <c r="K366" s="33">
        <f t="shared" si="252"/>
        <v>31.128925455273908</v>
      </c>
      <c r="L366" s="33">
        <f t="shared" si="253"/>
        <v>-3.5336908804657646E-2</v>
      </c>
      <c r="M366" s="33">
        <f t="shared" si="254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0"/>
        <v>969</v>
      </c>
      <c r="X366" s="9">
        <f t="shared" si="233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4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59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58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CY366" s="34" t="s">
        <v>86</v>
      </c>
    </row>
    <row r="367" spans="1:103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56"/>
        <v>1.0772833723653397</v>
      </c>
      <c r="F367" s="7">
        <v>4.2699999999999996</v>
      </c>
      <c r="G367" s="7">
        <f t="shared" si="250"/>
        <v>3.5227166276346598</v>
      </c>
      <c r="H367" s="16">
        <f t="shared" si="251"/>
        <v>5.6772833723653395</v>
      </c>
      <c r="I367" s="11">
        <f t="shared" si="231"/>
        <v>0.18613964303252781</v>
      </c>
      <c r="J367" s="33">
        <f t="shared" si="232"/>
        <v>4.3592422255861317E-2</v>
      </c>
      <c r="K367" s="33">
        <f t="shared" si="252"/>
        <v>22.939766781726444</v>
      </c>
      <c r="L367" s="33">
        <f t="shared" si="253"/>
        <v>0.14254722077666648</v>
      </c>
      <c r="M367" s="33">
        <f t="shared" si="254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0"/>
        <v>508</v>
      </c>
      <c r="X367" s="9">
        <f t="shared" si="233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4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59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58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CY367" s="34" t="s">
        <v>86</v>
      </c>
    </row>
    <row r="368" spans="1:103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56"/>
        <v>1.7647058823529411</v>
      </c>
      <c r="F368" s="7">
        <v>2.21</v>
      </c>
      <c r="G368" s="7">
        <f t="shared" si="250"/>
        <v>2.1352941176470588</v>
      </c>
      <c r="H368" s="16">
        <f t="shared" si="251"/>
        <v>5.6647058823529406</v>
      </c>
      <c r="I368" s="11">
        <f t="shared" si="231"/>
        <v>7.2434333358581224E-2</v>
      </c>
      <c r="J368" s="33">
        <f t="shared" si="232"/>
        <v>3.2775716451846716E-2</v>
      </c>
      <c r="K368" s="33">
        <f t="shared" si="252"/>
        <v>30.510393311132514</v>
      </c>
      <c r="L368" s="33">
        <f t="shared" si="253"/>
        <v>3.9658616906734508E-2</v>
      </c>
      <c r="M368" s="33">
        <f t="shared" si="254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0"/>
        <v>926</v>
      </c>
      <c r="X368" s="9">
        <f t="shared" si="233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4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59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58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CY368" s="34" t="s">
        <v>86</v>
      </c>
    </row>
    <row r="369" spans="1:103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56"/>
        <v>1.2718204488778055</v>
      </c>
      <c r="F369" s="7">
        <v>4.01</v>
      </c>
      <c r="G369" s="7">
        <f t="shared" si="250"/>
        <v>3.8281795511221941</v>
      </c>
      <c r="H369" s="16">
        <f t="shared" si="251"/>
        <v>6.3718204488778056</v>
      </c>
      <c r="I369" s="11">
        <f t="shared" si="231"/>
        <v>0.1865459135354694</v>
      </c>
      <c r="J369" s="33">
        <f t="shared" si="232"/>
        <v>4.6520177939019809E-2</v>
      </c>
      <c r="K369" s="33">
        <f t="shared" si="252"/>
        <v>21.496048474080069</v>
      </c>
      <c r="L369" s="33">
        <f t="shared" si="253"/>
        <v>0.1400257355964496</v>
      </c>
      <c r="M369" s="33">
        <f t="shared" si="254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0"/>
        <v>446</v>
      </c>
      <c r="X369" s="9">
        <f t="shared" si="233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4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59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58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CY369" s="34" t="s">
        <v>86</v>
      </c>
    </row>
    <row r="370" spans="1:103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56"/>
        <v>2.4336283185840708</v>
      </c>
      <c r="F370" s="7">
        <v>2.2599999999999998</v>
      </c>
      <c r="G370" s="7">
        <f t="shared" si="250"/>
        <v>3.0663716814159292</v>
      </c>
      <c r="H370" s="16">
        <f t="shared" si="251"/>
        <v>7.9336283185840708</v>
      </c>
      <c r="I370" s="11">
        <f t="shared" si="231"/>
        <v>8.1704726615308823E-2</v>
      </c>
      <c r="J370" s="33">
        <f t="shared" si="232"/>
        <v>3.6152533900579126E-2</v>
      </c>
      <c r="K370" s="33">
        <f t="shared" si="252"/>
        <v>27.66057844659074</v>
      </c>
      <c r="L370" s="33">
        <f t="shared" si="253"/>
        <v>4.5552192714729697E-2</v>
      </c>
      <c r="M370" s="33">
        <f t="shared" si="254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0"/>
        <v>760</v>
      </c>
      <c r="X370" s="9">
        <f t="shared" si="233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4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59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58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CY370" s="34" t="s">
        <v>86</v>
      </c>
    </row>
    <row r="371" spans="1:103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56"/>
        <v>1.1162790697674418</v>
      </c>
      <c r="F371" s="7">
        <v>2.15</v>
      </c>
      <c r="G371" s="7">
        <f t="shared" si="250"/>
        <v>1.2837209302325581</v>
      </c>
      <c r="H371" s="16">
        <f t="shared" si="251"/>
        <v>3.5162790697674415</v>
      </c>
      <c r="I371" s="11">
        <f t="shared" si="231"/>
        <v>6.7397705177461117E-2</v>
      </c>
      <c r="J371" s="33">
        <f t="shared" si="232"/>
        <v>3.1347769849981923E-2</v>
      </c>
      <c r="K371" s="33">
        <f t="shared" si="252"/>
        <v>31.900195924163221</v>
      </c>
      <c r="L371" s="33">
        <f t="shared" si="253"/>
        <v>3.6049935327479195E-2</v>
      </c>
      <c r="M371" s="33">
        <f t="shared" si="254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0"/>
        <v>1013</v>
      </c>
      <c r="X371" s="9">
        <f t="shared" si="233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4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59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58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CY371" s="34" t="s">
        <v>86</v>
      </c>
    </row>
    <row r="372" spans="1:103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56"/>
        <v>1.8181818181818183</v>
      </c>
      <c r="F372" s="7">
        <v>-0.88</v>
      </c>
      <c r="G372" s="7">
        <f t="shared" si="250"/>
        <v>-3.4181818181818184</v>
      </c>
      <c r="H372" s="16">
        <f t="shared" si="251"/>
        <v>0.21818181818181825</v>
      </c>
      <c r="I372" s="11">
        <f t="shared" si="231"/>
        <v>-2.3846798901517526E-2</v>
      </c>
      <c r="J372" s="33">
        <f t="shared" si="232"/>
        <v>2.7098635115360828E-2</v>
      </c>
      <c r="K372" s="33">
        <f t="shared" si="252"/>
        <v>36.902227575039426</v>
      </c>
      <c r="L372" s="33">
        <f t="shared" si="253"/>
        <v>-5.0945434016878358E-2</v>
      </c>
      <c r="M372" s="33">
        <f t="shared" si="254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0"/>
        <v>1361</v>
      </c>
      <c r="X372" s="9">
        <f t="shared" si="233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4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59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58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CY372" s="34" t="s">
        <v>86</v>
      </c>
    </row>
    <row r="373" spans="1:103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56"/>
        <v>1.044776119402985</v>
      </c>
      <c r="F373" s="7">
        <v>0.67</v>
      </c>
      <c r="G373" s="7">
        <f t="shared" si="250"/>
        <v>-0.34477611940298503</v>
      </c>
      <c r="H373" s="16">
        <f t="shared" si="251"/>
        <v>1.7447761194029849</v>
      </c>
      <c r="I373" s="11">
        <f t="shared" si="231"/>
        <v>2.3505894099012905E-2</v>
      </c>
      <c r="J373" s="33">
        <f t="shared" si="232"/>
        <v>3.5083424028377469E-2</v>
      </c>
      <c r="K373" s="33">
        <f t="shared" si="252"/>
        <v>28.503489260088841</v>
      </c>
      <c r="L373" s="33">
        <f t="shared" si="253"/>
        <v>-1.1577529929364564E-2</v>
      </c>
      <c r="M373" s="33">
        <f t="shared" si="254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0"/>
        <v>812</v>
      </c>
      <c r="X373" s="9">
        <f t="shared" si="233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4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59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58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CY373" s="34" t="s">
        <v>86</v>
      </c>
    </row>
    <row r="374" spans="1:103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56"/>
        <v>2.1428571428571428</v>
      </c>
      <c r="F374" s="7">
        <v>0.28000000000000003</v>
      </c>
      <c r="G374" s="7">
        <f t="shared" si="250"/>
        <v>-1.5428571428571427</v>
      </c>
      <c r="H374" s="16">
        <f t="shared" si="251"/>
        <v>2.7428571428571429</v>
      </c>
      <c r="I374" s="11">
        <f t="shared" si="231"/>
        <v>9.0984008236424802E-3</v>
      </c>
      <c r="J374" s="33">
        <f t="shared" si="232"/>
        <v>3.2494288655865997E-2</v>
      </c>
      <c r="K374" s="33">
        <f t="shared" si="252"/>
        <v>30.774638909335721</v>
      </c>
      <c r="L374" s="33">
        <f t="shared" si="253"/>
        <v>-2.3395887832223516E-2</v>
      </c>
      <c r="M374" s="33">
        <f t="shared" si="254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0"/>
        <v>947</v>
      </c>
      <c r="X374" s="9">
        <f t="shared" si="233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4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59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58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CY374" s="34" t="s">
        <v>86</v>
      </c>
    </row>
    <row r="375" spans="1:103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56"/>
        <v>0.85545722713864303</v>
      </c>
      <c r="F375" s="7">
        <v>3.39</v>
      </c>
      <c r="G375" s="7">
        <f t="shared" si="250"/>
        <v>2.044542772861357</v>
      </c>
      <c r="H375" s="16">
        <f t="shared" si="251"/>
        <v>3.7554572271386428</v>
      </c>
      <c r="I375" s="11">
        <f t="shared" si="231"/>
        <v>0.13101679456485232</v>
      </c>
      <c r="J375" s="33">
        <f t="shared" si="232"/>
        <v>3.8648021995531662E-2</v>
      </c>
      <c r="K375" s="33">
        <f t="shared" si="252"/>
        <v>25.874545406634684</v>
      </c>
      <c r="L375" s="33">
        <f t="shared" si="253"/>
        <v>9.2368772569320662E-2</v>
      </c>
      <c r="M375" s="33">
        <f t="shared" si="254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0"/>
        <v>658</v>
      </c>
      <c r="X375" s="9">
        <f t="shared" si="233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4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0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58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CY375" s="34" t="s">
        <v>86</v>
      </c>
    </row>
    <row r="376" spans="1:103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56"/>
        <v>1.4285714285714286</v>
      </c>
      <c r="F376" s="7">
        <v>2.73</v>
      </c>
      <c r="G376" s="7">
        <f t="shared" si="250"/>
        <v>2.4714285714285715</v>
      </c>
      <c r="H376" s="16">
        <f t="shared" si="251"/>
        <v>5.3285714285714283</v>
      </c>
      <c r="I376" s="11">
        <f t="shared" si="231"/>
        <v>8.5169027029795424E-2</v>
      </c>
      <c r="J376" s="33">
        <f t="shared" si="232"/>
        <v>3.1197445798459868E-2</v>
      </c>
      <c r="K376" s="33">
        <f t="shared" si="252"/>
        <v>32.0539061582204</v>
      </c>
      <c r="L376" s="33">
        <f t="shared" si="253"/>
        <v>5.3971581231335553E-2</v>
      </c>
      <c r="M376" s="33">
        <f t="shared" si="254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0"/>
        <v>1020</v>
      </c>
      <c r="X376" s="9">
        <f t="shared" si="233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4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0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58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CY376" s="34" t="s">
        <v>86</v>
      </c>
    </row>
    <row r="377" spans="1:103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56"/>
        <v>1.0526315789473684</v>
      </c>
      <c r="F377" s="7">
        <v>4.9400000000000004</v>
      </c>
      <c r="G377" s="7">
        <f t="shared" si="250"/>
        <v>4.147368421052632</v>
      </c>
      <c r="H377" s="16">
        <f t="shared" si="251"/>
        <v>6.2526315789473683</v>
      </c>
      <c r="I377" s="11">
        <f t="shared" si="231"/>
        <v>0.19690753597255725</v>
      </c>
      <c r="J377" s="33">
        <f t="shared" si="232"/>
        <v>3.9859825095659357E-2</v>
      </c>
      <c r="K377" s="33">
        <f t="shared" si="252"/>
        <v>25.087917410578346</v>
      </c>
      <c r="L377" s="33">
        <f t="shared" si="253"/>
        <v>0.15704771087689789</v>
      </c>
      <c r="M377" s="33">
        <f t="shared" si="254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0"/>
        <v>605</v>
      </c>
      <c r="X377" s="9">
        <f t="shared" si="233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4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0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58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CY377" s="34" t="s">
        <v>86</v>
      </c>
    </row>
    <row r="378" spans="1:103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56"/>
        <v>2.477477477477477</v>
      </c>
      <c r="F378" s="7">
        <v>2.2200000000000002</v>
      </c>
      <c r="G378" s="7">
        <f t="shared" si="250"/>
        <v>3.022522522522523</v>
      </c>
      <c r="H378" s="16">
        <f t="shared" si="251"/>
        <v>7.9774774774774766</v>
      </c>
      <c r="I378" s="11">
        <f t="shared" si="231"/>
        <v>7.7481912916654835E-2</v>
      </c>
      <c r="J378" s="33">
        <f t="shared" si="232"/>
        <v>3.4901762575069745E-2</v>
      </c>
      <c r="K378" s="33">
        <f t="shared" si="252"/>
        <v>28.651848107931887</v>
      </c>
      <c r="L378" s="33">
        <f t="shared" si="253"/>
        <v>4.2580150341585091E-2</v>
      </c>
      <c r="M378" s="33">
        <f t="shared" si="254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0"/>
        <v>816</v>
      </c>
      <c r="X378" s="9">
        <f t="shared" si="233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4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0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58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CY378" s="34" t="s">
        <v>86</v>
      </c>
    </row>
    <row r="379" spans="1:103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56"/>
        <v>0.54590570719602982</v>
      </c>
      <c r="F379" s="7">
        <v>4.03</v>
      </c>
      <c r="G379" s="7">
        <f t="shared" si="250"/>
        <v>1.6540942928039704</v>
      </c>
      <c r="H379" s="16">
        <f t="shared" si="251"/>
        <v>2.7459057071960302</v>
      </c>
      <c r="I379" s="11">
        <f t="shared" si="231"/>
        <v>5.3914595065672373E-2</v>
      </c>
      <c r="J379" s="33">
        <f t="shared" si="232"/>
        <v>1.3378311430687934E-2</v>
      </c>
      <c r="K379" s="33">
        <f t="shared" si="252"/>
        <v>74.747848798477136</v>
      </c>
      <c r="L379" s="33">
        <f t="shared" si="253"/>
        <v>4.0536283634984439E-2</v>
      </c>
      <c r="M379" s="33">
        <f t="shared" si="254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0"/>
        <v>5571</v>
      </c>
      <c r="X379" s="9">
        <f t="shared" si="233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4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1">1-AW379</f>
        <v>0.55679999999999996</v>
      </c>
      <c r="AW379" s="40">
        <v>0.44319999999999998</v>
      </c>
      <c r="AX379">
        <v>8.5300000000000001E-2</v>
      </c>
      <c r="AY379" s="40">
        <f t="shared" si="258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CY379" s="34" t="s">
        <v>86</v>
      </c>
    </row>
    <row r="380" spans="1:103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56"/>
        <v>0.54655870445344124</v>
      </c>
      <c r="F380" s="7">
        <v>4.9400000000000004</v>
      </c>
      <c r="G380" s="7">
        <f t="shared" si="250"/>
        <v>2.1534412955465587</v>
      </c>
      <c r="H380" s="16">
        <f t="shared" si="251"/>
        <v>3.2465587044534416</v>
      </c>
      <c r="I380" s="11">
        <f t="shared" si="231"/>
        <v>6.6005255397725685E-2</v>
      </c>
      <c r="J380" s="33">
        <f t="shared" si="232"/>
        <v>1.3361387732333132E-2</v>
      </c>
      <c r="K380" s="33">
        <f t="shared" si="252"/>
        <v>74.842525344886653</v>
      </c>
      <c r="L380" s="33">
        <f t="shared" si="253"/>
        <v>5.2643867665392551E-2</v>
      </c>
      <c r="M380" s="33">
        <f t="shared" si="254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0"/>
        <v>5577</v>
      </c>
      <c r="X380" s="9">
        <f t="shared" si="233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4"/>
        <v>7.5983993293239642</v>
      </c>
      <c r="AN380" s="33">
        <f t="shared" ref="AN380:AN382" si="262">AVERAGE($AN$360:$AN$361)</f>
        <v>0.15224710000000002</v>
      </c>
      <c r="AO380" s="33">
        <f t="shared" ref="AO380:AO382" si="263">AVERAGE($AO$360:$AO$361)</f>
        <v>0.32682130000000004</v>
      </c>
      <c r="AP380" s="33">
        <f t="shared" ref="AP380:AP382" si="264">AVERAGE($AP$360:$AP$361)</f>
        <v>0.35734529999999998</v>
      </c>
      <c r="AQ380" s="43">
        <f t="shared" ref="AQ380:AQ382" si="265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1"/>
        <v>0.55679999999999996</v>
      </c>
      <c r="AW380" s="40">
        <v>0.44319999999999998</v>
      </c>
      <c r="AX380">
        <v>8.5300000000000001E-2</v>
      </c>
      <c r="AY380" s="40">
        <f t="shared" si="258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CY380" s="34" t="s">
        <v>86</v>
      </c>
    </row>
    <row r="381" spans="1:103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56"/>
        <v>1.1084337349397588</v>
      </c>
      <c r="F381" s="7">
        <v>4.1500000000000004</v>
      </c>
      <c r="G381" s="7">
        <f t="shared" si="250"/>
        <v>3.491566265060241</v>
      </c>
      <c r="H381" s="16">
        <f t="shared" si="251"/>
        <v>5.7084337349397583</v>
      </c>
      <c r="I381" s="11">
        <f t="shared" si="231"/>
        <v>5.549029692427087E-2</v>
      </c>
      <c r="J381" s="33">
        <f t="shared" si="232"/>
        <v>1.3371155885366474E-2</v>
      </c>
      <c r="K381" s="33">
        <f t="shared" ref="K381:K382" si="266">IFERROR(1/J381, "X")</f>
        <v>74.787849949039185</v>
      </c>
      <c r="L381" s="33">
        <f t="shared" ref="L381:L382" si="267">IFERROR(I381-J381, "X")</f>
        <v>4.2119141038904392E-2</v>
      </c>
      <c r="M381" s="33">
        <f t="shared" ref="M381:M382" si="268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0"/>
        <v>5576</v>
      </c>
      <c r="X381" s="9">
        <f t="shared" si="233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4"/>
        <v>7.5983993293239642</v>
      </c>
      <c r="AN381" s="33">
        <f t="shared" si="262"/>
        <v>0.15224710000000002</v>
      </c>
      <c r="AO381" s="33">
        <f t="shared" si="263"/>
        <v>0.32682130000000004</v>
      </c>
      <c r="AP381" s="33">
        <f t="shared" si="264"/>
        <v>0.35734529999999998</v>
      </c>
      <c r="AQ381" s="43">
        <f t="shared" si="265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1"/>
        <v>0.55679999999999996</v>
      </c>
      <c r="AW381" s="40">
        <v>0.44319999999999998</v>
      </c>
      <c r="AX381">
        <v>8.5300000000000001E-2</v>
      </c>
      <c r="AY381" s="40">
        <f t="shared" si="258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CY381" s="34" t="s">
        <v>86</v>
      </c>
    </row>
    <row r="382" spans="1:103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56"/>
        <v>1.5789473684210527</v>
      </c>
      <c r="F382" s="55">
        <v>0.76</v>
      </c>
      <c r="G382" s="55">
        <f t="shared" si="250"/>
        <v>-0.3789473684210527</v>
      </c>
      <c r="H382" s="56">
        <f t="shared" si="251"/>
        <v>2.7789473684210524</v>
      </c>
      <c r="I382" s="57">
        <f t="shared" si="231"/>
        <v>1.0181798557149379E-2</v>
      </c>
      <c r="J382" s="58">
        <f t="shared" si="232"/>
        <v>1.3397103364670235E-2</v>
      </c>
      <c r="K382" s="58">
        <f t="shared" si="266"/>
        <v>74.643001011481303</v>
      </c>
      <c r="L382" s="58">
        <f t="shared" si="267"/>
        <v>-3.2153048075208562E-3</v>
      </c>
      <c r="M382" s="58">
        <f t="shared" si="268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0"/>
        <v>5571</v>
      </c>
      <c r="X382" s="60">
        <f t="shared" si="233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4"/>
        <v>7.5983993293239642</v>
      </c>
      <c r="AN382" s="58">
        <f t="shared" si="262"/>
        <v>0.15224710000000002</v>
      </c>
      <c r="AO382" s="58">
        <f t="shared" si="263"/>
        <v>0.32682130000000004</v>
      </c>
      <c r="AP382" s="58">
        <f t="shared" si="264"/>
        <v>0.35734529999999998</v>
      </c>
      <c r="AQ382" s="64">
        <f t="shared" si="265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1"/>
        <v>0.55679999999999996</v>
      </c>
      <c r="AW382" s="67">
        <v>0.44319999999999998</v>
      </c>
      <c r="AX382" s="51">
        <v>8.5300000000000001E-2</v>
      </c>
      <c r="AY382" s="67">
        <f t="shared" si="258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X382" s="52"/>
      <c r="CY382" s="68" t="s">
        <v>86</v>
      </c>
    </row>
    <row r="383" spans="1:103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9">D383-E383</f>
        <v>17.096</v>
      </c>
      <c r="H383" s="16">
        <f t="shared" ref="H383:H398" si="270">D383+E383</f>
        <v>18.504000000000001</v>
      </c>
      <c r="I383" s="11">
        <f t="shared" si="231"/>
        <v>0.33366062720699335</v>
      </c>
      <c r="J383" s="33">
        <f t="shared" si="232"/>
        <v>1.319646525582715E-2</v>
      </c>
      <c r="K383" s="33">
        <f t="shared" ref="K383:K386" si="271">IFERROR(1/J383, "X")</f>
        <v>75.777867831571868</v>
      </c>
      <c r="L383" s="33">
        <f t="shared" ref="L383:L386" si="272">IFERROR(I383-J383, "X")</f>
        <v>0.32046416195116623</v>
      </c>
      <c r="M383" s="33">
        <f t="shared" ref="M383:M386" si="273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0"/>
        <v>5103</v>
      </c>
      <c r="X383" s="9">
        <f t="shared" si="233"/>
        <v>15</v>
      </c>
      <c r="Y383" s="7">
        <v>7.0203000000000007</v>
      </c>
      <c r="Z383" s="7">
        <f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4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CY383" s="34" t="s">
        <v>86</v>
      </c>
    </row>
    <row r="384" spans="1:103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74">D384/E384</f>
        <v>3.1210191082802545</v>
      </c>
      <c r="G384" s="7">
        <f t="shared" si="269"/>
        <v>9.9899999999999984</v>
      </c>
      <c r="H384" s="16">
        <f t="shared" si="270"/>
        <v>19.41</v>
      </c>
      <c r="I384" s="11">
        <f t="shared" si="231"/>
        <v>4.3648521887384835E-2</v>
      </c>
      <c r="J384" s="33">
        <f t="shared" si="232"/>
        <v>1.3985342727182487E-2</v>
      </c>
      <c r="K384" s="33">
        <f t="shared" si="271"/>
        <v>71.503431807670964</v>
      </c>
      <c r="L384" s="33">
        <f t="shared" si="272"/>
        <v>2.9663179160202349E-2</v>
      </c>
      <c r="M384" s="33">
        <f t="shared" si="273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0"/>
        <v>5103</v>
      </c>
      <c r="X384" s="9">
        <f t="shared" si="233"/>
        <v>15</v>
      </c>
      <c r="Y384" s="7">
        <v>7.0203000000000007</v>
      </c>
      <c r="Z384" s="7">
        <f>BQ384-Y384-6</f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4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CY384" s="34" t="s">
        <v>86</v>
      </c>
    </row>
    <row r="385" spans="1:103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74"/>
        <v>3.6650485436893203</v>
      </c>
      <c r="G385" s="7">
        <f t="shared" si="269"/>
        <v>10.98</v>
      </c>
      <c r="H385" s="16">
        <f t="shared" si="270"/>
        <v>19.22</v>
      </c>
      <c r="I385" s="11">
        <f t="shared" si="231"/>
        <v>5.1238464134782849E-2</v>
      </c>
      <c r="J385" s="33">
        <f t="shared" si="232"/>
        <v>1.3980296174523532E-2</v>
      </c>
      <c r="K385" s="33">
        <f t="shared" si="271"/>
        <v>71.529242836951653</v>
      </c>
      <c r="L385" s="33">
        <f t="shared" si="272"/>
        <v>3.7258167960259318E-2</v>
      </c>
      <c r="M385" s="33">
        <f t="shared" si="273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0"/>
        <v>5103</v>
      </c>
      <c r="X385" s="9">
        <f t="shared" si="233"/>
        <v>15</v>
      </c>
      <c r="Y385" s="7">
        <v>7.0203000000000007</v>
      </c>
      <c r="Z385" s="7">
        <f>BQ385-Y385-6</f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4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CY385" s="34" t="s">
        <v>86</v>
      </c>
    </row>
    <row r="386" spans="1:103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74"/>
        <v>21.411483253588514</v>
      </c>
      <c r="G386" s="7">
        <f t="shared" si="269"/>
        <v>17.064</v>
      </c>
      <c r="H386" s="16">
        <f t="shared" si="270"/>
        <v>18.735999999999997</v>
      </c>
      <c r="I386" s="11">
        <f t="shared" ref="I386:I449" si="275">IFERROR(F386/SQRT(F386^2+W386), "X")</f>
        <v>0.34010261654193102</v>
      </c>
      <c r="J386" s="33">
        <f t="shared" ref="J386:J449" si="276">IFERROR(SQRT((1-I386^2)/W386), "X")</f>
        <v>1.5884122202740467E-2</v>
      </c>
      <c r="K386" s="33">
        <f t="shared" si="271"/>
        <v>62.955949799194521</v>
      </c>
      <c r="L386" s="33">
        <f t="shared" si="272"/>
        <v>0.32421849433919053</v>
      </c>
      <c r="M386" s="33">
        <f t="shared" si="273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0"/>
        <v>3505</v>
      </c>
      <c r="X386" s="9">
        <f t="shared" si="233"/>
        <v>15</v>
      </c>
      <c r="Y386" s="7">
        <v>7.0203000000000007</v>
      </c>
      <c r="Z386" s="7">
        <f>BQ386-Y386-6</f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4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CY386" s="34" t="s">
        <v>86</v>
      </c>
    </row>
    <row r="387" spans="1:103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74"/>
        <v>3.2338308457711444</v>
      </c>
      <c r="G387" s="7">
        <f t="shared" si="269"/>
        <v>8.98</v>
      </c>
      <c r="H387" s="16">
        <f t="shared" si="270"/>
        <v>17.02</v>
      </c>
      <c r="I387" s="11">
        <f t="shared" si="275"/>
        <v>5.4541410272056987E-2</v>
      </c>
      <c r="J387" s="33">
        <f t="shared" si="276"/>
        <v>1.6865882253359162E-2</v>
      </c>
      <c r="K387" s="33">
        <f t="shared" ref="K387:K398" si="277">IFERROR(1/J387, "X")</f>
        <v>59.291294992933494</v>
      </c>
      <c r="L387" s="33">
        <f t="shared" ref="L387:L398" si="278">IFERROR(I387-J387, "X")</f>
        <v>3.7675528018697821E-2</v>
      </c>
      <c r="M387" s="33">
        <f t="shared" ref="M387:M398" si="279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0"/>
        <v>3505</v>
      </c>
      <c r="X387" s="9">
        <f t="shared" ref="X387:X450" si="280">COUNTIF(B:B,B387)</f>
        <v>15</v>
      </c>
      <c r="Y387" s="7">
        <v>7.0203000000000007</v>
      </c>
      <c r="Z387" s="7">
        <f>BQ387-Y387-6</f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1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CY387" s="34" t="s">
        <v>86</v>
      </c>
    </row>
    <row r="388" spans="1:103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74"/>
        <v>21.411483253588514</v>
      </c>
      <c r="G388" s="7">
        <f t="shared" si="269"/>
        <v>17.064</v>
      </c>
      <c r="H388" s="16">
        <f t="shared" si="270"/>
        <v>18.735999999999997</v>
      </c>
      <c r="I388" s="11">
        <f t="shared" si="275"/>
        <v>0.34010261654193102</v>
      </c>
      <c r="J388" s="33">
        <f t="shared" si="276"/>
        <v>1.5884122202740467E-2</v>
      </c>
      <c r="K388" s="33">
        <f t="shared" si="277"/>
        <v>62.955949799194521</v>
      </c>
      <c r="L388" s="33">
        <f t="shared" si="278"/>
        <v>0.32421849433919053</v>
      </c>
      <c r="M388" s="33">
        <f t="shared" si="279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0"/>
        <v>3505</v>
      </c>
      <c r="X388" s="9">
        <f t="shared" si="280"/>
        <v>15</v>
      </c>
      <c r="Y388" s="7">
        <v>7.0203000000000007</v>
      </c>
      <c r="Z388" s="7">
        <f>BQ388-Y388-6</f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1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CY388" s="34" t="s">
        <v>86</v>
      </c>
    </row>
    <row r="389" spans="1:103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74"/>
        <v>2.6053042121684866</v>
      </c>
      <c r="G389" s="7">
        <f t="shared" si="269"/>
        <v>10.29</v>
      </c>
      <c r="H389" s="16">
        <f t="shared" si="270"/>
        <v>23.11</v>
      </c>
      <c r="I389" s="11">
        <f t="shared" si="275"/>
        <v>6.5116580253501172E-2</v>
      </c>
      <c r="J389" s="33">
        <f t="shared" si="276"/>
        <v>2.4993849067361823E-2</v>
      </c>
      <c r="K389" s="33">
        <f t="shared" si="277"/>
        <v>40.009843914191208</v>
      </c>
      <c r="L389" s="33">
        <f t="shared" si="278"/>
        <v>4.0122731186139349E-2</v>
      </c>
      <c r="M389" s="33">
        <f t="shared" si="279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0"/>
        <v>1594</v>
      </c>
      <c r="X389" s="9">
        <f t="shared" si="280"/>
        <v>15</v>
      </c>
      <c r="Y389" s="7">
        <v>7.0203000000000007</v>
      </c>
      <c r="Z389" s="7">
        <f>BQ389-Y389-6</f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1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CY389" s="34" t="s">
        <v>86</v>
      </c>
    </row>
    <row r="390" spans="1:103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74"/>
        <v>10.285714285714286</v>
      </c>
      <c r="G390" s="7">
        <f t="shared" si="269"/>
        <v>13</v>
      </c>
      <c r="H390" s="16">
        <f t="shared" si="270"/>
        <v>15.8</v>
      </c>
      <c r="I390" s="11">
        <f t="shared" si="275"/>
        <v>0.32677013083849349</v>
      </c>
      <c r="J390" s="33">
        <f t="shared" si="276"/>
        <v>3.1769318275964645E-2</v>
      </c>
      <c r="K390" s="33">
        <f t="shared" si="277"/>
        <v>31.476910877138927</v>
      </c>
      <c r="L390" s="33">
        <f t="shared" si="278"/>
        <v>0.29500081256252886</v>
      </c>
      <c r="M390" s="33">
        <f t="shared" si="279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0"/>
        <v>885</v>
      </c>
      <c r="X390" s="9">
        <f t="shared" si="280"/>
        <v>15</v>
      </c>
      <c r="Y390" s="7">
        <v>7.0203000000000007</v>
      </c>
      <c r="Z390" s="7">
        <f>BQ390-Y390-6</f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1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CY390" s="34" t="s">
        <v>86</v>
      </c>
    </row>
    <row r="391" spans="1:103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74"/>
        <v>4.8526077097505667</v>
      </c>
      <c r="G391" s="7">
        <f t="shared" si="269"/>
        <v>16.989999999999998</v>
      </c>
      <c r="H391" s="16">
        <f t="shared" si="270"/>
        <v>25.81</v>
      </c>
      <c r="I391" s="11">
        <f t="shared" si="275"/>
        <v>0.16090236206446146</v>
      </c>
      <c r="J391" s="33">
        <f t="shared" si="276"/>
        <v>3.3157916668424069E-2</v>
      </c>
      <c r="K391" s="33">
        <f t="shared" si="277"/>
        <v>30.158710210894803</v>
      </c>
      <c r="L391" s="33">
        <f t="shared" si="278"/>
        <v>0.12774444539603738</v>
      </c>
      <c r="M391" s="33">
        <f t="shared" si="279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0"/>
        <v>886</v>
      </c>
      <c r="X391" s="9">
        <f t="shared" si="280"/>
        <v>15</v>
      </c>
      <c r="Y391" s="7">
        <v>7.0203000000000007</v>
      </c>
      <c r="Z391" s="7">
        <f>BQ391-Y391-6</f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1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CY391" s="34" t="s">
        <v>86</v>
      </c>
    </row>
    <row r="392" spans="1:103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74"/>
        <v>10.285714285714286</v>
      </c>
      <c r="G392" s="7">
        <f t="shared" si="269"/>
        <v>13</v>
      </c>
      <c r="H392" s="16">
        <f t="shared" si="270"/>
        <v>15.8</v>
      </c>
      <c r="I392" s="11">
        <f t="shared" si="275"/>
        <v>0.32677013083849349</v>
      </c>
      <c r="J392" s="33">
        <f t="shared" si="276"/>
        <v>3.1769318275964645E-2</v>
      </c>
      <c r="K392" s="33">
        <f t="shared" si="277"/>
        <v>31.476910877138927</v>
      </c>
      <c r="L392" s="33">
        <f t="shared" si="278"/>
        <v>0.29500081256252886</v>
      </c>
      <c r="M392" s="33">
        <f t="shared" si="279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0"/>
        <v>885</v>
      </c>
      <c r="X392" s="9">
        <f t="shared" si="280"/>
        <v>15</v>
      </c>
      <c r="Y392" s="7">
        <v>7.0203000000000007</v>
      </c>
      <c r="Z392" s="7">
        <f>BQ392-Y392-6</f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1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CY392" s="34" t="s">
        <v>86</v>
      </c>
    </row>
    <row r="393" spans="1:103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74"/>
        <v>6.5589353612167303</v>
      </c>
      <c r="G393" s="7">
        <f t="shared" si="269"/>
        <v>29.240000000000002</v>
      </c>
      <c r="H393" s="16">
        <f t="shared" si="270"/>
        <v>39.76</v>
      </c>
      <c r="I393" s="11">
        <f t="shared" si="275"/>
        <v>0.10051468619482916</v>
      </c>
      <c r="J393" s="33">
        <f t="shared" si="276"/>
        <v>1.5324847808255111E-2</v>
      </c>
      <c r="K393" s="33">
        <f t="shared" si="277"/>
        <v>65.253502841400163</v>
      </c>
      <c r="L393" s="33">
        <f t="shared" si="278"/>
        <v>8.5189838386574041E-2</v>
      </c>
      <c r="M393" s="33">
        <f t="shared" si="279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0"/>
        <v>4215</v>
      </c>
      <c r="X393" s="9">
        <f t="shared" si="280"/>
        <v>15</v>
      </c>
      <c r="Y393" s="7">
        <v>7.0203000000000007</v>
      </c>
      <c r="Z393" s="7">
        <f>BQ393-Y393-6</f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1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CY393" s="34" t="s">
        <v>86</v>
      </c>
    </row>
    <row r="394" spans="1:103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74"/>
        <v>2.4434782608695653</v>
      </c>
      <c r="G394" s="7">
        <f t="shared" si="269"/>
        <v>3.3200000000000003</v>
      </c>
      <c r="H394" s="16">
        <f t="shared" si="270"/>
        <v>7.92</v>
      </c>
      <c r="I394" s="11">
        <f t="shared" si="275"/>
        <v>0.10025960981878747</v>
      </c>
      <c r="J394" s="33">
        <f t="shared" si="276"/>
        <v>4.1031512915162126E-2</v>
      </c>
      <c r="K394" s="33">
        <f t="shared" si="277"/>
        <v>24.371511771150804</v>
      </c>
      <c r="L394" s="33">
        <f t="shared" si="278"/>
        <v>5.9228096903625342E-2</v>
      </c>
      <c r="M394" s="33">
        <f t="shared" si="279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0"/>
        <v>588</v>
      </c>
      <c r="X394" s="9">
        <f t="shared" si="280"/>
        <v>15</v>
      </c>
      <c r="Y394" s="7">
        <v>7.0203000000000007</v>
      </c>
      <c r="Z394" s="7">
        <f>BQ394-Y394-6</f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1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CY394" s="34" t="s">
        <v>86</v>
      </c>
    </row>
    <row r="395" spans="1:103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74"/>
        <v>0.54958183990442055</v>
      </c>
      <c r="G395" s="7">
        <f t="shared" si="269"/>
        <v>-3.7699999999999996</v>
      </c>
      <c r="H395" s="16">
        <f t="shared" si="270"/>
        <v>12.969999999999999</v>
      </c>
      <c r="I395" s="11">
        <f t="shared" si="275"/>
        <v>1.9500221059366833E-2</v>
      </c>
      <c r="J395" s="33">
        <f t="shared" si="276"/>
        <v>3.5481923971065296E-2</v>
      </c>
      <c r="K395" s="33">
        <f t="shared" si="277"/>
        <v>28.183364600394199</v>
      </c>
      <c r="L395" s="33">
        <f t="shared" si="278"/>
        <v>-1.5981702911698464E-2</v>
      </c>
      <c r="M395" s="33">
        <f t="shared" si="279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0"/>
        <v>794</v>
      </c>
      <c r="X395" s="9">
        <f t="shared" si="280"/>
        <v>15</v>
      </c>
      <c r="Y395" s="7">
        <v>7.0203000000000007</v>
      </c>
      <c r="Z395" s="7">
        <f>BQ395-Y395-6</f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1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CY395" s="34" t="s">
        <v>86</v>
      </c>
    </row>
    <row r="396" spans="1:103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74"/>
        <v>3.1827515400410675</v>
      </c>
      <c r="G396" s="7">
        <f t="shared" si="269"/>
        <v>10.629999999999999</v>
      </c>
      <c r="H396" s="16">
        <f t="shared" si="270"/>
        <v>20.37</v>
      </c>
      <c r="I396" s="11">
        <f t="shared" si="275"/>
        <v>7.9865593759938999E-2</v>
      </c>
      <c r="J396" s="33">
        <f t="shared" si="276"/>
        <v>2.5093254297477611E-2</v>
      </c>
      <c r="K396" s="33">
        <f t="shared" si="277"/>
        <v>39.851347622955409</v>
      </c>
      <c r="L396" s="33">
        <f t="shared" si="278"/>
        <v>5.4772339462461392E-2</v>
      </c>
      <c r="M396" s="33">
        <f t="shared" si="279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0"/>
        <v>1578</v>
      </c>
      <c r="X396" s="9">
        <f t="shared" si="280"/>
        <v>15</v>
      </c>
      <c r="Y396" s="7">
        <v>7.0203000000000007</v>
      </c>
      <c r="Z396" s="7">
        <f>BQ396-Y396-6</f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1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CY396" s="34" t="s">
        <v>86</v>
      </c>
    </row>
    <row r="397" spans="1:103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74"/>
        <v>7.3489278752436658</v>
      </c>
      <c r="G397" s="55">
        <f t="shared" si="269"/>
        <v>32.57</v>
      </c>
      <c r="H397" s="56">
        <f t="shared" si="270"/>
        <v>42.830000000000005</v>
      </c>
      <c r="I397" s="57">
        <f t="shared" si="275"/>
        <v>0.15714440548743447</v>
      </c>
      <c r="J397" s="58">
        <f t="shared" si="276"/>
        <v>2.1383310348820659E-2</v>
      </c>
      <c r="K397" s="58">
        <f t="shared" si="277"/>
        <v>46.765443875959662</v>
      </c>
      <c r="L397" s="58">
        <f t="shared" si="278"/>
        <v>0.13576109513861381</v>
      </c>
      <c r="M397" s="58">
        <f t="shared" si="279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0"/>
        <v>2133</v>
      </c>
      <c r="X397" s="60">
        <f t="shared" si="280"/>
        <v>15</v>
      </c>
      <c r="Y397" s="55">
        <v>7.0203000000000007</v>
      </c>
      <c r="Z397" s="55">
        <f>BQ397-Y397-6</f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1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X397" s="52"/>
      <c r="CY397" s="68" t="s">
        <v>86</v>
      </c>
    </row>
    <row r="398" spans="1:103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74"/>
        <v>14.4</v>
      </c>
      <c r="G398" s="7">
        <f t="shared" si="269"/>
        <v>6.7</v>
      </c>
      <c r="H398" s="16">
        <f t="shared" si="270"/>
        <v>7.7</v>
      </c>
      <c r="I398" s="11">
        <f t="shared" si="275"/>
        <v>0.13314306921085112</v>
      </c>
      <c r="J398" s="33">
        <f t="shared" si="276"/>
        <v>9.2460464729757722E-3</v>
      </c>
      <c r="K398" s="33">
        <f t="shared" si="277"/>
        <v>108.15433417112789</v>
      </c>
      <c r="L398" s="33">
        <f t="shared" si="278"/>
        <v>0.12389702273787534</v>
      </c>
      <c r="M398" s="33">
        <f t="shared" si="279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0"/>
        <v>11490</v>
      </c>
      <c r="X398" s="9">
        <f t="shared" si="280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1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CY398" s="34" t="s">
        <v>86</v>
      </c>
    </row>
    <row r="399" spans="1:103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2">D399-E399</f>
        <v>2.3686173883754575</v>
      </c>
      <c r="H399" s="16">
        <f t="shared" ref="H399:H412" si="283">D399+E399</f>
        <v>3.1853820050566499</v>
      </c>
      <c r="I399" s="11">
        <f t="shared" si="275"/>
        <v>6.3329866538037571E-2</v>
      </c>
      <c r="J399" s="33">
        <f t="shared" si="276"/>
        <v>9.3132156673584668E-3</v>
      </c>
      <c r="K399" s="33">
        <f t="shared" ref="K399:K411" si="284">IFERROR(1/J399, "X")</f>
        <v>107.37429860073591</v>
      </c>
      <c r="L399" s="33">
        <f t="shared" ref="L399:L411" si="285">IFERROR(I399-J399, "X")</f>
        <v>5.4016650870679105E-2</v>
      </c>
      <c r="M399" s="33">
        <f t="shared" ref="M399:M411" si="286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0"/>
        <v>11483</v>
      </c>
      <c r="X399" s="9">
        <f t="shared" si="280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1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87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88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CY399" s="34" t="s">
        <v>86</v>
      </c>
    </row>
    <row r="400" spans="1:103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2"/>
        <v>4.1339829363893417</v>
      </c>
      <c r="H400" s="16">
        <f t="shared" si="283"/>
        <v>4.7927849979653319</v>
      </c>
      <c r="I400" s="11">
        <f t="shared" si="275"/>
        <v>0.12544896850431847</v>
      </c>
      <c r="J400" s="33">
        <f t="shared" si="276"/>
        <v>9.2582264578832812E-3</v>
      </c>
      <c r="K400" s="33">
        <f t="shared" si="284"/>
        <v>108.01204793910725</v>
      </c>
      <c r="L400" s="33">
        <f t="shared" si="285"/>
        <v>0.11619074204643519</v>
      </c>
      <c r="M400" s="33">
        <f t="shared" si="286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0"/>
        <v>11483</v>
      </c>
      <c r="X400" s="9">
        <f t="shared" si="280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1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87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88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CY400" s="34" t="s">
        <v>86</v>
      </c>
    </row>
    <row r="401" spans="1:103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2"/>
        <v>12.586198851033615</v>
      </c>
      <c r="H401" s="16">
        <f t="shared" si="283"/>
        <v>13.565669578740511</v>
      </c>
      <c r="I401" s="11">
        <f t="shared" si="275"/>
        <v>0.24177116993399661</v>
      </c>
      <c r="J401" s="33">
        <f t="shared" si="276"/>
        <v>9.0550999975279618E-3</v>
      </c>
      <c r="K401" s="33">
        <f t="shared" si="284"/>
        <v>110.43500350885131</v>
      </c>
      <c r="L401" s="33">
        <f t="shared" si="285"/>
        <v>0.23271606993646865</v>
      </c>
      <c r="M401" s="33">
        <f t="shared" si="286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89">U401-V401-1</f>
        <v>11483</v>
      </c>
      <c r="X401" s="9">
        <f t="shared" si="280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1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87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88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CY401" s="34" t="s">
        <v>86</v>
      </c>
    </row>
    <row r="402" spans="1:103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2"/>
        <v>10.966291492584547</v>
      </c>
      <c r="H402" s="16">
        <f t="shared" si="283"/>
        <v>11.86516784443574</v>
      </c>
      <c r="I402" s="11">
        <f t="shared" si="275"/>
        <v>0.2306408647800387</v>
      </c>
      <c r="J402" s="33">
        <f t="shared" si="276"/>
        <v>9.0803490070881371E-3</v>
      </c>
      <c r="K402" s="33">
        <f t="shared" si="284"/>
        <v>110.12792561380606</v>
      </c>
      <c r="L402" s="33">
        <f t="shared" si="285"/>
        <v>0.22156051577295055</v>
      </c>
      <c r="M402" s="33">
        <f t="shared" si="286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89"/>
        <v>11483</v>
      </c>
      <c r="X402" s="9">
        <f t="shared" si="280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1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87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88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CY402" s="34" t="s">
        <v>86</v>
      </c>
    </row>
    <row r="403" spans="1:103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2"/>
        <v>15.181602708287018</v>
      </c>
      <c r="H403" s="16">
        <f t="shared" si="283"/>
        <v>16.057464402995883</v>
      </c>
      <c r="I403" s="11">
        <f t="shared" si="275"/>
        <v>0.31580601670891845</v>
      </c>
      <c r="J403" s="33">
        <f t="shared" si="276"/>
        <v>8.8543743002500487E-3</v>
      </c>
      <c r="K403" s="33">
        <f t="shared" si="284"/>
        <v>112.93852801905605</v>
      </c>
      <c r="L403" s="33">
        <f t="shared" si="285"/>
        <v>0.3069516424086684</v>
      </c>
      <c r="M403" s="33">
        <f t="shared" si="286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89"/>
        <v>11483</v>
      </c>
      <c r="X403" s="9">
        <f t="shared" si="280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1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87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88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CY403" s="34" t="s">
        <v>86</v>
      </c>
    </row>
    <row r="404" spans="1:103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2"/>
        <v>14.778795039689085</v>
      </c>
      <c r="H404" s="16">
        <f t="shared" si="283"/>
        <v>15.440038665625957</v>
      </c>
      <c r="I404" s="11">
        <f t="shared" si="275"/>
        <v>0.39228566159909373</v>
      </c>
      <c r="J404" s="33">
        <f t="shared" si="276"/>
        <v>8.5839313260195563E-3</v>
      </c>
      <c r="K404" s="33">
        <f t="shared" si="284"/>
        <v>116.49673815176114</v>
      </c>
      <c r="L404" s="33">
        <f t="shared" si="285"/>
        <v>0.38370173027307419</v>
      </c>
      <c r="M404" s="33">
        <f t="shared" si="286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89"/>
        <v>11483</v>
      </c>
      <c r="X404" s="9">
        <f t="shared" si="280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1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87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88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CY404" s="34" t="s">
        <v>86</v>
      </c>
    </row>
    <row r="405" spans="1:103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0">D405/E405</f>
        <v>16.600000000000001</v>
      </c>
      <c r="G405" s="7">
        <f t="shared" si="282"/>
        <v>15.600000000000001</v>
      </c>
      <c r="H405" s="16">
        <f t="shared" si="283"/>
        <v>17.600000000000001</v>
      </c>
      <c r="I405" s="11">
        <f t="shared" si="275"/>
        <v>0.34745373685855596</v>
      </c>
      <c r="J405" s="33">
        <f t="shared" si="276"/>
        <v>2.0930948003527464E-2</v>
      </c>
      <c r="K405" s="33">
        <f t="shared" si="284"/>
        <v>47.776144674931651</v>
      </c>
      <c r="L405" s="33">
        <f t="shared" si="285"/>
        <v>0.3265227888550285</v>
      </c>
      <c r="M405" s="33">
        <f t="shared" si="286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89"/>
        <v>2007</v>
      </c>
      <c r="X405" s="9">
        <f t="shared" si="280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1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87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88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CY405" s="34" t="s">
        <v>86</v>
      </c>
    </row>
    <row r="406" spans="1:103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2"/>
        <v>0.1149747094897305</v>
      </c>
      <c r="H406" s="16">
        <f t="shared" si="283"/>
        <v>0.25598142867524903</v>
      </c>
      <c r="I406" s="11">
        <f t="shared" si="275"/>
        <v>5.8724269196420077E-2</v>
      </c>
      <c r="J406" s="33">
        <f t="shared" si="276"/>
        <v>2.2322090630218158E-2</v>
      </c>
      <c r="K406" s="33">
        <f t="shared" si="284"/>
        <v>44.79867126093766</v>
      </c>
      <c r="L406" s="33">
        <f t="shared" si="285"/>
        <v>3.6402178566201919E-2</v>
      </c>
      <c r="M406" s="33">
        <f t="shared" si="286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89"/>
        <v>2000</v>
      </c>
      <c r="X406" s="9">
        <f t="shared" si="280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1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1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88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CY406" s="34" t="s">
        <v>86</v>
      </c>
    </row>
    <row r="407" spans="1:103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2"/>
        <v>15.36820266922426</v>
      </c>
      <c r="H407" s="16">
        <f t="shared" si="283"/>
        <v>20.62871214035237</v>
      </c>
      <c r="I407" s="11">
        <f t="shared" si="275"/>
        <v>0.15125061508817442</v>
      </c>
      <c r="J407" s="33">
        <f t="shared" si="276"/>
        <v>2.2103430179900234E-2</v>
      </c>
      <c r="K407" s="33">
        <f t="shared" si="284"/>
        <v>45.241846711618116</v>
      </c>
      <c r="L407" s="33">
        <f t="shared" si="285"/>
        <v>0.12914718490827418</v>
      </c>
      <c r="M407" s="33">
        <f t="shared" si="286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89"/>
        <v>2000</v>
      </c>
      <c r="X407" s="9">
        <f t="shared" si="280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1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1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88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CY407" s="34" t="s">
        <v>86</v>
      </c>
    </row>
    <row r="408" spans="1:103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2"/>
        <v>23.756480403544693</v>
      </c>
      <c r="H408" s="16">
        <f t="shared" si="283"/>
        <v>27.873126827263626</v>
      </c>
      <c r="I408" s="11">
        <f t="shared" si="275"/>
        <v>0.27002293046576498</v>
      </c>
      <c r="J408" s="33">
        <f t="shared" si="276"/>
        <v>2.1530067545443055E-2</v>
      </c>
      <c r="K408" s="33">
        <f t="shared" si="284"/>
        <v>46.446672677144242</v>
      </c>
      <c r="L408" s="33">
        <f t="shared" si="285"/>
        <v>0.24849286292032191</v>
      </c>
      <c r="M408" s="33">
        <f t="shared" si="286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89"/>
        <v>2000</v>
      </c>
      <c r="X408" s="9">
        <f t="shared" si="280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1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1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88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CY408" s="34" t="s">
        <v>86</v>
      </c>
    </row>
    <row r="409" spans="1:103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2"/>
        <v>15.483341386656807</v>
      </c>
      <c r="H409" s="16">
        <f t="shared" si="283"/>
        <v>17.640045932679808</v>
      </c>
      <c r="I409" s="11">
        <f t="shared" si="275"/>
        <v>0.32480297517394524</v>
      </c>
      <c r="J409" s="33">
        <f t="shared" si="276"/>
        <v>2.1148321769329046E-2</v>
      </c>
      <c r="K409" s="33">
        <f t="shared" si="284"/>
        <v>47.285075899037928</v>
      </c>
      <c r="L409" s="33">
        <f t="shared" si="285"/>
        <v>0.30365465340461617</v>
      </c>
      <c r="M409" s="33">
        <f t="shared" si="286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89"/>
        <v>2000</v>
      </c>
      <c r="X409" s="9">
        <f t="shared" si="280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1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1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88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CY409" s="34" t="s">
        <v>86</v>
      </c>
    </row>
    <row r="410" spans="1:103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2"/>
        <v>21.220322609547189</v>
      </c>
      <c r="H410" s="16">
        <f t="shared" si="283"/>
        <v>23.357900894391683</v>
      </c>
      <c r="I410" s="11">
        <f t="shared" si="275"/>
        <v>0.42262879884855603</v>
      </c>
      <c r="J410" s="33">
        <f t="shared" si="276"/>
        <v>2.0265548331883678E-2</v>
      </c>
      <c r="K410" s="33">
        <f t="shared" si="284"/>
        <v>49.34482815975452</v>
      </c>
      <c r="L410" s="33">
        <f t="shared" si="285"/>
        <v>0.40236325051667238</v>
      </c>
      <c r="M410" s="33">
        <f t="shared" si="286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89"/>
        <v>2000</v>
      </c>
      <c r="X410" s="9">
        <f t="shared" si="280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1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1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88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CY410" s="34" t="s">
        <v>86</v>
      </c>
    </row>
    <row r="411" spans="1:103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2"/>
        <v>28.112928504150549</v>
      </c>
      <c r="H411" s="16">
        <f t="shared" si="283"/>
        <v>30.322590623090573</v>
      </c>
      <c r="I411" s="11">
        <f t="shared" si="275"/>
        <v>0.50900314512121547</v>
      </c>
      <c r="J411" s="33">
        <f t="shared" si="276"/>
        <v>1.9247282902486663E-2</v>
      </c>
      <c r="K411" s="33">
        <f t="shared" si="284"/>
        <v>51.955385342769837</v>
      </c>
      <c r="L411" s="33">
        <f t="shared" si="285"/>
        <v>0.4897558622187288</v>
      </c>
      <c r="M411" s="33">
        <f t="shared" si="286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89"/>
        <v>2000</v>
      </c>
      <c r="X411" s="9">
        <f t="shared" si="280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1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2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88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CY411" s="34" t="s">
        <v>86</v>
      </c>
    </row>
    <row r="412" spans="1:103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2"/>
        <v>5.9</v>
      </c>
      <c r="H412" s="16">
        <f t="shared" si="283"/>
        <v>6.9</v>
      </c>
      <c r="I412" s="11">
        <f t="shared" si="275"/>
        <v>0.1185752579115172</v>
      </c>
      <c r="J412" s="33">
        <f t="shared" si="276"/>
        <v>9.2636920243372809E-3</v>
      </c>
      <c r="K412" s="33">
        <f t="shared" ref="K412" si="293">IFERROR(1/J412, "X")</f>
        <v>107.94832096887843</v>
      </c>
      <c r="L412" s="33">
        <f t="shared" ref="L412" si="294">IFERROR(I412-J412, "X")</f>
        <v>0.10931156588717991</v>
      </c>
      <c r="M412" s="33">
        <f t="shared" ref="M412" si="295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89"/>
        <v>11489</v>
      </c>
      <c r="X412" s="9">
        <f t="shared" si="280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1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88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CY412" s="34" t="s">
        <v>86</v>
      </c>
    </row>
    <row r="413" spans="1:103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6">D413-E413</f>
        <v>2.4777242616841568</v>
      </c>
      <c r="H413" s="16">
        <f t="shared" ref="H413:H444" si="297">D413+E413</f>
        <v>3.2460108544544384</v>
      </c>
      <c r="I413" s="11">
        <f t="shared" si="275"/>
        <v>6.9358608038768421E-2</v>
      </c>
      <c r="J413" s="33">
        <f t="shared" si="276"/>
        <v>9.3098802736601913E-3</v>
      </c>
      <c r="K413" s="33">
        <f t="shared" ref="K413:K425" si="298">IFERROR(1/J413, "X")</f>
        <v>107.41276693205515</v>
      </c>
      <c r="L413" s="33">
        <f t="shared" ref="L413:L425" si="299">IFERROR(I413-J413, "X")</f>
        <v>6.004872776510823E-2</v>
      </c>
      <c r="M413" s="33">
        <f t="shared" ref="M413:M425" si="300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89"/>
        <v>11482</v>
      </c>
      <c r="X413" s="9">
        <f t="shared" si="280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1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1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88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CY413" s="34" t="s">
        <v>86</v>
      </c>
    </row>
    <row r="414" spans="1:103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6"/>
        <v>4.1184475558850488</v>
      </c>
      <c r="H414" s="16">
        <f t="shared" si="297"/>
        <v>4.7448274122934206</v>
      </c>
      <c r="I414" s="11">
        <f t="shared" si="275"/>
        <v>0.13091629410405495</v>
      </c>
      <c r="J414" s="33">
        <f t="shared" si="276"/>
        <v>9.2520349190144836E-3</v>
      </c>
      <c r="K414" s="33">
        <f t="shared" si="298"/>
        <v>108.08433050169668</v>
      </c>
      <c r="L414" s="33">
        <f t="shared" si="299"/>
        <v>0.12166425918504047</v>
      </c>
      <c r="M414" s="33">
        <f t="shared" si="300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89"/>
        <v>11482</v>
      </c>
      <c r="X414" s="9">
        <f t="shared" si="280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1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1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88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CY414" s="34" t="s">
        <v>86</v>
      </c>
    </row>
    <row r="415" spans="1:103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6"/>
        <v>11.994249986610363</v>
      </c>
      <c r="H415" s="16">
        <f t="shared" si="297"/>
        <v>12.929474157106299</v>
      </c>
      <c r="I415" s="11">
        <f t="shared" si="275"/>
        <v>0.24135470728117522</v>
      </c>
      <c r="J415" s="33">
        <f t="shared" si="276"/>
        <v>9.0564618116763685E-3</v>
      </c>
      <c r="K415" s="33">
        <f t="shared" si="298"/>
        <v>110.41839747071137</v>
      </c>
      <c r="L415" s="33">
        <f t="shared" si="299"/>
        <v>0.23229824546949884</v>
      </c>
      <c r="M415" s="33">
        <f t="shared" si="300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89"/>
        <v>11482</v>
      </c>
      <c r="X415" s="9">
        <f t="shared" si="280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1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1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88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CY415" s="34" t="s">
        <v>86</v>
      </c>
    </row>
    <row r="416" spans="1:103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6"/>
        <v>9.6122936838546806</v>
      </c>
      <c r="H416" s="16">
        <f t="shared" si="297"/>
        <v>10.433857246577304</v>
      </c>
      <c r="I416" s="11">
        <f t="shared" si="275"/>
        <v>0.22202599264435699</v>
      </c>
      <c r="J416" s="33">
        <f t="shared" si="276"/>
        <v>9.099425928047418E-3</v>
      </c>
      <c r="K416" s="33">
        <f t="shared" si="298"/>
        <v>109.89704272636274</v>
      </c>
      <c r="L416" s="33">
        <f t="shared" si="299"/>
        <v>0.21292656671630958</v>
      </c>
      <c r="M416" s="33">
        <f t="shared" si="300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89"/>
        <v>11482</v>
      </c>
      <c r="X416" s="9">
        <f t="shared" si="280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1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1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88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CY416" s="34" t="s">
        <v>86</v>
      </c>
    </row>
    <row r="417" spans="1:103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6"/>
        <v>12.856413648150761</v>
      </c>
      <c r="H417" s="16">
        <f t="shared" si="297"/>
        <v>13.659103366037387</v>
      </c>
      <c r="I417" s="11">
        <f t="shared" si="275"/>
        <v>0.29459777921080099</v>
      </c>
      <c r="J417" s="33">
        <f t="shared" si="276"/>
        <v>8.9181971506801534E-3</v>
      </c>
      <c r="K417" s="33">
        <f t="shared" si="298"/>
        <v>112.13028632403963</v>
      </c>
      <c r="L417" s="33">
        <f t="shared" si="299"/>
        <v>0.28567958206012084</v>
      </c>
      <c r="M417" s="33">
        <f t="shared" si="300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89"/>
        <v>11482</v>
      </c>
      <c r="X417" s="9">
        <f t="shared" si="280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1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1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88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CY417" s="34" t="s">
        <v>86</v>
      </c>
    </row>
    <row r="418" spans="1:103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6"/>
        <v>12.603795432949518</v>
      </c>
      <c r="H418" s="16">
        <f t="shared" si="297"/>
        <v>13.225693233917422</v>
      </c>
      <c r="I418" s="11">
        <f t="shared" si="275"/>
        <v>0.36140520779130031</v>
      </c>
      <c r="J418" s="33">
        <f t="shared" si="276"/>
        <v>8.7015700110264927E-3</v>
      </c>
      <c r="K418" s="33">
        <f t="shared" si="298"/>
        <v>114.92178983020486</v>
      </c>
      <c r="L418" s="33">
        <f t="shared" si="299"/>
        <v>0.3527036377802738</v>
      </c>
      <c r="M418" s="33">
        <f t="shared" si="300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89"/>
        <v>11482</v>
      </c>
      <c r="X418" s="9">
        <f t="shared" si="280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1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1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88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CY418" s="34" t="s">
        <v>86</v>
      </c>
    </row>
    <row r="419" spans="1:103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296"/>
        <v>13.2</v>
      </c>
      <c r="H419" s="16">
        <f t="shared" si="297"/>
        <v>15.2</v>
      </c>
      <c r="I419" s="11">
        <f t="shared" si="275"/>
        <v>0.30222070698132025</v>
      </c>
      <c r="J419" s="33">
        <f t="shared" si="276"/>
        <v>2.1283148378966214E-2</v>
      </c>
      <c r="K419" s="33">
        <f t="shared" si="298"/>
        <v>46.985529687340971</v>
      </c>
      <c r="L419" s="33">
        <f t="shared" si="299"/>
        <v>0.28093755860235403</v>
      </c>
      <c r="M419" s="33">
        <f t="shared" si="300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89"/>
        <v>2006</v>
      </c>
      <c r="X419" s="9">
        <f t="shared" si="280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1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1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88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CY419" s="34" t="s">
        <v>86</v>
      </c>
    </row>
    <row r="420" spans="1:103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6"/>
        <v>0.13560955812310843</v>
      </c>
      <c r="H420" s="16">
        <f t="shared" si="297"/>
        <v>0.28155706462331481</v>
      </c>
      <c r="I420" s="11">
        <f t="shared" si="275"/>
        <v>6.3800016035671786E-2</v>
      </c>
      <c r="J420" s="33">
        <f t="shared" si="276"/>
        <v>2.2320705318602366E-2</v>
      </c>
      <c r="K420" s="33">
        <f t="shared" si="298"/>
        <v>44.801451644388088</v>
      </c>
      <c r="L420" s="33">
        <f t="shared" si="299"/>
        <v>4.1479310717069423E-2</v>
      </c>
      <c r="M420" s="33">
        <f t="shared" si="300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89"/>
        <v>1999</v>
      </c>
      <c r="X420" s="9">
        <f t="shared" si="280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1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2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88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CY420" s="34" t="s">
        <v>86</v>
      </c>
    </row>
    <row r="421" spans="1:103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6"/>
        <v>15.346698987230448</v>
      </c>
      <c r="H421" s="16">
        <f t="shared" si="297"/>
        <v>20.599847784815445</v>
      </c>
      <c r="I421" s="11">
        <f t="shared" si="275"/>
        <v>0.15128757625528103</v>
      </c>
      <c r="J421" s="33">
        <f t="shared" si="276"/>
        <v>2.2108831603068209E-2</v>
      </c>
      <c r="K421" s="33">
        <f t="shared" si="298"/>
        <v>45.230793646337354</v>
      </c>
      <c r="L421" s="33">
        <f t="shared" si="299"/>
        <v>0.12917874465221282</v>
      </c>
      <c r="M421" s="33">
        <f t="shared" si="300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89"/>
        <v>1999</v>
      </c>
      <c r="X421" s="9">
        <f t="shared" si="280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1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2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88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CY421" s="34" t="s">
        <v>86</v>
      </c>
    </row>
    <row r="422" spans="1:103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296"/>
        <v>24.058429372087154</v>
      </c>
      <c r="H422" s="16">
        <f t="shared" si="297"/>
        <v>27.485556063267659</v>
      </c>
      <c r="I422" s="11">
        <f t="shared" si="275"/>
        <v>0.31883291842716138</v>
      </c>
      <c r="J422" s="33">
        <f t="shared" si="276"/>
        <v>2.1198997235848498E-2</v>
      </c>
      <c r="K422" s="33">
        <f t="shared" si="298"/>
        <v>47.172042567605658</v>
      </c>
      <c r="L422" s="33">
        <f t="shared" si="299"/>
        <v>0.29763392119131288</v>
      </c>
      <c r="M422" s="33">
        <f t="shared" si="300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89"/>
        <v>1999</v>
      </c>
      <c r="X422" s="9">
        <f t="shared" si="280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1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2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88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CY422" s="34" t="s">
        <v>86</v>
      </c>
    </row>
    <row r="423" spans="1:103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6"/>
        <v>15.213021537545481</v>
      </c>
      <c r="H423" s="16">
        <f t="shared" si="297"/>
        <v>17.910365781791135</v>
      </c>
      <c r="I423" s="11">
        <f t="shared" si="275"/>
        <v>0.26484970841855721</v>
      </c>
      <c r="J423" s="33">
        <f t="shared" si="276"/>
        <v>2.1567565832130067E-2</v>
      </c>
      <c r="K423" s="33">
        <f t="shared" si="298"/>
        <v>46.365918517807884</v>
      </c>
      <c r="L423" s="33">
        <f t="shared" si="299"/>
        <v>0.24328214258642714</v>
      </c>
      <c r="M423" s="33">
        <f t="shared" si="300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89"/>
        <v>1999</v>
      </c>
      <c r="X423" s="9">
        <f t="shared" si="280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1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2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88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CY423" s="34" t="s">
        <v>86</v>
      </c>
    </row>
    <row r="424" spans="1:103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6"/>
        <v>20.539421339690982</v>
      </c>
      <c r="H424" s="16">
        <f t="shared" si="297"/>
        <v>24.03880216424789</v>
      </c>
      <c r="I424" s="11">
        <f t="shared" si="275"/>
        <v>0.27401611438895046</v>
      </c>
      <c r="J424" s="33">
        <f t="shared" si="276"/>
        <v>2.1510205228962527E-2</v>
      </c>
      <c r="K424" s="33">
        <f t="shared" si="298"/>
        <v>46.489561087662004</v>
      </c>
      <c r="L424" s="33">
        <f t="shared" si="299"/>
        <v>0.25250590915998794</v>
      </c>
      <c r="M424" s="33">
        <f t="shared" si="300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89"/>
        <v>1999</v>
      </c>
      <c r="X424" s="9">
        <f t="shared" si="280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1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2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88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CY424" s="34" t="s">
        <v>86</v>
      </c>
    </row>
    <row r="425" spans="1:103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6"/>
        <v>26.404495231497535</v>
      </c>
      <c r="H425" s="16">
        <f t="shared" si="297"/>
        <v>32.031023895743587</v>
      </c>
      <c r="I425" s="11">
        <f t="shared" si="275"/>
        <v>0.22626543579702996</v>
      </c>
      <c r="J425" s="33">
        <f t="shared" si="276"/>
        <v>2.1786218027224344E-2</v>
      </c>
      <c r="K425" s="33">
        <f t="shared" si="298"/>
        <v>45.900578005342041</v>
      </c>
      <c r="L425" s="33">
        <f t="shared" si="299"/>
        <v>0.2044792177698056</v>
      </c>
      <c r="M425" s="33">
        <f t="shared" si="300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89"/>
        <v>1999</v>
      </c>
      <c r="X425" s="9">
        <f t="shared" si="280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1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03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88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CY425" s="34" t="s">
        <v>86</v>
      </c>
    </row>
    <row r="426" spans="1:103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04">D426/E426</f>
        <v>9.9</v>
      </c>
      <c r="G426" s="7">
        <f t="shared" si="296"/>
        <v>8.9</v>
      </c>
      <c r="H426" s="16">
        <f t="shared" si="297"/>
        <v>10.9</v>
      </c>
      <c r="I426" s="11">
        <f t="shared" si="275"/>
        <v>0.15200201690536094</v>
      </c>
      <c r="J426" s="33">
        <f t="shared" si="276"/>
        <v>1.535373908134959E-2</v>
      </c>
      <c r="K426" s="33">
        <f t="shared" ref="K426:K434" si="305">IFERROR(1/J426, "X")</f>
        <v>65.13071472047578</v>
      </c>
      <c r="L426" s="33">
        <f t="shared" ref="L426:L434" si="306">IFERROR(I426-J426, "X")</f>
        <v>0.13664827782401134</v>
      </c>
      <c r="M426" s="33">
        <f t="shared" ref="M426:M434" si="307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89"/>
        <v>4144</v>
      </c>
      <c r="X426" s="9">
        <f t="shared" si="280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1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88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CY426" s="34" t="s">
        <v>86</v>
      </c>
    </row>
    <row r="427" spans="1:103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04"/>
        <v>21.2</v>
      </c>
      <c r="G427" s="7">
        <f t="shared" si="296"/>
        <v>10.1</v>
      </c>
      <c r="H427" s="16">
        <f t="shared" si="297"/>
        <v>11.1</v>
      </c>
      <c r="I427" s="11">
        <f t="shared" si="275"/>
        <v>0.27304447275129468</v>
      </c>
      <c r="J427" s="33">
        <f t="shared" si="276"/>
        <v>1.2879456261853524E-2</v>
      </c>
      <c r="K427" s="33">
        <f t="shared" si="305"/>
        <v>77.643029307208252</v>
      </c>
      <c r="L427" s="33">
        <f t="shared" si="306"/>
        <v>0.26016501648944113</v>
      </c>
      <c r="M427" s="33">
        <f t="shared" si="307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89"/>
        <v>5579</v>
      </c>
      <c r="X427" s="9">
        <f t="shared" si="280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1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08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88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CY427" s="34" t="s">
        <v>86</v>
      </c>
    </row>
    <row r="428" spans="1:103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04"/>
        <v>5.6333333333333329</v>
      </c>
      <c r="G428" s="7">
        <f t="shared" si="296"/>
        <v>13.899999999999999</v>
      </c>
      <c r="H428" s="16">
        <f t="shared" si="297"/>
        <v>19.899999999999999</v>
      </c>
      <c r="I428" s="11">
        <f t="shared" si="275"/>
        <v>0.24805751063781942</v>
      </c>
      <c r="J428" s="33">
        <f t="shared" si="276"/>
        <v>4.4033877628015285E-2</v>
      </c>
      <c r="K428" s="33">
        <f t="shared" si="305"/>
        <v>22.709787415219115</v>
      </c>
      <c r="L428" s="33">
        <f t="shared" si="306"/>
        <v>0.20402363300980414</v>
      </c>
      <c r="M428" s="33">
        <f t="shared" si="307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89"/>
        <v>484</v>
      </c>
      <c r="X428" s="9">
        <f t="shared" si="280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1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09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88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CY428" s="34" t="s">
        <v>86</v>
      </c>
    </row>
    <row r="429" spans="1:103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04"/>
        <v>17.600000000000001</v>
      </c>
      <c r="G429" s="55">
        <f t="shared" si="296"/>
        <v>16.600000000000001</v>
      </c>
      <c r="H429" s="56">
        <f t="shared" si="297"/>
        <v>18.600000000000001</v>
      </c>
      <c r="I429" s="57">
        <f t="shared" si="275"/>
        <v>0.5074849643669247</v>
      </c>
      <c r="J429" s="58">
        <f t="shared" si="276"/>
        <v>2.8834372975393447E-2</v>
      </c>
      <c r="K429" s="58">
        <f t="shared" si="305"/>
        <v>34.680830439884218</v>
      </c>
      <c r="L429" s="58">
        <f t="shared" si="306"/>
        <v>0.47865059139153127</v>
      </c>
      <c r="M429" s="58">
        <f t="shared" si="307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89"/>
        <v>893</v>
      </c>
      <c r="X429" s="60">
        <f t="shared" si="280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1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0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88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X429" s="52"/>
      <c r="CY429" s="68" t="s">
        <v>86</v>
      </c>
    </row>
    <row r="430" spans="1:103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04"/>
        <v>89.78102189781022</v>
      </c>
      <c r="G430" s="7">
        <f t="shared" si="296"/>
        <v>8.5140999999999991</v>
      </c>
      <c r="H430" s="16">
        <f t="shared" si="297"/>
        <v>8.7058999999999997</v>
      </c>
      <c r="I430" s="11">
        <f t="shared" si="275"/>
        <v>0.35823210569483238</v>
      </c>
      <c r="J430" s="33">
        <f t="shared" si="276"/>
        <v>3.9900649170887832E-3</v>
      </c>
      <c r="K430" s="33">
        <f t="shared" si="305"/>
        <v>250.62248880141439</v>
      </c>
      <c r="L430" s="33">
        <f t="shared" si="306"/>
        <v>0.35424204077774357</v>
      </c>
      <c r="M430" s="33">
        <f t="shared" si="307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89"/>
        <v>54751</v>
      </c>
      <c r="X430" s="9">
        <f t="shared" si="280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1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CY430" s="34" t="s">
        <v>86</v>
      </c>
    </row>
    <row r="431" spans="1:103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04"/>
        <v>2.6333333333333333</v>
      </c>
      <c r="G431" s="7">
        <f t="shared" si="296"/>
        <v>4.41</v>
      </c>
      <c r="H431" s="16">
        <f t="shared" si="297"/>
        <v>9.81</v>
      </c>
      <c r="I431" s="11">
        <f t="shared" si="275"/>
        <v>1.1253362473406978E-2</v>
      </c>
      <c r="J431" s="33">
        <f t="shared" si="276"/>
        <v>4.2734287873697381E-3</v>
      </c>
      <c r="K431" s="33">
        <f t="shared" si="305"/>
        <v>234.00413339179383</v>
      </c>
      <c r="L431" s="33">
        <f t="shared" si="306"/>
        <v>6.9799336860372398E-3</v>
      </c>
      <c r="M431" s="33">
        <f t="shared" si="307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89"/>
        <v>54751</v>
      </c>
      <c r="X431" s="9">
        <f t="shared" si="280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1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CY431" s="34" t="s">
        <v>86</v>
      </c>
    </row>
    <row r="432" spans="1:103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04"/>
        <v>2.369444444444444</v>
      </c>
      <c r="G432" s="7">
        <f t="shared" si="296"/>
        <v>4.93</v>
      </c>
      <c r="H432" s="16">
        <f t="shared" si="297"/>
        <v>12.129999999999999</v>
      </c>
      <c r="I432" s="11">
        <f t="shared" si="275"/>
        <v>1.0125774162546355E-2</v>
      </c>
      <c r="J432" s="33">
        <f t="shared" si="276"/>
        <v>4.2734803030676297E-3</v>
      </c>
      <c r="K432" s="33">
        <f t="shared" si="305"/>
        <v>234.00131253259099</v>
      </c>
      <c r="L432" s="33">
        <f t="shared" si="306"/>
        <v>5.8522938594787258E-3</v>
      </c>
      <c r="M432" s="33">
        <f t="shared" si="307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89"/>
        <v>54751</v>
      </c>
      <c r="X432" s="9">
        <f t="shared" si="280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1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CY432" s="34" t="s">
        <v>86</v>
      </c>
    </row>
    <row r="433" spans="1:103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04"/>
        <v>15.17241379310345</v>
      </c>
      <c r="G433" s="55">
        <f t="shared" si="296"/>
        <v>4.1100000000000003</v>
      </c>
      <c r="H433" s="56">
        <f t="shared" si="297"/>
        <v>4.6900000000000004</v>
      </c>
      <c r="I433" s="57">
        <f t="shared" si="275"/>
        <v>0.10967410775251542</v>
      </c>
      <c r="J433" s="58">
        <f t="shared" si="276"/>
        <v>7.2285207382339692E-3</v>
      </c>
      <c r="K433" s="58">
        <f t="shared" si="305"/>
        <v>138.34089106373847</v>
      </c>
      <c r="L433" s="58">
        <f t="shared" si="306"/>
        <v>0.10244558701428144</v>
      </c>
      <c r="M433" s="58">
        <f t="shared" si="307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89"/>
        <v>18908</v>
      </c>
      <c r="X433" s="60">
        <f t="shared" si="280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1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X433" s="52"/>
      <c r="CY433" s="68" t="s">
        <v>86</v>
      </c>
    </row>
    <row r="434" spans="1:103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04"/>
        <v>46.370967741935488</v>
      </c>
      <c r="G434" s="7">
        <f t="shared" si="296"/>
        <v>11.252000000000001</v>
      </c>
      <c r="H434" s="16">
        <f t="shared" si="297"/>
        <v>11.747999999999999</v>
      </c>
      <c r="I434" s="11">
        <f t="shared" si="275"/>
        <v>0.10318445318525869</v>
      </c>
      <c r="J434" s="33">
        <f t="shared" si="276"/>
        <v>2.2251951643429699E-3</v>
      </c>
      <c r="K434" s="33">
        <f t="shared" si="305"/>
        <v>449.39878354232741</v>
      </c>
      <c r="L434" s="33">
        <f t="shared" si="306"/>
        <v>0.10095925802091572</v>
      </c>
      <c r="M434" s="33">
        <f t="shared" si="307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89"/>
        <v>199809</v>
      </c>
      <c r="X434" s="9">
        <f t="shared" si="280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1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CY434" s="34" t="s">
        <v>86</v>
      </c>
    </row>
    <row r="435" spans="1:103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04"/>
        <v>34.772182254196643</v>
      </c>
      <c r="G435" s="7">
        <f t="shared" si="296"/>
        <v>14.083</v>
      </c>
      <c r="H435" s="16">
        <f t="shared" si="297"/>
        <v>14.917</v>
      </c>
      <c r="I435" s="11">
        <f t="shared" si="275"/>
        <v>7.755581398730077E-2</v>
      </c>
      <c r="J435" s="33">
        <f t="shared" si="276"/>
        <v>2.2303982367382355E-3</v>
      </c>
      <c r="K435" s="33">
        <f t="shared" ref="K435:K436" si="311">IFERROR(1/J435, "X")</f>
        <v>448.35042618326918</v>
      </c>
      <c r="L435" s="33">
        <f t="shared" ref="L435:L436" si="312">IFERROR(I435-J435, "X")</f>
        <v>7.5325415750562535E-2</v>
      </c>
      <c r="M435" s="33">
        <f t="shared" ref="M435:M436" si="313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89"/>
        <v>199809</v>
      </c>
      <c r="X435" s="9">
        <f t="shared" si="280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1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CY435" s="34" t="s">
        <v>86</v>
      </c>
    </row>
    <row r="436" spans="1:103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04"/>
        <v>27.239488117001827</v>
      </c>
      <c r="G436" s="7">
        <f t="shared" si="296"/>
        <v>14.353</v>
      </c>
      <c r="H436" s="16">
        <f t="shared" si="297"/>
        <v>15.447000000000001</v>
      </c>
      <c r="I436" s="11">
        <f t="shared" si="275"/>
        <v>6.0825619003027735E-2</v>
      </c>
      <c r="J436" s="33">
        <f t="shared" si="276"/>
        <v>2.2329942009836358E-3</v>
      </c>
      <c r="K436" s="33">
        <f t="shared" si="311"/>
        <v>447.82919703038152</v>
      </c>
      <c r="L436" s="33">
        <f t="shared" si="312"/>
        <v>5.8592624802044101E-2</v>
      </c>
      <c r="M436" s="33">
        <f t="shared" si="313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89"/>
        <v>199809</v>
      </c>
      <c r="X436" s="9">
        <f t="shared" si="280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1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CY436" s="34" t="s">
        <v>86</v>
      </c>
    </row>
    <row r="437" spans="1:103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04"/>
        <v>314.70588235294116</v>
      </c>
      <c r="G437" s="7">
        <f t="shared" si="296"/>
        <v>10.665999999999999</v>
      </c>
      <c r="H437" s="16">
        <f t="shared" si="297"/>
        <v>10.734</v>
      </c>
      <c r="I437" s="11">
        <f t="shared" si="275"/>
        <v>0.6844104528830901</v>
      </c>
      <c r="J437" s="33">
        <f t="shared" si="276"/>
        <v>2.1747621867313142E-3</v>
      </c>
      <c r="K437" s="33">
        <f t="shared" ref="K437:K440" si="314">IFERROR(1/J437, "X")</f>
        <v>459.82039144381503</v>
      </c>
      <c r="L437" s="33">
        <f t="shared" ref="L437:L440" si="315">IFERROR(I437-J437, "X")</f>
        <v>0.68223569069635881</v>
      </c>
      <c r="M437" s="33">
        <f t="shared" ref="M437:M440" si="316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17">U437-V437-1</f>
        <v>112395</v>
      </c>
      <c r="X437" s="9">
        <f t="shared" si="280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1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CY437" s="34" t="s">
        <v>86</v>
      </c>
    </row>
    <row r="438" spans="1:103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04"/>
        <v>18.518518518518519</v>
      </c>
      <c r="G438" s="7">
        <f t="shared" si="296"/>
        <v>11.352</v>
      </c>
      <c r="H438" s="16">
        <f t="shared" si="297"/>
        <v>12.648</v>
      </c>
      <c r="I438" s="11">
        <f t="shared" si="275"/>
        <v>5.5153261715128153E-2</v>
      </c>
      <c r="J438" s="33">
        <f t="shared" si="276"/>
        <v>2.9782761326169198E-3</v>
      </c>
      <c r="K438" s="33">
        <f t="shared" si="314"/>
        <v>335.76470262390706</v>
      </c>
      <c r="L438" s="33">
        <f t="shared" si="315"/>
        <v>5.2174985582511234E-2</v>
      </c>
      <c r="M438" s="33">
        <f t="shared" si="316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17"/>
        <v>112395</v>
      </c>
      <c r="X438" s="9">
        <f t="shared" si="280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1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CY438" s="34" t="s">
        <v>86</v>
      </c>
    </row>
    <row r="439" spans="1:103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04"/>
        <v>359.33147632311977</v>
      </c>
      <c r="G439" s="7">
        <f t="shared" si="296"/>
        <v>12.864100000000001</v>
      </c>
      <c r="H439" s="16">
        <f t="shared" si="297"/>
        <v>12.9359</v>
      </c>
      <c r="I439" s="11">
        <f t="shared" si="275"/>
        <v>0.77224867968019839</v>
      </c>
      <c r="J439" s="33">
        <f t="shared" si="276"/>
        <v>2.1491261705828776E-3</v>
      </c>
      <c r="K439" s="33">
        <f t="shared" si="314"/>
        <v>465.3053942053034</v>
      </c>
      <c r="L439" s="33">
        <f t="shared" si="315"/>
        <v>0.77009955350961556</v>
      </c>
      <c r="M439" s="33">
        <f t="shared" si="316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17"/>
        <v>87390</v>
      </c>
      <c r="X439" s="9">
        <f t="shared" si="280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1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CY439" s="34" t="s">
        <v>86</v>
      </c>
    </row>
    <row r="440" spans="1:103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04"/>
        <v>27.377049180327869</v>
      </c>
      <c r="G440" s="7">
        <f t="shared" si="296"/>
        <v>16.09</v>
      </c>
      <c r="H440" s="16">
        <f t="shared" si="297"/>
        <v>17.309999999999999</v>
      </c>
      <c r="I440" s="11">
        <f t="shared" si="275"/>
        <v>9.2214950598948575E-2</v>
      </c>
      <c r="J440" s="33">
        <f t="shared" si="276"/>
        <v>3.3683305308597985E-3</v>
      </c>
      <c r="K440" s="33">
        <f t="shared" si="314"/>
        <v>296.88297832954669</v>
      </c>
      <c r="L440" s="33">
        <f t="shared" si="315"/>
        <v>8.8846620068088772E-2</v>
      </c>
      <c r="M440" s="33">
        <f t="shared" si="316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17"/>
        <v>87390</v>
      </c>
      <c r="X440" s="9">
        <f t="shared" si="280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1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CY440" s="34" t="s">
        <v>86</v>
      </c>
    </row>
    <row r="441" spans="1:103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04"/>
        <v>375.8169934640523</v>
      </c>
      <c r="G441" s="7">
        <f t="shared" si="296"/>
        <v>11.4694</v>
      </c>
      <c r="H441" s="16">
        <f t="shared" si="297"/>
        <v>11.5306</v>
      </c>
      <c r="I441" s="11">
        <f t="shared" si="275"/>
        <v>0.71475691727352053</v>
      </c>
      <c r="J441" s="33">
        <f t="shared" si="276"/>
        <v>1.9018749277017154E-3</v>
      </c>
      <c r="K441" s="33">
        <f t="shared" ref="K441:K444" si="318">IFERROR(1/J441, "X")</f>
        <v>525.79693093090566</v>
      </c>
      <c r="L441" s="33">
        <f t="shared" ref="L441:L444" si="319">IFERROR(I441-J441, "X")</f>
        <v>0.71285504234581887</v>
      </c>
      <c r="M441" s="33">
        <f t="shared" ref="M441:M444" si="320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17"/>
        <v>135224</v>
      </c>
      <c r="X441" s="9">
        <f t="shared" si="280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1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CY441" s="34" t="s">
        <v>86</v>
      </c>
    </row>
    <row r="442" spans="1:103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04"/>
        <v>24.292845257903494</v>
      </c>
      <c r="G442" s="7">
        <f t="shared" si="296"/>
        <v>13.998999999999999</v>
      </c>
      <c r="H442" s="16">
        <f t="shared" si="297"/>
        <v>15.201000000000001</v>
      </c>
      <c r="I442" s="11">
        <f t="shared" si="275"/>
        <v>6.5918282922566435E-2</v>
      </c>
      <c r="J442" s="33">
        <f t="shared" si="276"/>
        <v>2.7134854819494815E-3</v>
      </c>
      <c r="K442" s="33">
        <f t="shared" si="318"/>
        <v>368.52970345784132</v>
      </c>
      <c r="L442" s="33">
        <f t="shared" si="319"/>
        <v>6.3204797440616953E-2</v>
      </c>
      <c r="M442" s="33">
        <f t="shared" si="320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17"/>
        <v>135224</v>
      </c>
      <c r="X442" s="9">
        <f t="shared" si="280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1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CY442" s="34" t="s">
        <v>86</v>
      </c>
    </row>
    <row r="443" spans="1:103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04"/>
        <v>265.11627906976747</v>
      </c>
      <c r="G443" s="7">
        <f t="shared" si="296"/>
        <v>11.357000000000001</v>
      </c>
      <c r="H443" s="16">
        <f t="shared" si="297"/>
        <v>11.443</v>
      </c>
      <c r="I443" s="11">
        <f t="shared" si="275"/>
        <v>0.7219626300596641</v>
      </c>
      <c r="J443" s="33">
        <f t="shared" si="276"/>
        <v>2.7231923765408382E-3</v>
      </c>
      <c r="K443" s="33">
        <f t="shared" si="318"/>
        <v>367.21606913069428</v>
      </c>
      <c r="L443" s="33">
        <f t="shared" si="319"/>
        <v>0.71923943768312326</v>
      </c>
      <c r="M443" s="33">
        <f t="shared" si="320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17"/>
        <v>64561</v>
      </c>
      <c r="X443" s="9">
        <f t="shared" si="280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1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CY443" s="34" t="s">
        <v>86</v>
      </c>
    </row>
    <row r="444" spans="1:103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04"/>
        <v>24.394463667820069</v>
      </c>
      <c r="G444" s="55">
        <f t="shared" si="296"/>
        <v>13.522</v>
      </c>
      <c r="H444" s="56">
        <f t="shared" si="297"/>
        <v>14.677999999999999</v>
      </c>
      <c r="I444" s="57">
        <f t="shared" si="275"/>
        <v>9.5568279478523185E-2</v>
      </c>
      <c r="J444" s="58">
        <f t="shared" si="276"/>
        <v>3.9176216694032911E-3</v>
      </c>
      <c r="K444" s="58">
        <f t="shared" si="318"/>
        <v>255.25690951988074</v>
      </c>
      <c r="L444" s="58">
        <f t="shared" si="319"/>
        <v>9.1650657809119893E-2</v>
      </c>
      <c r="M444" s="58">
        <f t="shared" si="320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17"/>
        <v>64561</v>
      </c>
      <c r="X444" s="60">
        <f t="shared" si="280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1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X444" s="52"/>
      <c r="CY444" s="68" t="s">
        <v>86</v>
      </c>
    </row>
    <row r="445" spans="1:103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1">D445/F445</f>
        <v>0.13855421686746985</v>
      </c>
      <c r="F445" s="7">
        <v>33.200000000000003</v>
      </c>
      <c r="G445" s="7">
        <f t="shared" ref="G445:G448" si="322">D445-E445</f>
        <v>4.4614457831325298</v>
      </c>
      <c r="H445" s="16">
        <f t="shared" ref="H445:H448" si="323">D445+E445</f>
        <v>4.7385542168674695</v>
      </c>
      <c r="I445" s="11">
        <f t="shared" si="275"/>
        <v>0.3293553550615026</v>
      </c>
      <c r="J445" s="33">
        <f t="shared" si="276"/>
        <v>9.9203420199247758E-3</v>
      </c>
      <c r="K445" s="33">
        <f t="shared" ref="K445:K448" si="324">IFERROR(1/J445, "X")</f>
        <v>100.80297614654044</v>
      </c>
      <c r="L445" s="33">
        <f t="shared" ref="L445:L448" si="325">IFERROR(I445-J445, "X")</f>
        <v>0.31943501304157784</v>
      </c>
      <c r="M445" s="33">
        <f t="shared" ref="M445:M448" si="326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17"/>
        <v>9059</v>
      </c>
      <c r="X445" s="9">
        <f t="shared" si="280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1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CY445" s="34" t="s">
        <v>86</v>
      </c>
    </row>
    <row r="446" spans="1:103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1"/>
        <v>0.2264957264957265</v>
      </c>
      <c r="F446" s="7">
        <v>23.4</v>
      </c>
      <c r="G446" s="7">
        <f t="shared" si="322"/>
        <v>5.0735042735042732</v>
      </c>
      <c r="H446" s="16">
        <f t="shared" si="323"/>
        <v>5.5264957264957264</v>
      </c>
      <c r="I446" s="11">
        <f t="shared" si="275"/>
        <v>0.38591799382353975</v>
      </c>
      <c r="J446" s="33">
        <f t="shared" si="276"/>
        <v>1.6492221958270933E-2</v>
      </c>
      <c r="K446" s="33">
        <f t="shared" si="324"/>
        <v>60.634643562900564</v>
      </c>
      <c r="L446" s="33">
        <f t="shared" si="325"/>
        <v>0.36942577186526881</v>
      </c>
      <c r="M446" s="33">
        <f t="shared" si="326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17"/>
        <v>3129</v>
      </c>
      <c r="X446" s="9">
        <f t="shared" si="280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1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CY446" s="34" t="s">
        <v>86</v>
      </c>
    </row>
    <row r="447" spans="1:103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1"/>
        <v>6.4285714285714293E-2</v>
      </c>
      <c r="F447" s="7">
        <v>56</v>
      </c>
      <c r="G447" s="7">
        <f t="shared" si="322"/>
        <v>3.5357142857142856</v>
      </c>
      <c r="H447" s="16">
        <f t="shared" si="323"/>
        <v>3.6642857142857146</v>
      </c>
      <c r="I447" s="11">
        <f t="shared" si="275"/>
        <v>0.23199795227200942</v>
      </c>
      <c r="J447" s="33">
        <f t="shared" si="276"/>
        <v>4.1428205762858829E-3</v>
      </c>
      <c r="K447" s="33">
        <f t="shared" si="324"/>
        <v>241.38144087729691</v>
      </c>
      <c r="L447" s="33">
        <f t="shared" si="325"/>
        <v>0.22785513169572355</v>
      </c>
      <c r="M447" s="33">
        <f t="shared" si="326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17"/>
        <v>55129</v>
      </c>
      <c r="X447" s="9">
        <f t="shared" si="280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1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CY447" s="34" t="s">
        <v>86</v>
      </c>
    </row>
    <row r="448" spans="1:103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1"/>
        <v>9.3023255813953473E-2</v>
      </c>
      <c r="F448" s="7">
        <v>30.1</v>
      </c>
      <c r="G448" s="7">
        <f t="shared" si="322"/>
        <v>2.7069767441860462</v>
      </c>
      <c r="H448" s="16">
        <f t="shared" si="323"/>
        <v>2.8930232558139535</v>
      </c>
      <c r="I448" s="11">
        <f t="shared" si="275"/>
        <v>0.18766370166751487</v>
      </c>
      <c r="J448" s="33">
        <f t="shared" si="276"/>
        <v>6.2346744740038162E-3</v>
      </c>
      <c r="K448" s="33">
        <f t="shared" si="324"/>
        <v>160.39329786496691</v>
      </c>
      <c r="L448" s="33">
        <f t="shared" si="325"/>
        <v>0.18142902719351106</v>
      </c>
      <c r="M448" s="33">
        <f t="shared" si="326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17"/>
        <v>24820</v>
      </c>
      <c r="X448" s="9">
        <f t="shared" si="280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1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CY448" s="34" t="s">
        <v>86</v>
      </c>
    </row>
    <row r="449" spans="1:103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1"/>
        <v>0.39936102236421728</v>
      </c>
      <c r="F449" s="7">
        <v>6.26</v>
      </c>
      <c r="G449" s="7">
        <f t="shared" ref="G449:G452" si="327">D449-E449</f>
        <v>2.1006389776357826</v>
      </c>
      <c r="H449" s="16">
        <f t="shared" ref="H449:H452" si="328">D449+E449</f>
        <v>2.8993610223642174</v>
      </c>
      <c r="I449" s="11">
        <f t="shared" si="275"/>
        <v>6.5629166615310958E-2</v>
      </c>
      <c r="J449" s="33">
        <f t="shared" si="276"/>
        <v>1.0483892430560858E-2</v>
      </c>
      <c r="K449" s="33">
        <f t="shared" ref="K449:K452" si="329">IFERROR(1/J449, "X")</f>
        <v>95.384420111462646</v>
      </c>
      <c r="L449" s="33">
        <f t="shared" ref="L449:L452" si="330">IFERROR(I449-J449, "X")</f>
        <v>5.5145274184750098E-2</v>
      </c>
      <c r="M449" s="33">
        <f t="shared" ref="M449:M452" si="331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2">U449-V449-1</f>
        <v>9059</v>
      </c>
      <c r="X449" s="9">
        <f t="shared" si="280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1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CY449" s="34" t="s">
        <v>86</v>
      </c>
    </row>
    <row r="450" spans="1:103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1"/>
        <v>0.69364161849710981</v>
      </c>
      <c r="F450" s="7">
        <v>3.46</v>
      </c>
      <c r="G450" s="7">
        <f t="shared" si="327"/>
        <v>1.70635838150289</v>
      </c>
      <c r="H450" s="16">
        <f t="shared" si="328"/>
        <v>3.0936416184971098</v>
      </c>
      <c r="I450" s="11">
        <f t="shared" ref="I450:I513" si="333">IFERROR(F450/SQRT(F450^2+W450), "X")</f>
        <v>6.173679701695501E-2</v>
      </c>
      <c r="J450" s="33">
        <f t="shared" ref="J450:J513" si="334">IFERROR(SQRT((1-I450^2)/W450), "X")</f>
        <v>1.7843004918195092E-2</v>
      </c>
      <c r="K450" s="33">
        <f t="shared" si="329"/>
        <v>56.044371706711097</v>
      </c>
      <c r="L450" s="33">
        <f t="shared" si="330"/>
        <v>4.3893792098759918E-2</v>
      </c>
      <c r="M450" s="33">
        <f t="shared" si="331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2"/>
        <v>3129</v>
      </c>
      <c r="X450" s="9">
        <f t="shared" si="280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1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CY450" s="34" t="s">
        <v>86</v>
      </c>
    </row>
    <row r="451" spans="1:103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1"/>
        <v>0.11228070175438597</v>
      </c>
      <c r="F451" s="7">
        <v>28.5</v>
      </c>
      <c r="G451" s="7">
        <f t="shared" si="327"/>
        <v>3.0877192982456143</v>
      </c>
      <c r="H451" s="16">
        <f t="shared" si="328"/>
        <v>3.312280701754386</v>
      </c>
      <c r="I451" s="11">
        <f t="shared" si="333"/>
        <v>0.12049770538708542</v>
      </c>
      <c r="J451" s="33">
        <f t="shared" si="334"/>
        <v>4.2279896627047519E-3</v>
      </c>
      <c r="K451" s="33">
        <f t="shared" si="329"/>
        <v>236.51902671878216</v>
      </c>
      <c r="L451" s="33">
        <f t="shared" si="330"/>
        <v>0.11626971572438066</v>
      </c>
      <c r="M451" s="33">
        <f t="shared" si="331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2"/>
        <v>55129</v>
      </c>
      <c r="X451" s="9">
        <f t="shared" ref="X451:X514" si="335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36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CY451" s="34" t="s">
        <v>86</v>
      </c>
    </row>
    <row r="452" spans="1:103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1"/>
        <v>0.14843749999999997</v>
      </c>
      <c r="F452" s="55">
        <v>12.8</v>
      </c>
      <c r="G452" s="55">
        <f t="shared" si="327"/>
        <v>1.7515624999999999</v>
      </c>
      <c r="H452" s="56">
        <f t="shared" si="328"/>
        <v>2.0484374999999999</v>
      </c>
      <c r="I452" s="57">
        <f t="shared" si="333"/>
        <v>8.0980485224041943E-2</v>
      </c>
      <c r="J452" s="58">
        <f t="shared" si="334"/>
        <v>6.3266004081282768E-3</v>
      </c>
      <c r="K452" s="58">
        <f t="shared" si="329"/>
        <v>158.06277234061156</v>
      </c>
      <c r="L452" s="58">
        <f t="shared" si="330"/>
        <v>7.465388481591366E-2</v>
      </c>
      <c r="M452" s="58">
        <f t="shared" si="331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2"/>
        <v>24820</v>
      </c>
      <c r="X452" s="60">
        <f t="shared" si="335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36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X452" s="52"/>
      <c r="CY452" s="68" t="s">
        <v>86</v>
      </c>
    </row>
    <row r="453" spans="1:103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37">D453-E453</f>
        <v>4.5</v>
      </c>
      <c r="H453" s="16">
        <f t="shared" ref="H453:H461" si="338">D453+E453</f>
        <v>5.0999999999999996</v>
      </c>
      <c r="I453" s="11">
        <f t="shared" si="333"/>
        <v>0.36891438072857313</v>
      </c>
      <c r="J453" s="33">
        <f t="shared" si="334"/>
        <v>2.3057148795535824E-2</v>
      </c>
      <c r="K453" s="33">
        <f t="shared" ref="K453:K461" si="339">IFERROR(1/J453, "X")</f>
        <v>43.370496884402876</v>
      </c>
      <c r="L453" s="33">
        <f t="shared" ref="L453:L461" si="340">IFERROR(I453-J453, "X")</f>
        <v>0.3458572319330373</v>
      </c>
      <c r="M453" s="33">
        <f t="shared" ref="M453:M461" si="341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2"/>
        <v>1625</v>
      </c>
      <c r="X453" s="9">
        <f t="shared" si="335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36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CY453" s="34" t="s">
        <v>86</v>
      </c>
    </row>
    <row r="454" spans="1:103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2">D454/E454</f>
        <v>15.333333333333332</v>
      </c>
      <c r="G454" s="7">
        <f t="shared" si="337"/>
        <v>4.3</v>
      </c>
      <c r="H454" s="16">
        <f t="shared" si="338"/>
        <v>4.8999999999999995</v>
      </c>
      <c r="I454" s="11">
        <f t="shared" si="333"/>
        <v>0.32167832167832161</v>
      </c>
      <c r="J454" s="33">
        <f t="shared" si="334"/>
        <v>2.097902097902098E-2</v>
      </c>
      <c r="K454" s="33">
        <f t="shared" si="339"/>
        <v>47.666666666666664</v>
      </c>
      <c r="L454" s="33">
        <f t="shared" si="340"/>
        <v>0.30069930069930062</v>
      </c>
      <c r="M454" s="33">
        <f t="shared" si="341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43">U454-V454-1</f>
        <v>2037</v>
      </c>
      <c r="X454" s="9">
        <f t="shared" si="335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36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44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CY454" s="34" t="s">
        <v>86</v>
      </c>
    </row>
    <row r="455" spans="1:103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2"/>
        <v>17.666666666666668</v>
      </c>
      <c r="G455" s="7">
        <f t="shared" si="337"/>
        <v>5</v>
      </c>
      <c r="H455" s="16">
        <f t="shared" si="338"/>
        <v>5.6</v>
      </c>
      <c r="I455" s="11">
        <f t="shared" si="333"/>
        <v>0.30955535968034781</v>
      </c>
      <c r="J455" s="33">
        <f t="shared" si="334"/>
        <v>1.7522001491340439E-2</v>
      </c>
      <c r="K455" s="33">
        <f t="shared" si="339"/>
        <v>57.071105746350419</v>
      </c>
      <c r="L455" s="33">
        <f t="shared" si="340"/>
        <v>0.29203335818900739</v>
      </c>
      <c r="M455" s="33">
        <f t="shared" si="341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43"/>
        <v>2945</v>
      </c>
      <c r="X455" s="9">
        <f t="shared" si="335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36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44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CY455" s="34" t="s">
        <v>86</v>
      </c>
    </row>
    <row r="456" spans="1:103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2"/>
        <v>11.666666666666668</v>
      </c>
      <c r="G456" s="7">
        <f t="shared" si="337"/>
        <v>6.4</v>
      </c>
      <c r="H456" s="16">
        <f t="shared" si="338"/>
        <v>7.6</v>
      </c>
      <c r="I456" s="11">
        <f t="shared" si="333"/>
        <v>0.28395287839479089</v>
      </c>
      <c r="J456" s="33">
        <f t="shared" si="334"/>
        <v>2.4338818148124934E-2</v>
      </c>
      <c r="K456" s="33">
        <f t="shared" si="339"/>
        <v>41.08662934716245</v>
      </c>
      <c r="L456" s="33">
        <f t="shared" si="340"/>
        <v>0.25961406024666595</v>
      </c>
      <c r="M456" s="33">
        <f t="shared" si="341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43"/>
        <v>1552</v>
      </c>
      <c r="X456" s="9">
        <f t="shared" si="335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36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44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CY456" s="34" t="s">
        <v>86</v>
      </c>
    </row>
    <row r="457" spans="1:103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2"/>
        <v>22.749999999999996</v>
      </c>
      <c r="G457" s="7">
        <f t="shared" si="337"/>
        <v>8.6999999999999993</v>
      </c>
      <c r="H457" s="16">
        <f t="shared" si="338"/>
        <v>9.5</v>
      </c>
      <c r="I457" s="11">
        <f t="shared" si="333"/>
        <v>0.44230554911311321</v>
      </c>
      <c r="J457" s="33">
        <f t="shared" si="334"/>
        <v>1.9442002158818167E-2</v>
      </c>
      <c r="K457" s="33">
        <f t="shared" si="339"/>
        <v>51.435031836288388</v>
      </c>
      <c r="L457" s="33">
        <f t="shared" si="340"/>
        <v>0.42286354695429507</v>
      </c>
      <c r="M457" s="33">
        <f t="shared" si="341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43"/>
        <v>2128</v>
      </c>
      <c r="X457" s="9">
        <f t="shared" si="335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36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44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CY457" s="34" t="s">
        <v>86</v>
      </c>
    </row>
    <row r="458" spans="1:103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2"/>
        <v>40.499999999999993</v>
      </c>
      <c r="G458" s="7">
        <f t="shared" si="337"/>
        <v>7.8999999999999995</v>
      </c>
      <c r="H458" s="16">
        <f t="shared" si="338"/>
        <v>8.2999999999999989</v>
      </c>
      <c r="I458" s="11">
        <f t="shared" si="333"/>
        <v>0.42586185739690013</v>
      </c>
      <c r="J458" s="33">
        <f t="shared" si="334"/>
        <v>1.051510759004692E-2</v>
      </c>
      <c r="K458" s="33">
        <f t="shared" si="339"/>
        <v>95.101261821281838</v>
      </c>
      <c r="L458" s="33">
        <f t="shared" si="340"/>
        <v>0.41534674980685321</v>
      </c>
      <c r="M458" s="33">
        <f t="shared" si="341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43"/>
        <v>7404</v>
      </c>
      <c r="X458" s="9">
        <f t="shared" si="335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36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44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CY458" s="34" t="s">
        <v>86</v>
      </c>
    </row>
    <row r="459" spans="1:103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2"/>
        <v>32.5</v>
      </c>
      <c r="G459" s="7">
        <f t="shared" si="337"/>
        <v>6.3</v>
      </c>
      <c r="H459" s="16">
        <f t="shared" si="338"/>
        <v>6.7</v>
      </c>
      <c r="I459" s="11">
        <f t="shared" si="333"/>
        <v>0.34632820004060327</v>
      </c>
      <c r="J459" s="33">
        <f t="shared" si="334"/>
        <v>1.0656252308941638E-2</v>
      </c>
      <c r="K459" s="33">
        <f t="shared" si="339"/>
        <v>93.841621895617294</v>
      </c>
      <c r="L459" s="33">
        <f t="shared" si="340"/>
        <v>0.33567194773166165</v>
      </c>
      <c r="M459" s="33">
        <f t="shared" si="341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43"/>
        <v>7750</v>
      </c>
      <c r="X459" s="9">
        <f t="shared" si="335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36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44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CY459" s="34" t="s">
        <v>86</v>
      </c>
    </row>
    <row r="460" spans="1:103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2"/>
        <v>31.000000000000004</v>
      </c>
      <c r="G460" s="7">
        <f t="shared" si="337"/>
        <v>9</v>
      </c>
      <c r="H460" s="16">
        <f t="shared" si="338"/>
        <v>9.6000000000000014</v>
      </c>
      <c r="I460" s="11">
        <f t="shared" si="333"/>
        <v>0.2861186337195587</v>
      </c>
      <c r="J460" s="33">
        <f t="shared" si="334"/>
        <v>9.2296333457922153E-3</v>
      </c>
      <c r="K460" s="33">
        <f t="shared" si="339"/>
        <v>108.34666584625482</v>
      </c>
      <c r="L460" s="33">
        <f t="shared" si="340"/>
        <v>0.27688900037376651</v>
      </c>
      <c r="M460" s="33">
        <f t="shared" si="341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43"/>
        <v>10778</v>
      </c>
      <c r="X460" s="9">
        <f t="shared" si="335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36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44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CY460" s="34" t="s">
        <v>86</v>
      </c>
    </row>
    <row r="461" spans="1:103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2"/>
        <v>38.666666666666664</v>
      </c>
      <c r="G461" s="7">
        <f t="shared" si="337"/>
        <v>11.299999999999999</v>
      </c>
      <c r="H461" s="16">
        <f t="shared" si="338"/>
        <v>11.9</v>
      </c>
      <c r="I461" s="11">
        <f t="shared" si="333"/>
        <v>0.49193630773042418</v>
      </c>
      <c r="J461" s="33">
        <f t="shared" si="334"/>
        <v>1.2722490717166144E-2</v>
      </c>
      <c r="K461" s="33">
        <f t="shared" si="339"/>
        <v>78.60096126073212</v>
      </c>
      <c r="L461" s="33">
        <f t="shared" si="340"/>
        <v>0.47921381701325805</v>
      </c>
      <c r="M461" s="33">
        <f t="shared" si="341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43"/>
        <v>4683</v>
      </c>
      <c r="X461" s="9">
        <f t="shared" si="335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36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44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CY461" s="34" t="s">
        <v>86</v>
      </c>
    </row>
    <row r="462" spans="1:103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45">D462-E462</f>
        <v>-0.39574868787070938</v>
      </c>
      <c r="H462" s="16">
        <f t="shared" ref="H462:H489" si="346">D462+E462</f>
        <v>1.4642701451216245</v>
      </c>
      <c r="I462" s="11">
        <f t="shared" si="333"/>
        <v>1.3980967807515428E-2</v>
      </c>
      <c r="J462" s="33">
        <f t="shared" si="334"/>
        <v>2.4337240257526857E-2</v>
      </c>
      <c r="K462" s="33">
        <f t="shared" ref="K462:K479" si="347">IFERROR(1/J462, "X")</f>
        <v>41.089293174509663</v>
      </c>
      <c r="L462" s="33">
        <f t="shared" ref="L462:L479" si="348">IFERROR(I462-J462, "X")</f>
        <v>-1.0356272450011429E-2</v>
      </c>
      <c r="M462" s="33">
        <f t="shared" ref="M462:M479" si="349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43"/>
        <v>1688</v>
      </c>
      <c r="X462" s="9">
        <f t="shared" si="335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36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CY462" s="34" t="s">
        <v>86</v>
      </c>
    </row>
    <row r="463" spans="1:103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45"/>
        <v>4.4421375533010643</v>
      </c>
      <c r="H463" s="16">
        <f t="shared" si="346"/>
        <v>7.1695289994008071</v>
      </c>
      <c r="I463" s="11">
        <f t="shared" si="333"/>
        <v>0.10307220635875566</v>
      </c>
      <c r="J463" s="33">
        <f t="shared" si="334"/>
        <v>2.4209983354033311E-2</v>
      </c>
      <c r="K463" s="33">
        <f t="shared" si="347"/>
        <v>41.305274166303917</v>
      </c>
      <c r="L463" s="33">
        <f t="shared" si="348"/>
        <v>7.8862223004722357E-2</v>
      </c>
      <c r="M463" s="33">
        <f t="shared" si="349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43"/>
        <v>1688</v>
      </c>
      <c r="X463" s="9">
        <f t="shared" si="335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36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0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CY463" s="34" t="s">
        <v>86</v>
      </c>
    </row>
    <row r="464" spans="1:103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45"/>
        <v>3.5321851937623943</v>
      </c>
      <c r="H464" s="16">
        <f t="shared" si="346"/>
        <v>4.0333736334178694</v>
      </c>
      <c r="I464" s="11">
        <f t="shared" si="333"/>
        <v>0.34487155734135666</v>
      </c>
      <c r="J464" s="33">
        <f t="shared" si="334"/>
        <v>2.2846380770247605E-2</v>
      </c>
      <c r="K464" s="33">
        <f t="shared" si="347"/>
        <v>43.770609010521284</v>
      </c>
      <c r="L464" s="33">
        <f t="shared" si="348"/>
        <v>0.32202517657110907</v>
      </c>
      <c r="M464" s="33">
        <f t="shared" si="349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43"/>
        <v>1688</v>
      </c>
      <c r="X464" s="9">
        <f t="shared" si="335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36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0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CY464" s="34" t="s">
        <v>86</v>
      </c>
    </row>
    <row r="465" spans="1:103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45"/>
        <v>2.1331661296125546</v>
      </c>
      <c r="H465" s="16">
        <f t="shared" si="346"/>
        <v>3.6433722390727699</v>
      </c>
      <c r="I465" s="11">
        <f t="shared" si="333"/>
        <v>8.3435955787929145E-2</v>
      </c>
      <c r="J465" s="33">
        <f t="shared" si="334"/>
        <v>2.1813321774621999E-2</v>
      </c>
      <c r="K465" s="33">
        <f t="shared" si="347"/>
        <v>45.84354507452494</v>
      </c>
      <c r="L465" s="33">
        <f t="shared" si="348"/>
        <v>6.1622634013307143E-2</v>
      </c>
      <c r="M465" s="33">
        <f t="shared" si="349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1">U465-V465-1</f>
        <v>2087</v>
      </c>
      <c r="X465" s="9">
        <f t="shared" si="335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36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2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CY465" s="34" t="s">
        <v>86</v>
      </c>
    </row>
    <row r="466" spans="1:103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45"/>
        <v>4.1047829933429973</v>
      </c>
      <c r="H466" s="16">
        <f t="shared" si="346"/>
        <v>6.1011538784428172</v>
      </c>
      <c r="I466" s="11">
        <f t="shared" si="333"/>
        <v>0.11121107110684131</v>
      </c>
      <c r="J466" s="33">
        <f t="shared" si="334"/>
        <v>2.1753862212515865E-2</v>
      </c>
      <c r="K466" s="33">
        <f t="shared" si="347"/>
        <v>45.968848668383131</v>
      </c>
      <c r="L466" s="33">
        <f t="shared" si="348"/>
        <v>8.9457208894325443E-2</v>
      </c>
      <c r="M466" s="33">
        <f t="shared" si="349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1"/>
        <v>2087</v>
      </c>
      <c r="X466" s="9">
        <f t="shared" si="335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36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2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CY466" s="34" t="s">
        <v>86</v>
      </c>
    </row>
    <row r="467" spans="1:103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45"/>
        <v>2.4764843249679225</v>
      </c>
      <c r="H467" s="16">
        <f t="shared" si="346"/>
        <v>2.7978916084080185</v>
      </c>
      <c r="I467" s="11">
        <f t="shared" si="333"/>
        <v>0.33806514481568661</v>
      </c>
      <c r="J467" s="33">
        <f t="shared" si="334"/>
        <v>2.0600844762205903E-2</v>
      </c>
      <c r="K467" s="33">
        <f t="shared" si="347"/>
        <v>48.541698728519606</v>
      </c>
      <c r="L467" s="33">
        <f t="shared" si="348"/>
        <v>0.3174643000534807</v>
      </c>
      <c r="M467" s="33">
        <f t="shared" si="349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1"/>
        <v>2087</v>
      </c>
      <c r="X467" s="9">
        <f t="shared" si="335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36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2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CY467" s="34" t="s">
        <v>86</v>
      </c>
    </row>
    <row r="468" spans="1:103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45"/>
        <v>0.56441034200667695</v>
      </c>
      <c r="H468" s="16">
        <f t="shared" si="346"/>
        <v>2.160329240094522</v>
      </c>
      <c r="I468" s="11">
        <f t="shared" si="333"/>
        <v>3.1376263115216206E-2</v>
      </c>
      <c r="J468" s="33">
        <f t="shared" si="334"/>
        <v>1.8377525538912347E-2</v>
      </c>
      <c r="K468" s="33">
        <f t="shared" si="347"/>
        <v>54.414289773811618</v>
      </c>
      <c r="L468" s="33">
        <f t="shared" si="348"/>
        <v>1.2998737576303859E-2</v>
      </c>
      <c r="M468" s="33">
        <f t="shared" si="349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1"/>
        <v>2958</v>
      </c>
      <c r="X468" s="9">
        <f t="shared" si="335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36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53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CY468" s="34" t="s">
        <v>86</v>
      </c>
    </row>
    <row r="469" spans="1:103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45"/>
        <v>3.064801451172861</v>
      </c>
      <c r="H469" s="16">
        <f t="shared" si="346"/>
        <v>6.1417167420736769</v>
      </c>
      <c r="I469" s="11">
        <f t="shared" si="333"/>
        <v>5.493189176422196E-2</v>
      </c>
      <c r="J469" s="33">
        <f t="shared" si="334"/>
        <v>1.8358816458042604E-2</v>
      </c>
      <c r="K469" s="33">
        <f t="shared" si="347"/>
        <v>54.469742223601862</v>
      </c>
      <c r="L469" s="33">
        <f t="shared" si="348"/>
        <v>3.6573075306179356E-2</v>
      </c>
      <c r="M469" s="33">
        <f t="shared" si="349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1"/>
        <v>2958</v>
      </c>
      <c r="X469" s="9">
        <f t="shared" si="335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36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53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CY469" s="34" t="s">
        <v>86</v>
      </c>
    </row>
    <row r="470" spans="1:103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45"/>
        <v>5.7478025045359642</v>
      </c>
      <c r="H470" s="16">
        <f t="shared" si="346"/>
        <v>6.4032536673339253</v>
      </c>
      <c r="I470" s="11">
        <f t="shared" si="333"/>
        <v>0.32263134511512193</v>
      </c>
      <c r="J470" s="33">
        <f t="shared" si="334"/>
        <v>1.7403350566375875E-2</v>
      </c>
      <c r="K470" s="33">
        <f t="shared" si="347"/>
        <v>57.460199757858639</v>
      </c>
      <c r="L470" s="33">
        <f t="shared" si="348"/>
        <v>0.30522799454874605</v>
      </c>
      <c r="M470" s="33">
        <f t="shared" si="349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1"/>
        <v>2958</v>
      </c>
      <c r="X470" s="9">
        <f t="shared" si="335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36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53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CY470" s="34" t="s">
        <v>86</v>
      </c>
    </row>
    <row r="471" spans="1:103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45"/>
        <v>0.88297678300967997</v>
      </c>
      <c r="H471" s="16">
        <f t="shared" si="346"/>
        <v>3.2247847727310055</v>
      </c>
      <c r="I471" s="11">
        <f t="shared" si="333"/>
        <v>4.4524323599036228E-2</v>
      </c>
      <c r="J471" s="33">
        <f t="shared" si="334"/>
        <v>2.5383025603188881E-2</v>
      </c>
      <c r="K471" s="33">
        <f t="shared" si="347"/>
        <v>39.396406702373952</v>
      </c>
      <c r="L471" s="33">
        <f t="shared" si="348"/>
        <v>1.9141297995847347E-2</v>
      </c>
      <c r="M471" s="33">
        <f t="shared" si="349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1"/>
        <v>1549</v>
      </c>
      <c r="X471" s="9">
        <f t="shared" si="335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36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54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CY471" s="34" t="s">
        <v>86</v>
      </c>
    </row>
    <row r="472" spans="1:103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45"/>
        <v>6.9192554648999192</v>
      </c>
      <c r="H472" s="16">
        <f t="shared" si="346"/>
        <v>8.8105186253058978</v>
      </c>
      <c r="I472" s="11">
        <f t="shared" si="333"/>
        <v>0.2067559194316444</v>
      </c>
      <c r="J472" s="33">
        <f t="shared" si="334"/>
        <v>2.4859216119347275E-2</v>
      </c>
      <c r="K472" s="33">
        <f t="shared" si="347"/>
        <v>40.226529879263822</v>
      </c>
      <c r="L472" s="33">
        <f t="shared" si="348"/>
        <v>0.18189670331229713</v>
      </c>
      <c r="M472" s="33">
        <f t="shared" si="349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1"/>
        <v>1549</v>
      </c>
      <c r="X472" s="9">
        <f t="shared" si="335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36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54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CY472" s="34" t="s">
        <v>86</v>
      </c>
    </row>
    <row r="473" spans="1:103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45"/>
        <v>8.7361905533019648</v>
      </c>
      <c r="H473" s="16">
        <f t="shared" si="346"/>
        <v>10.755765252138845</v>
      </c>
      <c r="I473" s="11">
        <f t="shared" si="333"/>
        <v>0.23817098554182045</v>
      </c>
      <c r="J473" s="33">
        <f t="shared" si="334"/>
        <v>2.467705658675063E-2</v>
      </c>
      <c r="K473" s="33">
        <f t="shared" si="347"/>
        <v>40.523471528484905</v>
      </c>
      <c r="L473" s="33">
        <f t="shared" si="348"/>
        <v>0.21349392895506983</v>
      </c>
      <c r="M473" s="33">
        <f t="shared" si="349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1"/>
        <v>1549</v>
      </c>
      <c r="X473" s="9">
        <f t="shared" si="335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36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54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CY473" s="34" t="s">
        <v>86</v>
      </c>
    </row>
    <row r="474" spans="1:103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45"/>
        <v>3.5563204725313646</v>
      </c>
      <c r="H474" s="16">
        <f t="shared" si="346"/>
        <v>5.6718752151654073</v>
      </c>
      <c r="I474" s="11">
        <f t="shared" si="333"/>
        <v>9.4205733875260531E-2</v>
      </c>
      <c r="J474" s="33">
        <f t="shared" si="334"/>
        <v>2.1596571402233637E-2</v>
      </c>
      <c r="K474" s="33">
        <f t="shared" si="347"/>
        <v>46.303646137857534</v>
      </c>
      <c r="L474" s="33">
        <f t="shared" si="348"/>
        <v>7.26091624730269E-2</v>
      </c>
      <c r="M474" s="33">
        <f t="shared" si="349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1"/>
        <v>2125</v>
      </c>
      <c r="X474" s="9">
        <f t="shared" si="335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36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55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CY474" s="34" t="s">
        <v>86</v>
      </c>
    </row>
    <row r="475" spans="1:103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45"/>
        <v>5.8812405354916715</v>
      </c>
      <c r="H475" s="16">
        <f t="shared" si="346"/>
        <v>7.0666068449706136</v>
      </c>
      <c r="I475" s="11">
        <f t="shared" si="333"/>
        <v>0.23057022351054179</v>
      </c>
      <c r="J475" s="33">
        <f t="shared" si="334"/>
        <v>2.1108541588993265E-2</v>
      </c>
      <c r="K475" s="33">
        <f t="shared" si="347"/>
        <v>47.374187164187369</v>
      </c>
      <c r="L475" s="33">
        <f t="shared" si="348"/>
        <v>0.20946168192154851</v>
      </c>
      <c r="M475" s="33">
        <f t="shared" si="349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1"/>
        <v>2125</v>
      </c>
      <c r="X475" s="9">
        <f t="shared" si="335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36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55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CY475" s="34" t="s">
        <v>86</v>
      </c>
    </row>
    <row r="476" spans="1:103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45"/>
        <v>7.5665734186020002</v>
      </c>
      <c r="H476" s="16">
        <f t="shared" si="346"/>
        <v>9.4144692396111846</v>
      </c>
      <c r="I476" s="11">
        <f t="shared" si="333"/>
        <v>0.19549933117032514</v>
      </c>
      <c r="J476" s="33">
        <f t="shared" si="334"/>
        <v>2.127445318588864E-2</v>
      </c>
      <c r="K476" s="33">
        <f t="shared" si="347"/>
        <v>47.004733389025517</v>
      </c>
      <c r="L476" s="33">
        <f t="shared" si="348"/>
        <v>0.1742248779844365</v>
      </c>
      <c r="M476" s="33">
        <f t="shared" si="349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1"/>
        <v>2125</v>
      </c>
      <c r="X476" s="9">
        <f t="shared" si="335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36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55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CY476" s="34" t="s">
        <v>86</v>
      </c>
    </row>
    <row r="477" spans="1:103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45"/>
        <v>2.4317391856150845</v>
      </c>
      <c r="H477" s="16">
        <f t="shared" si="346"/>
        <v>3.4873779018510902</v>
      </c>
      <c r="I477" s="11">
        <f t="shared" si="333"/>
        <v>6.5039308263637657E-2</v>
      </c>
      <c r="J477" s="33">
        <f t="shared" si="334"/>
        <v>1.1599367078865316E-2</v>
      </c>
      <c r="K477" s="33">
        <f t="shared" si="347"/>
        <v>86.211600443446173</v>
      </c>
      <c r="L477" s="33">
        <f t="shared" si="348"/>
        <v>5.3439941184772341E-2</v>
      </c>
      <c r="M477" s="33">
        <f t="shared" si="349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1"/>
        <v>7401</v>
      </c>
      <c r="X477" s="9">
        <f t="shared" si="335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36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56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CY477" s="34" t="s">
        <v>86</v>
      </c>
    </row>
    <row r="478" spans="1:103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45"/>
        <v>5.635277850392244</v>
      </c>
      <c r="H478" s="16">
        <f t="shared" si="346"/>
        <v>6.3019280951706236</v>
      </c>
      <c r="I478" s="11">
        <f t="shared" si="333"/>
        <v>0.20377459718790983</v>
      </c>
      <c r="J478" s="33">
        <f t="shared" si="334"/>
        <v>1.1380082216427776E-2</v>
      </c>
      <c r="K478" s="33">
        <f t="shared" si="347"/>
        <v>87.872827364677988</v>
      </c>
      <c r="L478" s="33">
        <f t="shared" si="348"/>
        <v>0.19239451497148205</v>
      </c>
      <c r="M478" s="33">
        <f t="shared" si="349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1"/>
        <v>7401</v>
      </c>
      <c r="X478" s="9">
        <f t="shared" si="335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36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56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CY478" s="34" t="s">
        <v>86</v>
      </c>
    </row>
    <row r="479" spans="1:103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45"/>
        <v>8.3765587659190253</v>
      </c>
      <c r="H479" s="56">
        <f t="shared" si="346"/>
        <v>8.9498593658678551</v>
      </c>
      <c r="I479" s="57">
        <f t="shared" si="333"/>
        <v>0.33144493664839791</v>
      </c>
      <c r="J479" s="58">
        <f t="shared" si="334"/>
        <v>1.0966928050866107E-2</v>
      </c>
      <c r="K479" s="58">
        <f t="shared" si="347"/>
        <v>91.183237034278307</v>
      </c>
      <c r="L479" s="58">
        <f t="shared" si="348"/>
        <v>0.32047800859753178</v>
      </c>
      <c r="M479" s="58">
        <f t="shared" si="349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1"/>
        <v>7401</v>
      </c>
      <c r="X479" s="60">
        <f t="shared" si="335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36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56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X479" s="52"/>
      <c r="CY479" s="68" t="s">
        <v>86</v>
      </c>
    </row>
    <row r="480" spans="1:103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57">D480/E480</f>
        <v>11.76271186440678</v>
      </c>
      <c r="G480" s="7">
        <f t="shared" si="345"/>
        <v>6.3500000000000005</v>
      </c>
      <c r="H480" s="16">
        <f t="shared" si="346"/>
        <v>7.53</v>
      </c>
      <c r="I480" s="11">
        <f t="shared" si="333"/>
        <v>0.23963844097900014</v>
      </c>
      <c r="J480" s="33">
        <f t="shared" si="334"/>
        <v>2.037272048668733E-2</v>
      </c>
      <c r="K480" s="33">
        <f t="shared" ref="K480:K482" si="358">IFERROR(1/J480, "X")</f>
        <v>49.08524615813856</v>
      </c>
      <c r="L480" s="33">
        <f t="shared" ref="L480:L482" si="359">IFERROR(I480-J480, "X")</f>
        <v>0.2192657204923128</v>
      </c>
      <c r="M480" s="33">
        <f t="shared" ref="M480:M482" si="360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1"/>
        <v>2271</v>
      </c>
      <c r="X480" s="9">
        <f t="shared" si="335"/>
        <v>10</v>
      </c>
      <c r="Y480" s="7">
        <v>13.2</v>
      </c>
      <c r="Z480" s="7">
        <f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36"/>
        <v>7.6038979685218813</v>
      </c>
      <c r="AN480" s="33">
        <v>0</v>
      </c>
      <c r="AO480" s="33">
        <v>7.0000000000000001E-3</v>
      </c>
      <c r="AP480" s="33">
        <f t="shared" ref="AP480:AP489" si="361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56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CY480" s="34" t="s">
        <v>86</v>
      </c>
    </row>
    <row r="481" spans="1:103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57"/>
        <v>10.636363636363635</v>
      </c>
      <c r="G481" s="7">
        <f t="shared" si="345"/>
        <v>7.42</v>
      </c>
      <c r="H481" s="16">
        <f t="shared" si="346"/>
        <v>8.9599999999999991</v>
      </c>
      <c r="I481" s="11">
        <f t="shared" si="333"/>
        <v>0.27778360252890461</v>
      </c>
      <c r="J481" s="33">
        <f t="shared" si="334"/>
        <v>2.6116407075367106E-2</v>
      </c>
      <c r="K481" s="33">
        <f t="shared" si="358"/>
        <v>38.290106181688223</v>
      </c>
      <c r="L481" s="33">
        <f t="shared" si="359"/>
        <v>0.2516671954535375</v>
      </c>
      <c r="M481" s="33">
        <f t="shared" si="360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1"/>
        <v>1353</v>
      </c>
      <c r="X481" s="9">
        <f t="shared" si="335"/>
        <v>10</v>
      </c>
      <c r="Y481" s="7">
        <v>12.9</v>
      </c>
      <c r="Z481" s="7">
        <f>BQ391-Y391-6</f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36"/>
        <v>7.6038979685218813</v>
      </c>
      <c r="AN481" s="33">
        <v>0</v>
      </c>
      <c r="AO481" s="33">
        <v>7.0000000000000001E-3</v>
      </c>
      <c r="AP481" s="33">
        <f t="shared" si="361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56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CY481" s="34" t="s">
        <v>86</v>
      </c>
    </row>
    <row r="482" spans="1:103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57"/>
        <v>5.7840909090909092</v>
      </c>
      <c r="G482" s="7">
        <f t="shared" si="345"/>
        <v>4.21</v>
      </c>
      <c r="H482" s="16">
        <f t="shared" si="346"/>
        <v>5.97</v>
      </c>
      <c r="I482" s="11">
        <f t="shared" si="333"/>
        <v>0.1878134035333307</v>
      </c>
      <c r="J482" s="33">
        <f t="shared" si="334"/>
        <v>3.2470686661951083E-2</v>
      </c>
      <c r="K482" s="33">
        <f t="shared" si="358"/>
        <v>30.797008095667803</v>
      </c>
      <c r="L482" s="33">
        <f t="shared" si="359"/>
        <v>0.15534271687137963</v>
      </c>
      <c r="M482" s="33">
        <f t="shared" si="360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1"/>
        <v>915</v>
      </c>
      <c r="X482" s="9">
        <f t="shared" si="335"/>
        <v>10</v>
      </c>
      <c r="Y482" s="7">
        <v>13.6</v>
      </c>
      <c r="Z482" s="7">
        <f>BQ392-Y392-6</f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36"/>
        <v>7.6038979685218813</v>
      </c>
      <c r="AN482" s="33">
        <v>0</v>
      </c>
      <c r="AO482" s="33">
        <v>5.0000000000000001E-3</v>
      </c>
      <c r="AP482" s="33">
        <f t="shared" si="361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62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CY482" s="34" t="s">
        <v>86</v>
      </c>
    </row>
    <row r="483" spans="1:103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57"/>
        <v>11.333333333333334</v>
      </c>
      <c r="G483" s="7">
        <f t="shared" si="345"/>
        <v>6.2</v>
      </c>
      <c r="H483" s="16">
        <f t="shared" si="346"/>
        <v>7.3999999999999995</v>
      </c>
      <c r="I483" s="11">
        <f t="shared" si="333"/>
        <v>0.23189964848373007</v>
      </c>
      <c r="J483" s="33">
        <f t="shared" si="334"/>
        <v>2.0461733689740885E-2</v>
      </c>
      <c r="K483" s="33">
        <f t="shared" ref="K483:K485" si="363">IFERROR(1/J483, "X")</f>
        <v>48.87171415496335</v>
      </c>
      <c r="L483" s="33">
        <f t="shared" ref="L483:L485" si="364">IFERROR(I483-J483, "X")</f>
        <v>0.21143791479398918</v>
      </c>
      <c r="M483" s="33">
        <f t="shared" ref="M483:M485" si="365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66">U483-V483-1</f>
        <v>2260</v>
      </c>
      <c r="X483" s="9">
        <f t="shared" si="335"/>
        <v>10</v>
      </c>
      <c r="Y483" s="7">
        <v>13.2</v>
      </c>
      <c r="Z483" s="7">
        <f>BQ393-Y393-6</f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36"/>
        <v>7.6038979685218813</v>
      </c>
      <c r="AN483" s="33">
        <v>0</v>
      </c>
      <c r="AO483" s="33">
        <v>7.0000000000000001E-3</v>
      </c>
      <c r="AP483" s="33">
        <f t="shared" si="361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62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CY483" s="34" t="s">
        <v>86</v>
      </c>
    </row>
    <row r="484" spans="1:103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57"/>
        <v>9.0512820512820511</v>
      </c>
      <c r="G484" s="7">
        <f t="shared" si="345"/>
        <v>6.2799999999999994</v>
      </c>
      <c r="H484" s="16">
        <f t="shared" si="346"/>
        <v>7.84</v>
      </c>
      <c r="I484" s="11">
        <f t="shared" si="333"/>
        <v>0.23986475186127454</v>
      </c>
      <c r="J484" s="33">
        <f t="shared" si="334"/>
        <v>2.6500638307619565E-2</v>
      </c>
      <c r="K484" s="33">
        <f t="shared" si="363"/>
        <v>37.734940132082635</v>
      </c>
      <c r="L484" s="33">
        <f t="shared" si="364"/>
        <v>0.21336411355365498</v>
      </c>
      <c r="M484" s="33">
        <f t="shared" si="365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66"/>
        <v>1342</v>
      </c>
      <c r="X484" s="9">
        <f t="shared" si="335"/>
        <v>10</v>
      </c>
      <c r="Y484" s="7">
        <v>12.9</v>
      </c>
      <c r="Z484" s="7">
        <f>BQ394-Y394-6</f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36"/>
        <v>7.6038979685218813</v>
      </c>
      <c r="AN484" s="33">
        <v>0</v>
      </c>
      <c r="AO484" s="33">
        <v>7.0000000000000001E-3</v>
      </c>
      <c r="AP484" s="33">
        <f t="shared" si="361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62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CY484" s="34" t="s">
        <v>86</v>
      </c>
    </row>
    <row r="485" spans="1:103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57"/>
        <v>6.6063829787234045</v>
      </c>
      <c r="G485" s="7">
        <f t="shared" si="345"/>
        <v>5.27</v>
      </c>
      <c r="H485" s="16">
        <f t="shared" si="346"/>
        <v>7.15</v>
      </c>
      <c r="I485" s="11">
        <f t="shared" si="333"/>
        <v>0.21460560973649845</v>
      </c>
      <c r="J485" s="33">
        <f t="shared" si="334"/>
        <v>3.2484585048680924E-2</v>
      </c>
      <c r="K485" s="33">
        <f t="shared" si="363"/>
        <v>30.783831731309316</v>
      </c>
      <c r="L485" s="33">
        <f t="shared" si="364"/>
        <v>0.18212102468781752</v>
      </c>
      <c r="M485" s="33">
        <f t="shared" si="365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66"/>
        <v>904</v>
      </c>
      <c r="X485" s="9">
        <f t="shared" si="335"/>
        <v>10</v>
      </c>
      <c r="Y485" s="7">
        <v>13.6</v>
      </c>
      <c r="Z485" s="7">
        <f>BQ395-Y395-6</f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36"/>
        <v>7.6038979685218813</v>
      </c>
      <c r="AN485" s="33">
        <v>0</v>
      </c>
      <c r="AO485" s="33">
        <v>5.0000000000000001E-3</v>
      </c>
      <c r="AP485" s="33">
        <f t="shared" si="361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62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CY485" s="34" t="s">
        <v>86</v>
      </c>
    </row>
    <row r="486" spans="1:103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57"/>
        <v>7.1627906976744189</v>
      </c>
      <c r="G486" s="7">
        <f t="shared" si="345"/>
        <v>5.3</v>
      </c>
      <c r="H486" s="16">
        <f t="shared" si="346"/>
        <v>7.0200000000000005</v>
      </c>
      <c r="I486" s="11">
        <f t="shared" si="333"/>
        <v>0.19189297421546586</v>
      </c>
      <c r="J486" s="33">
        <f t="shared" si="334"/>
        <v>2.6790252893717639E-2</v>
      </c>
      <c r="K486" s="33">
        <f t="shared" ref="K486:K489" si="367">IFERROR(1/J486, "X")</f>
        <v>37.327008594028676</v>
      </c>
      <c r="L486" s="33">
        <f t="shared" ref="L486:L489" si="368">IFERROR(I486-J486, "X")</f>
        <v>0.16510272132174822</v>
      </c>
      <c r="M486" s="33">
        <f t="shared" ref="M486:M489" si="369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66"/>
        <v>1342</v>
      </c>
      <c r="X486" s="9">
        <f t="shared" si="335"/>
        <v>10</v>
      </c>
      <c r="Y486" s="7">
        <v>12.9</v>
      </c>
      <c r="Z486" s="7">
        <f>BQ396-Y396-6</f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36"/>
        <v>7.6038979685218813</v>
      </c>
      <c r="AN486" s="33">
        <v>0</v>
      </c>
      <c r="AO486" s="33">
        <v>7.0000000000000001E-3</v>
      </c>
      <c r="AP486" s="33">
        <f t="shared" si="361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62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CY486" s="34" t="s">
        <v>86</v>
      </c>
    </row>
    <row r="487" spans="1:103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57"/>
        <v>4.2153846153846155</v>
      </c>
      <c r="G487" s="7">
        <f t="shared" si="345"/>
        <v>4.1800000000000006</v>
      </c>
      <c r="H487" s="16">
        <f t="shared" si="346"/>
        <v>6.78</v>
      </c>
      <c r="I487" s="11">
        <f t="shared" si="333"/>
        <v>0.13884365792453493</v>
      </c>
      <c r="J487" s="33">
        <f t="shared" si="334"/>
        <v>3.2937364106185293E-2</v>
      </c>
      <c r="K487" s="33">
        <f t="shared" si="367"/>
        <v>30.360656571550315</v>
      </c>
      <c r="L487" s="33">
        <f t="shared" si="368"/>
        <v>0.10590629381834964</v>
      </c>
      <c r="M487" s="33">
        <f t="shared" si="369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66"/>
        <v>904</v>
      </c>
      <c r="X487" s="9">
        <f t="shared" si="335"/>
        <v>10</v>
      </c>
      <c r="Y487" s="7">
        <v>13.6</v>
      </c>
      <c r="Z487" s="7">
        <f>BQ397-Y397-6</f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36"/>
        <v>7.6038979685218813</v>
      </c>
      <c r="AN487" s="33">
        <v>0</v>
      </c>
      <c r="AO487" s="33">
        <v>5.0000000000000001E-3</v>
      </c>
      <c r="AP487" s="33">
        <f t="shared" si="361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62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CY487" s="34" t="s">
        <v>86</v>
      </c>
    </row>
    <row r="488" spans="1:103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57"/>
        <v>5</v>
      </c>
      <c r="G488" s="7">
        <f t="shared" si="345"/>
        <v>4.8</v>
      </c>
      <c r="H488" s="16">
        <f t="shared" si="346"/>
        <v>7.2</v>
      </c>
      <c r="I488" s="11">
        <f t="shared" si="333"/>
        <v>0.16602227504272984</v>
      </c>
      <c r="J488" s="33">
        <f t="shared" si="334"/>
        <v>3.320445500854597E-2</v>
      </c>
      <c r="K488" s="33">
        <f t="shared" si="367"/>
        <v>30.116440692751194</v>
      </c>
      <c r="L488" s="33">
        <f t="shared" si="368"/>
        <v>0.13281782003418388</v>
      </c>
      <c r="M488" s="33">
        <f t="shared" si="369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66"/>
        <v>882</v>
      </c>
      <c r="X488" s="9">
        <f t="shared" si="335"/>
        <v>10</v>
      </c>
      <c r="Y488" s="7">
        <v>13.3</v>
      </c>
      <c r="Z488" s="7">
        <f>BQ398-Y398-6</f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36"/>
        <v>7.6038979685218813</v>
      </c>
      <c r="AN488" s="33">
        <v>0</v>
      </c>
      <c r="AO488" s="33">
        <v>8.0000000000000002E-3</v>
      </c>
      <c r="AP488" s="33">
        <f t="shared" si="361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62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CY488" s="34" t="s">
        <v>86</v>
      </c>
    </row>
    <row r="489" spans="1:103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57"/>
        <v>3.9312499999999999</v>
      </c>
      <c r="G489" s="55">
        <f t="shared" si="345"/>
        <v>4.6899999999999995</v>
      </c>
      <c r="H489" s="56">
        <f t="shared" si="346"/>
        <v>7.8900000000000006</v>
      </c>
      <c r="I489" s="57">
        <f t="shared" si="333"/>
        <v>0.14555646222812504</v>
      </c>
      <c r="J489" s="58">
        <f t="shared" si="334"/>
        <v>3.7025491186804461E-2</v>
      </c>
      <c r="K489" s="58">
        <f t="shared" si="367"/>
        <v>27.008419549512706</v>
      </c>
      <c r="L489" s="58">
        <f t="shared" si="368"/>
        <v>0.10853097104132059</v>
      </c>
      <c r="M489" s="58">
        <f t="shared" si="369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66"/>
        <v>714</v>
      </c>
      <c r="X489" s="60">
        <f t="shared" si="335"/>
        <v>10</v>
      </c>
      <c r="Y489" s="55">
        <v>14</v>
      </c>
      <c r="Z489" s="55">
        <f>BQ399-Y399-6</f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36"/>
        <v>7.6038979685218813</v>
      </c>
      <c r="AN489" s="58">
        <v>0</v>
      </c>
      <c r="AO489" s="58">
        <v>3.0000000000000001E-3</v>
      </c>
      <c r="AP489" s="58">
        <f t="shared" si="361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62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X489" s="52"/>
      <c r="CY489" s="68" t="s">
        <v>86</v>
      </c>
    </row>
    <row r="490" spans="1:103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0">D490/F490</f>
        <v>0.8207705192629815</v>
      </c>
      <c r="F490" s="7">
        <v>17.91</v>
      </c>
      <c r="G490" s="7">
        <f t="shared" ref="G490:G504" si="371">D490-E490</f>
        <v>13.879229480737017</v>
      </c>
      <c r="H490" s="16">
        <f t="shared" ref="H490:H504" si="372">D490+E490</f>
        <v>15.520770519262982</v>
      </c>
      <c r="I490" s="11">
        <f t="shared" si="333"/>
        <v>0.42346601809461165</v>
      </c>
      <c r="J490" s="33">
        <f t="shared" si="334"/>
        <v>2.3644110446376973E-2</v>
      </c>
      <c r="K490" s="33">
        <f t="shared" ref="K490:K504" si="373">IFERROR(1/J490, "X")</f>
        <v>42.2938305193559</v>
      </c>
      <c r="L490" s="33">
        <f t="shared" ref="L490:L504" si="374">IFERROR(I490-J490, "X")</f>
        <v>0.39982190764823466</v>
      </c>
      <c r="M490" s="33">
        <f t="shared" ref="M490:M504" si="375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66"/>
        <v>1468</v>
      </c>
      <c r="X490" s="9">
        <f t="shared" si="335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36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CY490" s="34" t="s">
        <v>86</v>
      </c>
    </row>
    <row r="491" spans="1:103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0"/>
        <v>1.2363869314541962</v>
      </c>
      <c r="F491" s="7">
        <v>15.61</v>
      </c>
      <c r="G491" s="7">
        <f t="shared" si="371"/>
        <v>18.063613068545806</v>
      </c>
      <c r="H491" s="16">
        <f t="shared" si="372"/>
        <v>20.536386931454196</v>
      </c>
      <c r="I491" s="11">
        <f t="shared" si="333"/>
        <v>0.37730504926893033</v>
      </c>
      <c r="J491" s="33">
        <f t="shared" si="334"/>
        <v>2.4170727051180674E-2</v>
      </c>
      <c r="K491" s="33">
        <f t="shared" si="373"/>
        <v>41.372359130221227</v>
      </c>
      <c r="L491" s="33">
        <f t="shared" si="374"/>
        <v>0.35313432221774965</v>
      </c>
      <c r="M491" s="33">
        <f t="shared" si="375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76">U491-V491-1</f>
        <v>1468</v>
      </c>
      <c r="X491" s="9">
        <f t="shared" si="335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36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CY491" s="34" t="s">
        <v>86</v>
      </c>
    </row>
    <row r="492" spans="1:103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0"/>
        <v>0.84074733096085397</v>
      </c>
      <c r="F492" s="7">
        <v>22.48</v>
      </c>
      <c r="G492" s="7">
        <f t="shared" si="371"/>
        <v>18.059252669039143</v>
      </c>
      <c r="H492" s="16">
        <f t="shared" si="372"/>
        <v>19.740747330960854</v>
      </c>
      <c r="I492" s="11">
        <f t="shared" si="333"/>
        <v>0.50605090150970966</v>
      </c>
      <c r="J492" s="33">
        <f t="shared" si="334"/>
        <v>2.2511161099186373E-2</v>
      </c>
      <c r="K492" s="33">
        <f t="shared" si="373"/>
        <v>44.42240875954387</v>
      </c>
      <c r="L492" s="33">
        <f t="shared" si="374"/>
        <v>0.48353974041052328</v>
      </c>
      <c r="M492" s="33">
        <f t="shared" si="375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76"/>
        <v>1468</v>
      </c>
      <c r="X492" s="9">
        <f t="shared" si="335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36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77">1-AW492</f>
        <v>0.63200000000000001</v>
      </c>
      <c r="AW492" s="40">
        <v>0.36799999999999999</v>
      </c>
      <c r="AX492" s="39">
        <f t="shared" ref="AX492:AX501" si="378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CY492" s="34" t="s">
        <v>86</v>
      </c>
    </row>
    <row r="493" spans="1:103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0"/>
        <v>0.58800773694390707</v>
      </c>
      <c r="F493" s="7">
        <v>25.85</v>
      </c>
      <c r="G493" s="7">
        <f t="shared" si="371"/>
        <v>14.611992263056091</v>
      </c>
      <c r="H493" s="16">
        <f t="shared" si="372"/>
        <v>15.788007736943907</v>
      </c>
      <c r="I493" s="11">
        <f t="shared" si="333"/>
        <v>0.55929032276646651</v>
      </c>
      <c r="J493" s="33">
        <f t="shared" si="334"/>
        <v>2.1635989275298514E-2</v>
      </c>
      <c r="K493" s="33">
        <f t="shared" si="373"/>
        <v>46.219287099651368</v>
      </c>
      <c r="L493" s="33">
        <f t="shared" si="374"/>
        <v>0.53765433349116798</v>
      </c>
      <c r="M493" s="33">
        <f t="shared" si="375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76"/>
        <v>1468</v>
      </c>
      <c r="X493" s="9">
        <f t="shared" si="335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36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77"/>
        <v>0.63200000000000001</v>
      </c>
      <c r="AW493" s="40">
        <v>0.36799999999999999</v>
      </c>
      <c r="AX493" s="39">
        <f t="shared" si="378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CY493" s="34" t="s">
        <v>86</v>
      </c>
    </row>
    <row r="494" spans="1:103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0"/>
        <v>0.57318806252960686</v>
      </c>
      <c r="F494" s="7">
        <v>21.11</v>
      </c>
      <c r="G494" s="7">
        <f t="shared" si="371"/>
        <v>11.526811937470393</v>
      </c>
      <c r="H494" s="16">
        <f t="shared" si="372"/>
        <v>12.673188062529606</v>
      </c>
      <c r="I494" s="11">
        <f t="shared" si="333"/>
        <v>0.48256854443850716</v>
      </c>
      <c r="J494" s="33">
        <f t="shared" si="334"/>
        <v>2.2859713142515736E-2</v>
      </c>
      <c r="K494" s="33">
        <f t="shared" si="373"/>
        <v>43.745080866309983</v>
      </c>
      <c r="L494" s="33">
        <f t="shared" si="374"/>
        <v>0.45970883129599144</v>
      </c>
      <c r="M494" s="33">
        <f t="shared" si="375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76"/>
        <v>1468</v>
      </c>
      <c r="X494" s="9">
        <f t="shared" si="335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36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77"/>
        <v>0.63200000000000001</v>
      </c>
      <c r="AW494" s="40">
        <v>0.36799999999999999</v>
      </c>
      <c r="AX494" s="39">
        <f t="shared" si="378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CY494" s="34" t="s">
        <v>86</v>
      </c>
    </row>
    <row r="495" spans="1:103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0"/>
        <v>1.0976837865055389</v>
      </c>
      <c r="F495" s="7">
        <v>9.93</v>
      </c>
      <c r="G495" s="7">
        <f t="shared" si="371"/>
        <v>9.8023162134944606</v>
      </c>
      <c r="H495" s="16">
        <f t="shared" si="372"/>
        <v>11.99768378650554</v>
      </c>
      <c r="I495" s="11">
        <f t="shared" si="333"/>
        <v>0.25088200291266882</v>
      </c>
      <c r="J495" s="33">
        <f t="shared" si="334"/>
        <v>2.5265055681034123E-2</v>
      </c>
      <c r="K495" s="33">
        <f t="shared" si="373"/>
        <v>39.580360028680886</v>
      </c>
      <c r="L495" s="33">
        <f t="shared" si="374"/>
        <v>0.2256169472316347</v>
      </c>
      <c r="M495" s="33">
        <f t="shared" si="375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76"/>
        <v>1468</v>
      </c>
      <c r="X495" s="9">
        <f t="shared" si="335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36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77"/>
        <v>0.63200000000000001</v>
      </c>
      <c r="AW495" s="40">
        <v>0.36799999999999999</v>
      </c>
      <c r="AX495" s="39">
        <f t="shared" si="378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CY495" s="34" t="s">
        <v>86</v>
      </c>
    </row>
    <row r="496" spans="1:103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0"/>
        <v>3.3171912832929782</v>
      </c>
      <c r="F496" s="7">
        <v>4.13</v>
      </c>
      <c r="G496" s="7">
        <f t="shared" si="371"/>
        <v>10.382808716707022</v>
      </c>
      <c r="H496" s="16">
        <f t="shared" si="372"/>
        <v>17.017191283292977</v>
      </c>
      <c r="I496" s="11">
        <f t="shared" si="333"/>
        <v>0.10717130145140812</v>
      </c>
      <c r="J496" s="33">
        <f t="shared" si="334"/>
        <v>2.5949467663779209E-2</v>
      </c>
      <c r="K496" s="33">
        <f t="shared" si="373"/>
        <v>38.536436005422189</v>
      </c>
      <c r="L496" s="33">
        <f t="shared" si="374"/>
        <v>8.12218337876289E-2</v>
      </c>
      <c r="M496" s="33">
        <f t="shared" si="375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76"/>
        <v>1468</v>
      </c>
      <c r="X496" s="9">
        <f t="shared" si="335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36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77"/>
        <v>0.63200000000000001</v>
      </c>
      <c r="AW496" s="40">
        <v>0.36799999999999999</v>
      </c>
      <c r="AX496" s="39">
        <f t="shared" si="378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CY496" s="34" t="s">
        <v>86</v>
      </c>
    </row>
    <row r="497" spans="1:103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0"/>
        <v>5.25</v>
      </c>
      <c r="F497" s="7">
        <v>2.4</v>
      </c>
      <c r="G497" s="7">
        <f t="shared" si="371"/>
        <v>7.35</v>
      </c>
      <c r="H497" s="16">
        <f t="shared" si="372"/>
        <v>17.850000000000001</v>
      </c>
      <c r="I497" s="11">
        <f t="shared" si="333"/>
        <v>6.2516961111875644E-2</v>
      </c>
      <c r="J497" s="33">
        <f t="shared" si="334"/>
        <v>2.6048733796614851E-2</v>
      </c>
      <c r="K497" s="33">
        <f t="shared" si="373"/>
        <v>38.389581920099104</v>
      </c>
      <c r="L497" s="33">
        <f t="shared" si="374"/>
        <v>3.6468227315260796E-2</v>
      </c>
      <c r="M497" s="33">
        <f t="shared" si="375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76"/>
        <v>1468</v>
      </c>
      <c r="X497" s="9">
        <f t="shared" si="335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36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77"/>
        <v>0.63200000000000001</v>
      </c>
      <c r="AW497" s="40">
        <v>0.36799999999999999</v>
      </c>
      <c r="AX497" s="39">
        <f t="shared" si="378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CY497" s="34" t="s">
        <v>86</v>
      </c>
    </row>
    <row r="498" spans="1:103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0"/>
        <v>2.5000000000000004</v>
      </c>
      <c r="F498" s="7">
        <v>7.84</v>
      </c>
      <c r="G498" s="7">
        <f t="shared" si="371"/>
        <v>17.100000000000001</v>
      </c>
      <c r="H498" s="16">
        <f t="shared" si="372"/>
        <v>22.1</v>
      </c>
      <c r="I498" s="11">
        <f t="shared" si="333"/>
        <v>0.20046853007196822</v>
      </c>
      <c r="J498" s="33">
        <f t="shared" si="334"/>
        <v>2.5569965570404109E-2</v>
      </c>
      <c r="K498" s="33">
        <f t="shared" si="373"/>
        <v>39.108382733117459</v>
      </c>
      <c r="L498" s="33">
        <f t="shared" si="374"/>
        <v>0.1748985645015641</v>
      </c>
      <c r="M498" s="33">
        <f t="shared" si="375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76"/>
        <v>1468</v>
      </c>
      <c r="X498" s="9">
        <f t="shared" si="335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36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77"/>
        <v>0.63200000000000001</v>
      </c>
      <c r="AW498" s="40">
        <v>0.36799999999999999</v>
      </c>
      <c r="AX498" s="39">
        <f t="shared" si="378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CY498" s="34" t="s">
        <v>86</v>
      </c>
    </row>
    <row r="499" spans="1:103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0"/>
        <v>2.4281984334203655</v>
      </c>
      <c r="F499" s="7">
        <v>7.66</v>
      </c>
      <c r="G499" s="7">
        <f t="shared" si="371"/>
        <v>16.171801566579635</v>
      </c>
      <c r="H499" s="16">
        <f t="shared" si="372"/>
        <v>21.028198433420368</v>
      </c>
      <c r="I499" s="11">
        <f t="shared" si="333"/>
        <v>0.19604482709698576</v>
      </c>
      <c r="J499" s="33">
        <f t="shared" si="334"/>
        <v>2.5593319464358451E-2</v>
      </c>
      <c r="K499" s="33">
        <f t="shared" si="373"/>
        <v>39.072696349241113</v>
      </c>
      <c r="L499" s="33">
        <f t="shared" si="374"/>
        <v>0.17045150763262731</v>
      </c>
      <c r="M499" s="33">
        <f t="shared" si="375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76"/>
        <v>1468</v>
      </c>
      <c r="X499" s="9">
        <f t="shared" si="335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36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77"/>
        <v>0.63200000000000001</v>
      </c>
      <c r="AW499" s="40">
        <v>0.36799999999999999</v>
      </c>
      <c r="AX499" s="39">
        <f t="shared" si="378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CY499" s="34" t="s">
        <v>86</v>
      </c>
    </row>
    <row r="500" spans="1:103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0"/>
        <v>1.9814814814814812</v>
      </c>
      <c r="F500" s="7">
        <v>5.4</v>
      </c>
      <c r="G500" s="7">
        <f t="shared" si="371"/>
        <v>8.7185185185185183</v>
      </c>
      <c r="H500" s="16">
        <f t="shared" si="372"/>
        <v>12.68148148148148</v>
      </c>
      <c r="I500" s="11">
        <f t="shared" si="333"/>
        <v>0.13955957945972247</v>
      </c>
      <c r="J500" s="33">
        <f t="shared" si="334"/>
        <v>2.5844366566615273E-2</v>
      </c>
      <c r="K500" s="33">
        <f t="shared" si="373"/>
        <v>38.693151848873725</v>
      </c>
      <c r="L500" s="33">
        <f t="shared" si="374"/>
        <v>0.1137152128931072</v>
      </c>
      <c r="M500" s="33">
        <f t="shared" si="375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76"/>
        <v>1468</v>
      </c>
      <c r="X500" s="9">
        <f t="shared" si="335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36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77"/>
        <v>0.63200000000000001</v>
      </c>
      <c r="AW500" s="40">
        <v>0.36799999999999999</v>
      </c>
      <c r="AX500" s="39">
        <f t="shared" si="378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CY500" s="34" t="s">
        <v>86</v>
      </c>
    </row>
    <row r="501" spans="1:103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0"/>
        <v>4.7179487179487181</v>
      </c>
      <c r="F501" s="55">
        <v>1.95</v>
      </c>
      <c r="G501" s="55">
        <f t="shared" si="371"/>
        <v>4.4820512820512812</v>
      </c>
      <c r="H501" s="56">
        <f t="shared" si="372"/>
        <v>13.917948717948718</v>
      </c>
      <c r="I501" s="57">
        <f t="shared" si="333"/>
        <v>5.0828798421125441E-2</v>
      </c>
      <c r="J501" s="58">
        <f t="shared" si="334"/>
        <v>2.606605047237202E-2</v>
      </c>
      <c r="K501" s="58">
        <f t="shared" si="373"/>
        <v>38.36407825036332</v>
      </c>
      <c r="L501" s="58">
        <f t="shared" si="374"/>
        <v>2.4762747948753421E-2</v>
      </c>
      <c r="M501" s="58">
        <f t="shared" si="375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76"/>
        <v>1468</v>
      </c>
      <c r="X501" s="60">
        <f t="shared" si="335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36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77"/>
        <v>0.63200000000000001</v>
      </c>
      <c r="AW501" s="67">
        <v>0.36799999999999999</v>
      </c>
      <c r="AX501" s="69">
        <f t="shared" si="378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X501" s="52"/>
      <c r="CY501" s="68" t="s">
        <v>86</v>
      </c>
    </row>
    <row r="502" spans="1:103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0"/>
        <v>0.83776595744680848</v>
      </c>
      <c r="F502" s="7">
        <v>7.52</v>
      </c>
      <c r="G502" s="7">
        <f t="shared" si="371"/>
        <v>5.4622340425531917</v>
      </c>
      <c r="H502" s="16">
        <f t="shared" si="372"/>
        <v>7.137765957446808</v>
      </c>
      <c r="I502" s="11">
        <f t="shared" si="333"/>
        <v>0.22951264688149664</v>
      </c>
      <c r="J502" s="33">
        <f t="shared" si="334"/>
        <v>3.0520298787433064E-2</v>
      </c>
      <c r="K502" s="33">
        <f t="shared" si="373"/>
        <v>32.765078971368283</v>
      </c>
      <c r="L502" s="33">
        <f t="shared" si="374"/>
        <v>0.19899234809406358</v>
      </c>
      <c r="M502" s="33">
        <f t="shared" si="375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76"/>
        <v>1017</v>
      </c>
      <c r="X502" s="9">
        <f t="shared" si="335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36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CY502" s="34" t="s">
        <v>86</v>
      </c>
    </row>
    <row r="503" spans="1:103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0"/>
        <v>0.8276797829036634</v>
      </c>
      <c r="F503" s="7">
        <v>7.37</v>
      </c>
      <c r="G503" s="7">
        <f t="shared" si="371"/>
        <v>5.2723202170963361</v>
      </c>
      <c r="H503" s="16">
        <f t="shared" si="372"/>
        <v>6.9276797829036632</v>
      </c>
      <c r="I503" s="11">
        <f t="shared" si="333"/>
        <v>0.2252741171820597</v>
      </c>
      <c r="J503" s="33">
        <f t="shared" si="334"/>
        <v>3.0566365967715021E-2</v>
      </c>
      <c r="K503" s="33">
        <f t="shared" si="373"/>
        <v>32.715698066830242</v>
      </c>
      <c r="L503" s="33">
        <f t="shared" si="374"/>
        <v>0.19470775121434467</v>
      </c>
      <c r="M503" s="33">
        <f t="shared" si="375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76"/>
        <v>1016</v>
      </c>
      <c r="X503" s="9">
        <f t="shared" si="335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36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CY503" s="34" t="s">
        <v>86</v>
      </c>
    </row>
    <row r="504" spans="1:103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0"/>
        <v>0.8904109589041096</v>
      </c>
      <c r="F504" s="7">
        <v>7.3</v>
      </c>
      <c r="G504" s="7">
        <f t="shared" si="371"/>
        <v>5.6095890410958908</v>
      </c>
      <c r="H504" s="16">
        <f t="shared" si="372"/>
        <v>7.3904109589041092</v>
      </c>
      <c r="I504" s="11">
        <f t="shared" si="333"/>
        <v>0.22742757354036125</v>
      </c>
      <c r="J504" s="33">
        <f t="shared" si="334"/>
        <v>3.1154462128816611E-2</v>
      </c>
      <c r="K504" s="33">
        <f t="shared" si="373"/>
        <v>32.098130786698469</v>
      </c>
      <c r="L504" s="33">
        <f t="shared" si="374"/>
        <v>0.19627311141154463</v>
      </c>
      <c r="M504" s="33">
        <f t="shared" si="375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76"/>
        <v>977</v>
      </c>
      <c r="X504" s="9">
        <f t="shared" si="335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36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CY504" s="34" t="s">
        <v>86</v>
      </c>
    </row>
    <row r="505" spans="1:103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79">D505-E505</f>
        <v>5.5316146540027145</v>
      </c>
      <c r="H505" s="16">
        <f t="shared" ref="H505:H517" si="380">D505+E505</f>
        <v>7.2683853459972863</v>
      </c>
      <c r="I505" s="11">
        <f t="shared" si="333"/>
        <v>0.12618462893964844</v>
      </c>
      <c r="J505" s="33">
        <f t="shared" si="334"/>
        <v>1.7121387915827468E-2</v>
      </c>
      <c r="K505" s="33">
        <f t="shared" ref="K505:K517" si="381">IFERROR(1/J505, "X")</f>
        <v>58.406479948718022</v>
      </c>
      <c r="L505" s="33">
        <f t="shared" ref="L505:L517" si="382">IFERROR(I505-J505, "X")</f>
        <v>0.10906324102382096</v>
      </c>
      <c r="M505" s="33">
        <f t="shared" ref="M505:M517" si="383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76"/>
        <v>3357</v>
      </c>
      <c r="X505" s="9">
        <f t="shared" si="335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36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CY505" s="34" t="s">
        <v>86</v>
      </c>
    </row>
    <row r="506" spans="1:103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84">D506/F506</f>
        <v>1.4625850340136055</v>
      </c>
      <c r="F506" s="7">
        <v>2.94</v>
      </c>
      <c r="G506" s="7">
        <f t="shared" si="379"/>
        <v>2.8374149659863943</v>
      </c>
      <c r="H506" s="16">
        <f t="shared" si="380"/>
        <v>5.7625850340136058</v>
      </c>
      <c r="I506" s="11">
        <f t="shared" si="333"/>
        <v>5.0677276605177769E-2</v>
      </c>
      <c r="J506" s="33">
        <f t="shared" si="334"/>
        <v>1.7237168913325773E-2</v>
      </c>
      <c r="K506" s="33">
        <f t="shared" si="381"/>
        <v>58.014167235253836</v>
      </c>
      <c r="L506" s="33">
        <f t="shared" si="382"/>
        <v>3.3440107691851996E-2</v>
      </c>
      <c r="M506" s="33">
        <f t="shared" si="383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76"/>
        <v>3357</v>
      </c>
      <c r="X506" s="9">
        <f t="shared" si="335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36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CY506" s="34" t="s">
        <v>86</v>
      </c>
    </row>
    <row r="507" spans="1:103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84"/>
        <v>1.1854103343465046</v>
      </c>
      <c r="F507" s="7">
        <v>6.58</v>
      </c>
      <c r="G507" s="7">
        <f t="shared" si="379"/>
        <v>6.6145896656534955</v>
      </c>
      <c r="H507" s="16">
        <f t="shared" si="380"/>
        <v>8.9854103343465042</v>
      </c>
      <c r="I507" s="11">
        <f t="shared" si="333"/>
        <v>0.112841150584339</v>
      </c>
      <c r="J507" s="33">
        <f t="shared" si="334"/>
        <v>1.714911103105456E-2</v>
      </c>
      <c r="K507" s="33">
        <f t="shared" si="381"/>
        <v>58.3120605020951</v>
      </c>
      <c r="L507" s="33">
        <f t="shared" si="382"/>
        <v>9.5692039553284439E-2</v>
      </c>
      <c r="M507" s="33">
        <f t="shared" si="383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76"/>
        <v>3357</v>
      </c>
      <c r="X507" s="9">
        <f t="shared" si="335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36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CY507" s="34" t="s">
        <v>86</v>
      </c>
    </row>
    <row r="508" spans="1:103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84"/>
        <v>1.2804878048780488</v>
      </c>
      <c r="F508" s="7">
        <v>8.1999999999999993</v>
      </c>
      <c r="G508" s="7">
        <f t="shared" si="379"/>
        <v>9.2195121951219505</v>
      </c>
      <c r="H508" s="16">
        <f t="shared" si="380"/>
        <v>11.780487804878049</v>
      </c>
      <c r="I508" s="11">
        <f t="shared" si="333"/>
        <v>0.20660483785702163</v>
      </c>
      <c r="J508" s="33">
        <f t="shared" si="334"/>
        <v>2.5195711933783126E-2</v>
      </c>
      <c r="K508" s="33">
        <f t="shared" si="381"/>
        <v>39.689293266572541</v>
      </c>
      <c r="L508" s="33">
        <f t="shared" si="382"/>
        <v>0.18140912592323852</v>
      </c>
      <c r="M508" s="33">
        <f t="shared" si="383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76"/>
        <v>1508</v>
      </c>
      <c r="X508" s="9">
        <f t="shared" si="335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36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CY508" s="34" t="s">
        <v>86</v>
      </c>
    </row>
    <row r="509" spans="1:103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84"/>
        <v>2.8253968253968256</v>
      </c>
      <c r="F509" s="7">
        <v>3.15</v>
      </c>
      <c r="G509" s="7">
        <f t="shared" si="379"/>
        <v>6.0746031746031743</v>
      </c>
      <c r="H509" s="16">
        <f t="shared" si="380"/>
        <v>11.725396825396826</v>
      </c>
      <c r="I509" s="11">
        <f t="shared" si="333"/>
        <v>8.0851066780717365E-2</v>
      </c>
      <c r="J509" s="33">
        <f t="shared" si="334"/>
        <v>2.5667005327211861E-2</v>
      </c>
      <c r="K509" s="33">
        <f t="shared" si="381"/>
        <v>38.960524893794741</v>
      </c>
      <c r="L509" s="33">
        <f t="shared" si="382"/>
        <v>5.5184061453505504E-2</v>
      </c>
      <c r="M509" s="33">
        <f t="shared" si="383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76"/>
        <v>1508</v>
      </c>
      <c r="X509" s="9">
        <f t="shared" si="335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36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CY509" s="34" t="s">
        <v>86</v>
      </c>
    </row>
    <row r="510" spans="1:103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84"/>
        <v>1.4516129032258063</v>
      </c>
      <c r="F510" s="7">
        <v>8.06</v>
      </c>
      <c r="G510" s="7">
        <f t="shared" si="379"/>
        <v>10.248387096774193</v>
      </c>
      <c r="H510" s="16">
        <f t="shared" si="380"/>
        <v>13.151612903225805</v>
      </c>
      <c r="I510" s="11">
        <f t="shared" si="333"/>
        <v>0.20322433235021214</v>
      </c>
      <c r="J510" s="33">
        <f t="shared" si="334"/>
        <v>2.5213937016155347E-2</v>
      </c>
      <c r="K510" s="33">
        <f t="shared" si="381"/>
        <v>39.66060513910498</v>
      </c>
      <c r="L510" s="33">
        <f t="shared" si="382"/>
        <v>0.1780103953340568</v>
      </c>
      <c r="M510" s="33">
        <f t="shared" si="383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76"/>
        <v>1508</v>
      </c>
      <c r="X510" s="9">
        <f t="shared" si="335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36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CY510" s="34" t="s">
        <v>86</v>
      </c>
    </row>
    <row r="511" spans="1:103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84"/>
        <v>1.5025906735751295</v>
      </c>
      <c r="F511" s="7">
        <v>1.93</v>
      </c>
      <c r="G511" s="7">
        <f t="shared" si="379"/>
        <v>1.3974093264248704</v>
      </c>
      <c r="H511" s="16">
        <f t="shared" si="380"/>
        <v>4.4025906735751299</v>
      </c>
      <c r="I511" s="11">
        <f t="shared" si="333"/>
        <v>4.4245520473194209E-2</v>
      </c>
      <c r="J511" s="33">
        <f t="shared" si="334"/>
        <v>2.2925140141551403E-2</v>
      </c>
      <c r="K511" s="33">
        <f t="shared" si="381"/>
        <v>43.620234983319385</v>
      </c>
      <c r="L511" s="33">
        <f t="shared" si="382"/>
        <v>2.1320380331642807E-2</v>
      </c>
      <c r="M511" s="33">
        <f t="shared" si="383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76"/>
        <v>1899</v>
      </c>
      <c r="X511" s="9">
        <f t="shared" si="335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36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CY511" s="34" t="s">
        <v>86</v>
      </c>
    </row>
    <row r="512" spans="1:103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84"/>
        <v>1.8978102189781021</v>
      </c>
      <c r="F512" s="7">
        <v>1.37</v>
      </c>
      <c r="G512" s="7">
        <f t="shared" si="379"/>
        <v>0.702189781021898</v>
      </c>
      <c r="H512" s="16">
        <f t="shared" si="380"/>
        <v>4.4978102189781026</v>
      </c>
      <c r="I512" s="11">
        <f t="shared" si="333"/>
        <v>3.1422705174053607E-2</v>
      </c>
      <c r="J512" s="33">
        <f t="shared" si="334"/>
        <v>2.2936281148944235E-2</v>
      </c>
      <c r="K512" s="33">
        <f t="shared" si="381"/>
        <v>43.599047007933557</v>
      </c>
      <c r="L512" s="33">
        <f t="shared" si="382"/>
        <v>8.4864240251093723E-3</v>
      </c>
      <c r="M512" s="33">
        <f t="shared" si="383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76"/>
        <v>1899</v>
      </c>
      <c r="X512" s="9">
        <f t="shared" si="335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36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CY512" s="34" t="s">
        <v>86</v>
      </c>
    </row>
    <row r="513" spans="1:103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84"/>
        <v>3.8461538461538458</v>
      </c>
      <c r="F513" s="7">
        <v>-0.26</v>
      </c>
      <c r="G513" s="7">
        <f t="shared" si="379"/>
        <v>-4.8461538461538458</v>
      </c>
      <c r="H513" s="16">
        <f t="shared" si="380"/>
        <v>2.8461538461538458</v>
      </c>
      <c r="I513" s="11">
        <f t="shared" si="333"/>
        <v>-5.966273195313905E-3</v>
      </c>
      <c r="J513" s="33">
        <f t="shared" si="334"/>
        <v>2.294720459736117E-2</v>
      </c>
      <c r="K513" s="33">
        <f t="shared" si="381"/>
        <v>43.578292761419654</v>
      </c>
      <c r="L513" s="33">
        <f t="shared" si="382"/>
        <v>-2.8913477792675075E-2</v>
      </c>
      <c r="M513" s="33">
        <f t="shared" si="383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76"/>
        <v>1899</v>
      </c>
      <c r="X513" s="9">
        <f t="shared" si="335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36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CY513" s="34" t="s">
        <v>86</v>
      </c>
    </row>
    <row r="514" spans="1:103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84"/>
        <v>1.9509754877438719</v>
      </c>
      <c r="F514" s="7">
        <v>1.9990000000000001</v>
      </c>
      <c r="G514" s="7">
        <f t="shared" si="379"/>
        <v>1.949024512256128</v>
      </c>
      <c r="H514" s="16">
        <f t="shared" si="380"/>
        <v>5.850975487743872</v>
      </c>
      <c r="I514" s="11">
        <f t="shared" ref="I514:I577" si="385">IFERROR(F514/SQRT(F514^2+W514), "X")</f>
        <v>6.2621945271200061E-2</v>
      </c>
      <c r="J514" s="33">
        <f t="shared" ref="J514:J577" si="386">IFERROR(SQRT((1-I514^2)/W514), "X")</f>
        <v>3.132663595357682E-2</v>
      </c>
      <c r="K514" s="33">
        <f t="shared" si="381"/>
        <v>31.921716761477601</v>
      </c>
      <c r="L514" s="33">
        <f t="shared" si="382"/>
        <v>3.1295309317623241E-2</v>
      </c>
      <c r="M514" s="33">
        <f t="shared" si="383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76"/>
        <v>1015</v>
      </c>
      <c r="X514" s="9">
        <f t="shared" si="335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36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CY514" s="34" t="s">
        <v>86</v>
      </c>
    </row>
    <row r="515" spans="1:103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84"/>
        <v>1.1297709923664123</v>
      </c>
      <c r="F515" s="7">
        <v>6.55</v>
      </c>
      <c r="G515" s="7">
        <f t="shared" si="379"/>
        <v>6.2702290076335885</v>
      </c>
      <c r="H515" s="16">
        <f t="shared" si="380"/>
        <v>8.5297709923664122</v>
      </c>
      <c r="I515" s="11">
        <f t="shared" si="385"/>
        <v>0.20138099312014243</v>
      </c>
      <c r="J515" s="33">
        <f t="shared" si="386"/>
        <v>3.0745189789334722E-2</v>
      </c>
      <c r="K515" s="33">
        <f t="shared" si="381"/>
        <v>32.52541314111167</v>
      </c>
      <c r="L515" s="33">
        <f t="shared" si="382"/>
        <v>0.17063580333080772</v>
      </c>
      <c r="M515" s="33">
        <f t="shared" si="383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76"/>
        <v>1015</v>
      </c>
      <c r="X515" s="9">
        <f t="shared" ref="X515:X578" si="387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88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CY515" s="34" t="s">
        <v>86</v>
      </c>
    </row>
    <row r="516" spans="1:103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84"/>
        <v>3.333333333333333</v>
      </c>
      <c r="F516" s="7">
        <v>1.8</v>
      </c>
      <c r="G516" s="7">
        <f t="shared" si="379"/>
        <v>2.666666666666667</v>
      </c>
      <c r="H516" s="16">
        <f t="shared" si="380"/>
        <v>9.3333333333333321</v>
      </c>
      <c r="I516" s="11">
        <f t="shared" si="385"/>
        <v>6.9683742661882223E-2</v>
      </c>
      <c r="J516" s="33">
        <f t="shared" si="386"/>
        <v>3.8713190367712341E-2</v>
      </c>
      <c r="K516" s="33">
        <f t="shared" si="381"/>
        <v>25.830989140952386</v>
      </c>
      <c r="L516" s="33">
        <f t="shared" si="382"/>
        <v>3.0970552294169881E-2</v>
      </c>
      <c r="M516" s="33">
        <f t="shared" si="383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76"/>
        <v>664</v>
      </c>
      <c r="X516" s="9">
        <f t="shared" si="387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88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CY516" s="34" t="s">
        <v>86</v>
      </c>
    </row>
    <row r="517" spans="1:103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84"/>
        <v>1.4631043256997456</v>
      </c>
      <c r="F517" s="55">
        <v>7.86</v>
      </c>
      <c r="G517" s="55">
        <f t="shared" si="379"/>
        <v>10.036895674300254</v>
      </c>
      <c r="H517" s="56">
        <f t="shared" si="380"/>
        <v>12.963104325699746</v>
      </c>
      <c r="I517" s="57">
        <f t="shared" si="385"/>
        <v>0.29175624950447748</v>
      </c>
      <c r="J517" s="58">
        <f t="shared" si="386"/>
        <v>3.7119115713037845E-2</v>
      </c>
      <c r="K517" s="58">
        <f t="shared" si="381"/>
        <v>26.940296954562324</v>
      </c>
      <c r="L517" s="58">
        <f t="shared" si="382"/>
        <v>0.25463713379143965</v>
      </c>
      <c r="M517" s="58">
        <f t="shared" si="383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76"/>
        <v>664</v>
      </c>
      <c r="X517" s="60">
        <f t="shared" si="387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88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X517" s="52"/>
      <c r="CY517" s="68" t="s">
        <v>86</v>
      </c>
    </row>
    <row r="518" spans="1:103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89">D518-E518</f>
        <v>6.23</v>
      </c>
      <c r="H518" s="16">
        <f t="shared" ref="H518:H523" si="390">D518+E518</f>
        <v>7.01</v>
      </c>
      <c r="I518" s="11">
        <f t="shared" si="385"/>
        <v>0.7442826674266283</v>
      </c>
      <c r="J518" s="33">
        <f t="shared" si="386"/>
        <v>4.3847468322716771E-2</v>
      </c>
      <c r="K518" s="33">
        <f t="shared" ref="K518:K523" si="391">IFERROR(1/J518, "X")</f>
        <v>22.806333826163318</v>
      </c>
      <c r="L518" s="33">
        <f t="shared" ref="L518:L523" si="392">IFERROR(I518-J518, "X")</f>
        <v>0.7004351991039115</v>
      </c>
      <c r="M518" s="33">
        <f t="shared" ref="M518:M523" si="393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76"/>
        <v>232</v>
      </c>
      <c r="X518" s="9">
        <f t="shared" si="387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88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CY518" s="34" t="s">
        <v>86</v>
      </c>
    </row>
    <row r="519" spans="1:103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394">D519/E519</f>
        <v>8.9819819819819813</v>
      </c>
      <c r="G519" s="7">
        <f t="shared" si="389"/>
        <v>8.8600000000000012</v>
      </c>
      <c r="H519" s="16">
        <f t="shared" si="390"/>
        <v>11.08</v>
      </c>
      <c r="I519" s="11">
        <f t="shared" si="385"/>
        <v>0.51040909554348857</v>
      </c>
      <c r="J519" s="33">
        <f t="shared" si="386"/>
        <v>5.6825887267128616E-2</v>
      </c>
      <c r="K519" s="33">
        <f t="shared" si="391"/>
        <v>17.597613483783789</v>
      </c>
      <c r="L519" s="33">
        <f t="shared" si="392"/>
        <v>0.45358320827635995</v>
      </c>
      <c r="M519" s="33">
        <f t="shared" si="393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76"/>
        <v>229</v>
      </c>
      <c r="X519" s="9">
        <f t="shared" si="387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88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395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CY519" s="34" t="s">
        <v>86</v>
      </c>
    </row>
    <row r="520" spans="1:103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394"/>
        <v>8.5373134328358198</v>
      </c>
      <c r="G520" s="7">
        <f t="shared" si="389"/>
        <v>5.05</v>
      </c>
      <c r="H520" s="16">
        <f t="shared" si="390"/>
        <v>6.39</v>
      </c>
      <c r="I520" s="11">
        <f t="shared" si="385"/>
        <v>0.49217600558469293</v>
      </c>
      <c r="J520" s="33">
        <f t="shared" si="386"/>
        <v>5.7649986668137115E-2</v>
      </c>
      <c r="K520" s="33">
        <f t="shared" si="391"/>
        <v>17.346057784132938</v>
      </c>
      <c r="L520" s="33">
        <f t="shared" si="392"/>
        <v>0.43452601891655585</v>
      </c>
      <c r="M520" s="33">
        <f t="shared" si="393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76"/>
        <v>228</v>
      </c>
      <c r="X520" s="9">
        <f t="shared" si="387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88"/>
        <v>7.6093665379542115</v>
      </c>
      <c r="AN520" s="33">
        <v>0</v>
      </c>
      <c r="AO520" s="33">
        <v>0</v>
      </c>
      <c r="AP520" s="33">
        <v>0.185</v>
      </c>
      <c r="AQ520" s="43">
        <f t="shared" si="395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CY520" s="34" t="s">
        <v>86</v>
      </c>
    </row>
    <row r="521" spans="1:103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394"/>
        <v>7.5428571428571436</v>
      </c>
      <c r="G521" s="7">
        <f t="shared" si="389"/>
        <v>4.58</v>
      </c>
      <c r="H521" s="16">
        <f t="shared" si="390"/>
        <v>5.98</v>
      </c>
      <c r="I521" s="11">
        <f t="shared" si="385"/>
        <v>0.44688286452391052</v>
      </c>
      <c r="J521" s="33">
        <f t="shared" si="386"/>
        <v>5.924583431188208E-2</v>
      </c>
      <c r="K521" s="33">
        <f t="shared" si="391"/>
        <v>16.87882382980375</v>
      </c>
      <c r="L521" s="33">
        <f t="shared" si="392"/>
        <v>0.38763703021202844</v>
      </c>
      <c r="M521" s="33">
        <f t="shared" si="393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76"/>
        <v>228</v>
      </c>
      <c r="X521" s="9">
        <f t="shared" si="387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88"/>
        <v>7.6093665379542115</v>
      </c>
      <c r="AN521" s="33">
        <v>0</v>
      </c>
      <c r="AO521" s="33">
        <v>0</v>
      </c>
      <c r="AP521" s="33">
        <v>0.185</v>
      </c>
      <c r="AQ521" s="43">
        <f t="shared" si="395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CY521" s="34" t="s">
        <v>86</v>
      </c>
    </row>
    <row r="522" spans="1:103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394"/>
        <v>6.4676258992805762</v>
      </c>
      <c r="G522" s="7">
        <f t="shared" si="389"/>
        <v>7.6000000000000005</v>
      </c>
      <c r="H522" s="16">
        <f t="shared" si="390"/>
        <v>10.38</v>
      </c>
      <c r="I522" s="11">
        <f t="shared" si="385"/>
        <v>0.39373101472301469</v>
      </c>
      <c r="J522" s="33">
        <f t="shared" si="386"/>
        <v>6.0877209172968898E-2</v>
      </c>
      <c r="K522" s="33">
        <f t="shared" si="391"/>
        <v>16.426508599609502</v>
      </c>
      <c r="L522" s="33">
        <f t="shared" si="392"/>
        <v>0.33285380555004579</v>
      </c>
      <c r="M522" s="33">
        <f t="shared" si="393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76"/>
        <v>228</v>
      </c>
      <c r="X522" s="9">
        <f t="shared" si="387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88"/>
        <v>7.6093665379542115</v>
      </c>
      <c r="AN522" s="33">
        <v>0</v>
      </c>
      <c r="AO522" s="33">
        <v>0</v>
      </c>
      <c r="AP522" s="33">
        <v>0.185</v>
      </c>
      <c r="AQ522" s="43">
        <f t="shared" si="395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CY522" s="34" t="s">
        <v>86</v>
      </c>
    </row>
    <row r="523" spans="1:103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394"/>
        <v>4.4333333333333336</v>
      </c>
      <c r="G523" s="55">
        <f t="shared" si="389"/>
        <v>6.1800000000000006</v>
      </c>
      <c r="H523" s="56">
        <f t="shared" si="390"/>
        <v>9.7800000000000011</v>
      </c>
      <c r="I523" s="57">
        <f t="shared" si="385"/>
        <v>0.28171328190061568</v>
      </c>
      <c r="J523" s="58">
        <f t="shared" si="386"/>
        <v>6.3544349300890743E-2</v>
      </c>
      <c r="K523" s="58">
        <f t="shared" si="391"/>
        <v>15.737040523695823</v>
      </c>
      <c r="L523" s="58">
        <f t="shared" si="392"/>
        <v>0.21816893259972492</v>
      </c>
      <c r="M523" s="58">
        <f t="shared" si="393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76"/>
        <v>228</v>
      </c>
      <c r="X523" s="60">
        <f t="shared" si="387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88"/>
        <v>7.6093665379542115</v>
      </c>
      <c r="AN523" s="58">
        <v>0</v>
      </c>
      <c r="AO523" s="58">
        <v>0</v>
      </c>
      <c r="AP523" s="58">
        <v>0.185</v>
      </c>
      <c r="AQ523" s="64">
        <f t="shared" si="395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X523" s="52"/>
      <c r="CY523" s="68" t="s">
        <v>86</v>
      </c>
    </row>
    <row r="524" spans="1:103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396">D524-E524</f>
        <v>10.562404479908292</v>
      </c>
      <c r="H524" s="16">
        <f t="shared" ref="H524:H553" si="397">D524+E524</f>
        <v>11.104066248108715</v>
      </c>
      <c r="I524" s="11">
        <f t="shared" si="385"/>
        <v>0.18815249919273908</v>
      </c>
      <c r="J524" s="33">
        <f t="shared" si="386"/>
        <v>4.7038124798184765E-3</v>
      </c>
      <c r="K524" s="33">
        <f t="shared" ref="K524:K539" si="398">IFERROR(1/J524, "X")</f>
        <v>212.59350883787585</v>
      </c>
      <c r="L524" s="33">
        <f t="shared" ref="L524:L539" si="399">IFERROR(I524-J524, "X")</f>
        <v>0.18344868671292061</v>
      </c>
      <c r="M524" s="33">
        <f t="shared" ref="M524:M539" si="400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76"/>
        <v>43596</v>
      </c>
      <c r="X524" s="9">
        <f t="shared" si="387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88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CY524" s="34" t="s">
        <v>86</v>
      </c>
    </row>
    <row r="525" spans="1:103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396"/>
        <v>14.606567212966638</v>
      </c>
      <c r="H525" s="16">
        <f t="shared" si="397"/>
        <v>15.175938648554542</v>
      </c>
      <c r="I525" s="11">
        <f t="shared" si="385"/>
        <v>0.24301025035175569</v>
      </c>
      <c r="J525" s="33">
        <f t="shared" si="386"/>
        <v>4.6457841979012111E-3</v>
      </c>
      <c r="K525" s="33">
        <f t="shared" si="398"/>
        <v>215.24891329471612</v>
      </c>
      <c r="L525" s="33">
        <f t="shared" si="399"/>
        <v>0.23836446615385448</v>
      </c>
      <c r="M525" s="33">
        <f t="shared" si="400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76"/>
        <v>43596</v>
      </c>
      <c r="X525" s="9">
        <f t="shared" si="387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88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CY525" s="34" t="s">
        <v>86</v>
      </c>
    </row>
    <row r="526" spans="1:103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396"/>
        <v>11.011851333611496</v>
      </c>
      <c r="H526" s="16">
        <f t="shared" si="397"/>
        <v>11.374879399554732</v>
      </c>
      <c r="I526" s="11">
        <f t="shared" si="385"/>
        <v>0.28325102065209717</v>
      </c>
      <c r="J526" s="33">
        <f t="shared" si="386"/>
        <v>4.5932597943583323E-3</v>
      </c>
      <c r="K526" s="33">
        <f t="shared" si="398"/>
        <v>217.71030700859751</v>
      </c>
      <c r="L526" s="33">
        <f t="shared" si="399"/>
        <v>0.27865776085773886</v>
      </c>
      <c r="M526" s="33">
        <f t="shared" si="400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76"/>
        <v>43595</v>
      </c>
      <c r="X526" s="9">
        <f t="shared" si="387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88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1">1-AW526</f>
        <v>0.42900000000000005</v>
      </c>
      <c r="AW526" s="40">
        <v>0.57099999999999995</v>
      </c>
      <c r="AX526">
        <v>0.61499999999999999</v>
      </c>
      <c r="AY526" s="40">
        <f t="shared" ref="AY526:AY539" si="402">1-AX526</f>
        <v>0.38500000000000001</v>
      </c>
      <c r="BA526" s="18"/>
      <c r="BB526">
        <f t="shared" ref="BB526:BB539" si="403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CY526" s="34" t="s">
        <v>86</v>
      </c>
    </row>
    <row r="527" spans="1:103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396"/>
        <v>14.697019196881083</v>
      </c>
      <c r="H527" s="16">
        <f t="shared" si="397"/>
        <v>15.085486664640054</v>
      </c>
      <c r="I527" s="11">
        <f t="shared" si="385"/>
        <v>0.34468583278159914</v>
      </c>
      <c r="J527" s="33">
        <f t="shared" si="386"/>
        <v>4.4959021667165108E-3</v>
      </c>
      <c r="K527" s="33">
        <f t="shared" si="398"/>
        <v>222.42476880459552</v>
      </c>
      <c r="L527" s="33">
        <f t="shared" si="399"/>
        <v>0.34018993061488262</v>
      </c>
      <c r="M527" s="33">
        <f t="shared" si="400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76"/>
        <v>43595</v>
      </c>
      <c r="X527" s="9">
        <f t="shared" si="387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88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1"/>
        <v>0.42900000000000005</v>
      </c>
      <c r="AW527" s="40">
        <v>0.57099999999999995</v>
      </c>
      <c r="AX527">
        <v>0.61499999999999999</v>
      </c>
      <c r="AY527" s="40">
        <f t="shared" si="402"/>
        <v>0.38500000000000001</v>
      </c>
      <c r="BA527" s="18"/>
      <c r="BB527">
        <f t="shared" si="403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CY527" s="34" t="s">
        <v>86</v>
      </c>
    </row>
    <row r="528" spans="1:103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396"/>
        <v>10.652681441275028</v>
      </c>
      <c r="H528" s="16">
        <f t="shared" si="397"/>
        <v>11.013789286741979</v>
      </c>
      <c r="I528" s="11">
        <f t="shared" si="385"/>
        <v>0.2761899403727695</v>
      </c>
      <c r="J528" s="33">
        <f t="shared" si="386"/>
        <v>4.603165672879491E-3</v>
      </c>
      <c r="K528" s="33">
        <f t="shared" si="398"/>
        <v>217.2418007658747</v>
      </c>
      <c r="L528" s="33">
        <f t="shared" si="399"/>
        <v>0.27158677469989001</v>
      </c>
      <c r="M528" s="33">
        <f t="shared" si="400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76"/>
        <v>43594</v>
      </c>
      <c r="X528" s="9">
        <f t="shared" si="387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88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1"/>
        <v>0.42900000000000005</v>
      </c>
      <c r="AW528" s="40">
        <v>0.57099999999999995</v>
      </c>
      <c r="AX528">
        <v>0.61499999999999999</v>
      </c>
      <c r="AY528" s="40">
        <f t="shared" si="402"/>
        <v>0.38500000000000001</v>
      </c>
      <c r="BA528" s="18"/>
      <c r="BB528">
        <f t="shared" si="403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CY528" s="34" t="s">
        <v>86</v>
      </c>
    </row>
    <row r="529" spans="1:103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396"/>
        <v>14.694162818441701</v>
      </c>
      <c r="H529" s="16">
        <f t="shared" si="397"/>
        <v>15.08834304307948</v>
      </c>
      <c r="I529" s="11">
        <f t="shared" si="385"/>
        <v>0.34027599068456138</v>
      </c>
      <c r="J529" s="33">
        <f t="shared" si="386"/>
        <v>4.5036528178838998E-3</v>
      </c>
      <c r="K529" s="33">
        <f t="shared" si="398"/>
        <v>222.04198246121979</v>
      </c>
      <c r="L529" s="33">
        <f t="shared" si="399"/>
        <v>0.33577233786667748</v>
      </c>
      <c r="M529" s="33">
        <f t="shared" si="400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76"/>
        <v>43594</v>
      </c>
      <c r="X529" s="9">
        <f t="shared" si="387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88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1"/>
        <v>0.42900000000000005</v>
      </c>
      <c r="AW529" s="40">
        <v>0.57099999999999995</v>
      </c>
      <c r="AX529">
        <v>0.61499999999999999</v>
      </c>
      <c r="AY529" s="40">
        <f t="shared" si="402"/>
        <v>0.38500000000000001</v>
      </c>
      <c r="BA529" s="18"/>
      <c r="BB529">
        <f t="shared" si="403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CY529" s="34" t="s">
        <v>86</v>
      </c>
    </row>
    <row r="530" spans="1:103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396"/>
        <v>10.652681441275028</v>
      </c>
      <c r="H530" s="16">
        <f t="shared" si="397"/>
        <v>11.013789286741979</v>
      </c>
      <c r="I530" s="11">
        <f t="shared" si="385"/>
        <v>0.27619286653212893</v>
      </c>
      <c r="J530" s="33">
        <f t="shared" si="386"/>
        <v>4.6032144422021486E-3</v>
      </c>
      <c r="K530" s="33">
        <f t="shared" si="398"/>
        <v>217.23949917084599</v>
      </c>
      <c r="L530" s="33">
        <f t="shared" si="399"/>
        <v>0.2715896520899268</v>
      </c>
      <c r="M530" s="33">
        <f t="shared" si="400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76"/>
        <v>43593</v>
      </c>
      <c r="X530" s="9">
        <f t="shared" si="387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88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1"/>
        <v>0.42900000000000005</v>
      </c>
      <c r="AW530" s="40">
        <v>0.57099999999999995</v>
      </c>
      <c r="AX530">
        <v>0.61499999999999999</v>
      </c>
      <c r="AY530" s="40">
        <f t="shared" si="402"/>
        <v>0.38500000000000001</v>
      </c>
      <c r="BA530" s="18"/>
      <c r="BB530">
        <f t="shared" si="403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CY530" s="34" t="s">
        <v>86</v>
      </c>
    </row>
    <row r="531" spans="1:103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396"/>
        <v>14.261056672143191</v>
      </c>
      <c r="H531" s="16">
        <f t="shared" si="397"/>
        <v>14.649406173048753</v>
      </c>
      <c r="I531" s="11">
        <f t="shared" si="385"/>
        <v>0.33584348060361058</v>
      </c>
      <c r="J531" s="33">
        <f t="shared" si="386"/>
        <v>4.5113303364664112E-3</v>
      </c>
      <c r="K531" s="33">
        <f t="shared" si="398"/>
        <v>221.66410469140459</v>
      </c>
      <c r="L531" s="33">
        <f t="shared" si="399"/>
        <v>0.33133215026714419</v>
      </c>
      <c r="M531" s="33">
        <f t="shared" si="400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76"/>
        <v>43593</v>
      </c>
      <c r="X531" s="9">
        <f t="shared" si="387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88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1"/>
        <v>0.42900000000000005</v>
      </c>
      <c r="AW531" s="40">
        <v>0.57099999999999995</v>
      </c>
      <c r="AX531">
        <v>0.61499999999999999</v>
      </c>
      <c r="AY531" s="40">
        <f t="shared" si="402"/>
        <v>0.38500000000000001</v>
      </c>
      <c r="BA531" s="18"/>
      <c r="BB531">
        <f t="shared" si="403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CY531" s="34" t="s">
        <v>86</v>
      </c>
    </row>
    <row r="532" spans="1:103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396"/>
        <v>11.496460160248311</v>
      </c>
      <c r="H532" s="16">
        <f t="shared" si="397"/>
        <v>12.352579533883823</v>
      </c>
      <c r="I532" s="11">
        <f t="shared" si="385"/>
        <v>0.13839588612814366</v>
      </c>
      <c r="J532" s="33">
        <f t="shared" si="386"/>
        <v>4.9680574507538749E-3</v>
      </c>
      <c r="K532" s="33">
        <f t="shared" si="398"/>
        <v>201.28591706367155</v>
      </c>
      <c r="L532" s="33">
        <f t="shared" si="399"/>
        <v>0.13342782867738978</v>
      </c>
      <c r="M532" s="33">
        <f t="shared" si="400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76"/>
        <v>39740</v>
      </c>
      <c r="X532" s="9">
        <f t="shared" si="387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88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1"/>
        <v>0.42900000000000005</v>
      </c>
      <c r="AW532" s="40">
        <v>0.57099999999999995</v>
      </c>
      <c r="AX532">
        <v>0.61499999999999999</v>
      </c>
      <c r="AY532" s="40">
        <f t="shared" si="402"/>
        <v>0.38500000000000001</v>
      </c>
      <c r="BA532" s="18"/>
      <c r="BB532">
        <f t="shared" si="403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CY532" s="34" t="s">
        <v>86</v>
      </c>
    </row>
    <row r="533" spans="1:103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396"/>
        <v>14.104175802332927</v>
      </c>
      <c r="H533" s="16">
        <f t="shared" si="397"/>
        <v>14.806287042859017</v>
      </c>
      <c r="I533" s="11">
        <f t="shared" si="385"/>
        <v>0.20228459842864593</v>
      </c>
      <c r="J533" s="33">
        <f t="shared" si="386"/>
        <v>4.912625961838544E-3</v>
      </c>
      <c r="K533" s="33">
        <f t="shared" si="398"/>
        <v>203.55712154111387</v>
      </c>
      <c r="L533" s="33">
        <f t="shared" si="399"/>
        <v>0.19737197246680738</v>
      </c>
      <c r="M533" s="33">
        <f t="shared" si="400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76"/>
        <v>39740</v>
      </c>
      <c r="X533" s="9">
        <f t="shared" si="387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88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1"/>
        <v>0.42900000000000005</v>
      </c>
      <c r="AW533" s="40">
        <v>0.57099999999999995</v>
      </c>
      <c r="AX533">
        <v>0.61499999999999999</v>
      </c>
      <c r="AY533" s="40">
        <f t="shared" si="402"/>
        <v>0.38500000000000001</v>
      </c>
      <c r="BA533" s="18"/>
      <c r="BB533">
        <f t="shared" si="403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CY533" s="34" t="s">
        <v>86</v>
      </c>
    </row>
    <row r="534" spans="1:103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396"/>
        <v>8.5753607413466924</v>
      </c>
      <c r="H534" s="16">
        <f t="shared" si="397"/>
        <v>11.672018786832997</v>
      </c>
      <c r="I534" s="11">
        <f t="shared" si="385"/>
        <v>0.10494498983487337</v>
      </c>
      <c r="J534" s="33">
        <f t="shared" si="386"/>
        <v>1.6050410210039456E-2</v>
      </c>
      <c r="K534" s="33">
        <f t="shared" si="398"/>
        <v>62.303703576031019</v>
      </c>
      <c r="L534" s="33">
        <f t="shared" si="399"/>
        <v>8.8894579624833908E-2</v>
      </c>
      <c r="M534" s="33">
        <f t="shared" si="400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76"/>
        <v>3839</v>
      </c>
      <c r="X534" s="9">
        <f t="shared" si="387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88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1"/>
        <v>0.42900000000000005</v>
      </c>
      <c r="AW534" s="40">
        <v>0.57099999999999995</v>
      </c>
      <c r="AX534">
        <v>0.61499999999999999</v>
      </c>
      <c r="AY534" s="40">
        <f t="shared" si="402"/>
        <v>0.38500000000000001</v>
      </c>
      <c r="BA534" s="18"/>
      <c r="BB534">
        <f t="shared" si="403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CY534" s="34" t="s">
        <v>86</v>
      </c>
    </row>
    <row r="535" spans="1:103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396"/>
        <v>14.877754288107726</v>
      </c>
      <c r="H535" s="16">
        <f t="shared" si="397"/>
        <v>16.638983767696804</v>
      </c>
      <c r="I535" s="11">
        <f t="shared" si="385"/>
        <v>0.27747207748426905</v>
      </c>
      <c r="J535" s="33">
        <f t="shared" si="386"/>
        <v>1.5505792565297388E-2</v>
      </c>
      <c r="K535" s="33">
        <f t="shared" si="398"/>
        <v>64.492027465789903</v>
      </c>
      <c r="L535" s="33">
        <f t="shared" si="399"/>
        <v>0.26196628491897167</v>
      </c>
      <c r="M535" s="33">
        <f t="shared" si="400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76"/>
        <v>3839</v>
      </c>
      <c r="X535" s="9">
        <f t="shared" si="387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88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1"/>
        <v>0.42900000000000005</v>
      </c>
      <c r="AW535" s="40">
        <v>0.57099999999999995</v>
      </c>
      <c r="AX535">
        <v>0.61499999999999999</v>
      </c>
      <c r="AY535" s="40">
        <f t="shared" si="402"/>
        <v>0.38500000000000001</v>
      </c>
      <c r="BA535" s="18"/>
      <c r="BB535">
        <f t="shared" si="403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CY535" s="34" t="s">
        <v>86</v>
      </c>
    </row>
    <row r="536" spans="1:103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396"/>
        <v>10.562404479908292</v>
      </c>
      <c r="H536" s="16">
        <f t="shared" si="397"/>
        <v>11.104066248108715</v>
      </c>
      <c r="I536" s="11">
        <f t="shared" si="385"/>
        <v>0.28075187769348076</v>
      </c>
      <c r="J536" s="33">
        <f t="shared" si="386"/>
        <v>7.0187969423370199E-3</v>
      </c>
      <c r="K536" s="33">
        <f t="shared" si="398"/>
        <v>142.47455913249917</v>
      </c>
      <c r="L536" s="33">
        <f t="shared" si="399"/>
        <v>0.27373308075114372</v>
      </c>
      <c r="M536" s="33">
        <f t="shared" si="400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76"/>
        <v>18699</v>
      </c>
      <c r="X536" s="9">
        <f t="shared" si="387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88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02"/>
        <v>0.38500000000000001</v>
      </c>
      <c r="BA536" s="18"/>
      <c r="BB536">
        <f t="shared" si="403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CY536" s="34" t="s">
        <v>86</v>
      </c>
    </row>
    <row r="537" spans="1:103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396"/>
        <v>14.606567212966638</v>
      </c>
      <c r="H537" s="16">
        <f t="shared" si="397"/>
        <v>15.175938648554542</v>
      </c>
      <c r="I537" s="11">
        <f t="shared" si="385"/>
        <v>0.35727518878461628</v>
      </c>
      <c r="J537" s="33">
        <f t="shared" si="386"/>
        <v>6.83026096205884E-3</v>
      </c>
      <c r="K537" s="33">
        <f t="shared" si="398"/>
        <v>146.40729037365665</v>
      </c>
      <c r="L537" s="33">
        <f t="shared" si="399"/>
        <v>0.35044492782255743</v>
      </c>
      <c r="M537" s="33">
        <f t="shared" si="400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76"/>
        <v>18699</v>
      </c>
      <c r="X537" s="9">
        <f t="shared" si="387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88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02"/>
        <v>0.38500000000000001</v>
      </c>
      <c r="BA537" s="18"/>
      <c r="BB537">
        <f t="shared" si="403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CY537" s="34" t="s">
        <v>86</v>
      </c>
    </row>
    <row r="538" spans="1:103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396"/>
        <v>10.951346655954289</v>
      </c>
      <c r="H538" s="16">
        <f t="shared" si="397"/>
        <v>11.435384077211939</v>
      </c>
      <c r="I538" s="11">
        <f t="shared" si="385"/>
        <v>0.28136402135764199</v>
      </c>
      <c r="J538" s="33">
        <f t="shared" si="386"/>
        <v>6.0835464077327985E-3</v>
      </c>
      <c r="K538" s="33">
        <f t="shared" si="398"/>
        <v>164.37780415859072</v>
      </c>
      <c r="L538" s="33">
        <f t="shared" si="399"/>
        <v>0.2752804749499092</v>
      </c>
      <c r="M538" s="33">
        <f t="shared" si="400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76"/>
        <v>24881</v>
      </c>
      <c r="X538" s="9">
        <f t="shared" si="387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88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02"/>
        <v>0.38500000000000001</v>
      </c>
      <c r="BA538" s="18"/>
      <c r="BB538">
        <f t="shared" si="403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CY538" s="34" t="s">
        <v>86</v>
      </c>
    </row>
    <row r="539" spans="1:103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396"/>
        <v>14.632274618921254</v>
      </c>
      <c r="H539" s="16">
        <f t="shared" si="397"/>
        <v>15.150231242599883</v>
      </c>
      <c r="I539" s="11">
        <f t="shared" si="385"/>
        <v>0.34248494936346119</v>
      </c>
      <c r="J539" s="33">
        <f t="shared" si="386"/>
        <v>5.9562599889297612E-3</v>
      </c>
      <c r="K539" s="33">
        <f t="shared" si="398"/>
        <v>167.89058937296036</v>
      </c>
      <c r="L539" s="33">
        <f t="shared" si="399"/>
        <v>0.33652868937453145</v>
      </c>
      <c r="M539" s="33">
        <f t="shared" si="400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76"/>
        <v>24881</v>
      </c>
      <c r="X539" s="9">
        <f t="shared" si="387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88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02"/>
        <v>0.38500000000000001</v>
      </c>
      <c r="BA539" s="18"/>
      <c r="BB539">
        <f t="shared" si="403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CY539" s="34" t="s">
        <v>86</v>
      </c>
    </row>
    <row r="540" spans="1:103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396"/>
        <v>7.71</v>
      </c>
      <c r="H540" s="102">
        <f t="shared" si="397"/>
        <v>8.43</v>
      </c>
      <c r="I540" s="103">
        <f t="shared" si="385"/>
        <v>0.13448371164683043</v>
      </c>
      <c r="J540" s="104">
        <f t="shared" si="386"/>
        <v>5.9992733820147404E-3</v>
      </c>
      <c r="K540" s="104">
        <f t="shared" ref="K540:K563" si="404">IFERROR(1/J540, "X")</f>
        <v>166.68685294420925</v>
      </c>
      <c r="L540" s="104">
        <f t="shared" ref="L540:L563" si="405">IFERROR(I540-J540, "X")</f>
        <v>0.12848443826481568</v>
      </c>
      <c r="M540" s="104">
        <f t="shared" ref="M540:M563" si="406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76"/>
        <v>27282</v>
      </c>
      <c r="X540" s="106">
        <f t="shared" si="387"/>
        <v>24</v>
      </c>
      <c r="Y540" s="101">
        <v>5</v>
      </c>
      <c r="Z540" s="101">
        <f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88"/>
        <v>7.5923661285197959</v>
      </c>
      <c r="AN540" s="104">
        <f t="shared" ref="AN540:AN563" si="407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08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X540" s="98"/>
      <c r="CY540" s="114" t="s">
        <v>86</v>
      </c>
    </row>
    <row r="541" spans="1:103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09">D541/E541</f>
        <v>10.851063829787233</v>
      </c>
      <c r="G541" s="7">
        <f t="shared" si="396"/>
        <v>4.63</v>
      </c>
      <c r="H541" s="16">
        <f t="shared" si="397"/>
        <v>5.5699999999999994</v>
      </c>
      <c r="I541" s="11">
        <f t="shared" si="385"/>
        <v>6.6744826887680922E-2</v>
      </c>
      <c r="J541" s="33">
        <f t="shared" si="386"/>
        <v>6.1509938504333405E-3</v>
      </c>
      <c r="K541" s="33">
        <f t="shared" si="404"/>
        <v>162.5753535633188</v>
      </c>
      <c r="L541" s="33">
        <f t="shared" si="405"/>
        <v>6.059383303724758E-2</v>
      </c>
      <c r="M541" s="33">
        <f t="shared" si="406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0">U541-V541-1</f>
        <v>26313</v>
      </c>
      <c r="X541" s="9">
        <f t="shared" si="387"/>
        <v>24</v>
      </c>
      <c r="Y541" s="7">
        <v>5</v>
      </c>
      <c r="Z541" s="7">
        <f>BQ541-Y541-6</f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88"/>
        <v>7.5973963202127948</v>
      </c>
      <c r="AN541" s="33">
        <f t="shared" si="407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11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08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CY541" s="34" t="s">
        <v>86</v>
      </c>
    </row>
    <row r="542" spans="1:103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09"/>
        <v>10</v>
      </c>
      <c r="G542" s="7">
        <f t="shared" si="396"/>
        <v>5.04</v>
      </c>
      <c r="H542" s="16">
        <f t="shared" si="397"/>
        <v>6.1599999999999993</v>
      </c>
      <c r="I542" s="11">
        <f t="shared" si="385"/>
        <v>6.0499488705856599E-2</v>
      </c>
      <c r="J542" s="33">
        <f t="shared" si="386"/>
        <v>6.0499488705856603E-3</v>
      </c>
      <c r="K542" s="33">
        <f t="shared" si="404"/>
        <v>165.29065309327083</v>
      </c>
      <c r="L542" s="33">
        <f t="shared" si="405"/>
        <v>5.4449539835270941E-2</v>
      </c>
      <c r="M542" s="33">
        <f t="shared" si="406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0"/>
        <v>27221</v>
      </c>
      <c r="X542" s="9">
        <f t="shared" si="387"/>
        <v>24</v>
      </c>
      <c r="Y542" s="7">
        <v>5</v>
      </c>
      <c r="Z542" s="7">
        <f>BQ542-Y542-6</f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88"/>
        <v>7.6004023345003997</v>
      </c>
      <c r="AN542" s="33">
        <f t="shared" si="407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11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08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CY542" s="34" t="s">
        <v>86</v>
      </c>
    </row>
    <row r="543" spans="1:103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09"/>
        <v>13.153846153846153</v>
      </c>
      <c r="G543" s="7">
        <f t="shared" si="396"/>
        <v>3.16</v>
      </c>
      <c r="H543" s="16">
        <f t="shared" si="397"/>
        <v>3.6799999999999997</v>
      </c>
      <c r="I543" s="11">
        <f t="shared" si="385"/>
        <v>7.9385621078379501E-2</v>
      </c>
      <c r="J543" s="33">
        <f t="shared" si="386"/>
        <v>6.0351641755493181E-3</v>
      </c>
      <c r="K543" s="33">
        <f t="shared" si="404"/>
        <v>165.69557528382904</v>
      </c>
      <c r="L543" s="33">
        <f t="shared" si="405"/>
        <v>7.335045690283018E-2</v>
      </c>
      <c r="M543" s="33">
        <f t="shared" si="406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0"/>
        <v>27282</v>
      </c>
      <c r="X543" s="9">
        <f t="shared" si="387"/>
        <v>24</v>
      </c>
      <c r="Y543" s="7">
        <v>8</v>
      </c>
      <c r="Z543" s="7">
        <f>BQ543-Y543-6</f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88"/>
        <v>7.5923661285197959</v>
      </c>
      <c r="AN543" s="33">
        <f t="shared" si="407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11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08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CY543" s="34" t="s">
        <v>86</v>
      </c>
    </row>
    <row r="544" spans="1:103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09"/>
        <v>9.8125</v>
      </c>
      <c r="G544" s="7">
        <f t="shared" si="396"/>
        <v>2.8200000000000003</v>
      </c>
      <c r="H544" s="16">
        <f t="shared" si="397"/>
        <v>3.46</v>
      </c>
      <c r="I544" s="11">
        <f t="shared" si="385"/>
        <v>6.0381145354891051E-2</v>
      </c>
      <c r="J544" s="33">
        <f t="shared" si="386"/>
        <v>6.1534925202436745E-3</v>
      </c>
      <c r="K544" s="33">
        <f t="shared" si="404"/>
        <v>162.50933867396668</v>
      </c>
      <c r="L544" s="33">
        <f t="shared" si="405"/>
        <v>5.422765283464738E-2</v>
      </c>
      <c r="M544" s="33">
        <f t="shared" si="406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0"/>
        <v>26313</v>
      </c>
      <c r="X544" s="9">
        <f t="shared" si="387"/>
        <v>24</v>
      </c>
      <c r="Y544" s="7">
        <v>8</v>
      </c>
      <c r="Z544" s="7">
        <f>BQ544-Y544-6</f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88"/>
        <v>7.5973963202127948</v>
      </c>
      <c r="AN544" s="33">
        <f t="shared" si="407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11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08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CY544" s="34" t="s">
        <v>86</v>
      </c>
    </row>
    <row r="545" spans="1:103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09"/>
        <v>9.8055555555555554</v>
      </c>
      <c r="G545" s="7">
        <f t="shared" si="396"/>
        <v>3.17</v>
      </c>
      <c r="H545" s="16">
        <f t="shared" si="397"/>
        <v>3.8899999999999997</v>
      </c>
      <c r="I545" s="11">
        <f t="shared" si="385"/>
        <v>5.9327291198186465E-2</v>
      </c>
      <c r="J545" s="33">
        <f t="shared" si="386"/>
        <v>6.0503753063306312E-3</v>
      </c>
      <c r="K545" s="33">
        <f t="shared" si="404"/>
        <v>165.27900326343055</v>
      </c>
      <c r="L545" s="33">
        <f t="shared" si="405"/>
        <v>5.3276915891855833E-2</v>
      </c>
      <c r="M545" s="33">
        <f t="shared" si="406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0"/>
        <v>27221</v>
      </c>
      <c r="X545" s="9">
        <f t="shared" si="387"/>
        <v>24</v>
      </c>
      <c r="Y545" s="7">
        <v>8</v>
      </c>
      <c r="Z545" s="7">
        <f>BQ545-Y545-6</f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88"/>
        <v>7.6004023345003997</v>
      </c>
      <c r="AN545" s="33">
        <f t="shared" si="407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11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08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CY545" s="34" t="s">
        <v>86</v>
      </c>
    </row>
    <row r="546" spans="1:103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09"/>
        <v>33.333333333333336</v>
      </c>
      <c r="G546" s="7">
        <f t="shared" si="396"/>
        <v>5.82</v>
      </c>
      <c r="H546" s="16">
        <f t="shared" si="397"/>
        <v>6.18</v>
      </c>
      <c r="I546" s="11">
        <f t="shared" si="385"/>
        <v>0.1978209368545675</v>
      </c>
      <c r="J546" s="33">
        <f t="shared" si="386"/>
        <v>5.9346281056370243E-3</v>
      </c>
      <c r="K546" s="33">
        <f t="shared" si="404"/>
        <v>168.50255520647485</v>
      </c>
      <c r="L546" s="33">
        <f t="shared" si="405"/>
        <v>0.19188630874893048</v>
      </c>
      <c r="M546" s="33">
        <f t="shared" si="406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0"/>
        <v>27282</v>
      </c>
      <c r="X546" s="9">
        <f t="shared" si="387"/>
        <v>24</v>
      </c>
      <c r="Y546" s="7">
        <v>12</v>
      </c>
      <c r="Z546" s="7">
        <f>BQ546-Y546-6</f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88"/>
        <v>7.5923661285197959</v>
      </c>
      <c r="AN546" s="33">
        <f t="shared" si="407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11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08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CY546" s="34" t="s">
        <v>86</v>
      </c>
    </row>
    <row r="547" spans="1:103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09"/>
        <v>26.849999999999998</v>
      </c>
      <c r="G547" s="7">
        <f t="shared" si="396"/>
        <v>5.17</v>
      </c>
      <c r="H547" s="16">
        <f t="shared" si="397"/>
        <v>5.57</v>
      </c>
      <c r="I547" s="11">
        <f t="shared" si="385"/>
        <v>0.16330134352703748</v>
      </c>
      <c r="J547" s="33">
        <f t="shared" si="386"/>
        <v>6.0819867235395713E-3</v>
      </c>
      <c r="K547" s="33">
        <f t="shared" si="404"/>
        <v>164.41995773019772</v>
      </c>
      <c r="L547" s="33">
        <f t="shared" si="405"/>
        <v>0.15721935680349791</v>
      </c>
      <c r="M547" s="33">
        <f t="shared" si="406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0"/>
        <v>26313</v>
      </c>
      <c r="X547" s="9">
        <f t="shared" si="387"/>
        <v>24</v>
      </c>
      <c r="Y547" s="7">
        <v>12</v>
      </c>
      <c r="Z547" s="7">
        <f>BQ547-Y547-6</f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88"/>
        <v>7.5973963202127948</v>
      </c>
      <c r="AN547" s="33">
        <f t="shared" si="407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11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08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CY547" s="34" t="s">
        <v>86</v>
      </c>
    </row>
    <row r="548" spans="1:103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09"/>
        <v>29.142857142857146</v>
      </c>
      <c r="G548" s="7">
        <f t="shared" si="396"/>
        <v>5.91</v>
      </c>
      <c r="H548" s="16">
        <f t="shared" si="397"/>
        <v>6.33</v>
      </c>
      <c r="I548" s="11">
        <f t="shared" si="385"/>
        <v>0.17394363957968195</v>
      </c>
      <c r="J548" s="33">
        <f t="shared" si="386"/>
        <v>5.9686542993028112E-3</v>
      </c>
      <c r="K548" s="33">
        <f t="shared" si="404"/>
        <v>167.54195332050114</v>
      </c>
      <c r="L548" s="33">
        <f t="shared" si="405"/>
        <v>0.16797498528037913</v>
      </c>
      <c r="M548" s="33">
        <f t="shared" si="406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0"/>
        <v>27221</v>
      </c>
      <c r="X548" s="9">
        <f t="shared" si="387"/>
        <v>24</v>
      </c>
      <c r="Y548" s="7">
        <v>12</v>
      </c>
      <c r="Z548" s="7">
        <f>BQ548-Y548-6</f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88"/>
        <v>7.6004023345003997</v>
      </c>
      <c r="AN548" s="33">
        <f t="shared" si="407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11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08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CY548" s="34" t="s">
        <v>86</v>
      </c>
    </row>
    <row r="549" spans="1:103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09"/>
        <v>35.607142857142861</v>
      </c>
      <c r="G549" s="7">
        <f t="shared" si="396"/>
        <v>9.6900000000000013</v>
      </c>
      <c r="H549" s="16">
        <f t="shared" si="397"/>
        <v>10.25</v>
      </c>
      <c r="I549" s="11">
        <f t="shared" si="385"/>
        <v>0.21073422283035781</v>
      </c>
      <c r="J549" s="33">
        <f t="shared" si="386"/>
        <v>5.9183131787863769E-3</v>
      </c>
      <c r="K549" s="33">
        <f t="shared" si="404"/>
        <v>168.96706372085944</v>
      </c>
      <c r="L549" s="33">
        <f t="shared" si="405"/>
        <v>0.20481590965157143</v>
      </c>
      <c r="M549" s="33">
        <f t="shared" si="406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0"/>
        <v>27282</v>
      </c>
      <c r="X549" s="9">
        <f t="shared" si="387"/>
        <v>24</v>
      </c>
      <c r="Y549" s="7">
        <v>15.5</v>
      </c>
      <c r="Z549" s="7">
        <f>BQ549-Y549-6</f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88"/>
        <v>7.5923661285197959</v>
      </c>
      <c r="AN549" s="33">
        <f t="shared" si="407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11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08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CY549" s="34" t="s">
        <v>86</v>
      </c>
    </row>
    <row r="550" spans="1:103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09"/>
        <v>39.071428571428577</v>
      </c>
      <c r="G550" s="7">
        <f t="shared" si="396"/>
        <v>10.66</v>
      </c>
      <c r="H550" s="16">
        <f t="shared" si="397"/>
        <v>11.219999999999999</v>
      </c>
      <c r="I550" s="11">
        <f t="shared" si="385"/>
        <v>0.2341682326604532</v>
      </c>
      <c r="J550" s="33">
        <f t="shared" si="386"/>
        <v>5.9933368505417639E-3</v>
      </c>
      <c r="K550" s="33">
        <f t="shared" si="404"/>
        <v>166.85195992439597</v>
      </c>
      <c r="L550" s="33">
        <f t="shared" si="405"/>
        <v>0.22817489580991143</v>
      </c>
      <c r="M550" s="33">
        <f t="shared" si="406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0"/>
        <v>26313</v>
      </c>
      <c r="X550" s="9">
        <f t="shared" si="387"/>
        <v>24</v>
      </c>
      <c r="Y550" s="7">
        <v>15.5</v>
      </c>
      <c r="Z550" s="7">
        <f>BQ550-Y550-6</f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88"/>
        <v>7.5973963202127948</v>
      </c>
      <c r="AN550" s="33">
        <f t="shared" si="407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11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08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CY550" s="34" t="s">
        <v>86</v>
      </c>
    </row>
    <row r="551" spans="1:103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09"/>
        <v>43.892857142857146</v>
      </c>
      <c r="G551" s="7">
        <f t="shared" si="396"/>
        <v>12.01</v>
      </c>
      <c r="H551" s="16">
        <f t="shared" si="397"/>
        <v>12.569999999999999</v>
      </c>
      <c r="I551" s="11">
        <f t="shared" si="385"/>
        <v>0.25709437715131617</v>
      </c>
      <c r="J551" s="33">
        <f t="shared" si="386"/>
        <v>5.8573169733416195E-3</v>
      </c>
      <c r="K551" s="33">
        <f t="shared" si="404"/>
        <v>170.7266320998668</v>
      </c>
      <c r="L551" s="33">
        <f t="shared" si="405"/>
        <v>0.25123706017797454</v>
      </c>
      <c r="M551" s="33">
        <f t="shared" si="406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0"/>
        <v>27221</v>
      </c>
      <c r="X551" s="9">
        <f t="shared" si="387"/>
        <v>24</v>
      </c>
      <c r="Y551" s="7">
        <v>15.5</v>
      </c>
      <c r="Z551" s="7">
        <f>BQ551-Y551-6</f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88"/>
        <v>7.6004023345003997</v>
      </c>
      <c r="AN551" s="33">
        <f t="shared" si="407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11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08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CY551" s="34" t="s">
        <v>86</v>
      </c>
    </row>
    <row r="552" spans="1:103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09"/>
        <v>21.541666666666668</v>
      </c>
      <c r="G552" s="7">
        <f t="shared" si="396"/>
        <v>4.93</v>
      </c>
      <c r="H552" s="16">
        <f t="shared" si="397"/>
        <v>5.41</v>
      </c>
      <c r="I552" s="11">
        <f t="shared" si="385"/>
        <v>0.12596594997664462</v>
      </c>
      <c r="J552" s="33">
        <f t="shared" si="386"/>
        <v>5.8475489350860175E-3</v>
      </c>
      <c r="K552" s="33">
        <f t="shared" si="404"/>
        <v>171.01182240645755</v>
      </c>
      <c r="L552" s="33">
        <f t="shared" si="405"/>
        <v>0.1201184010415586</v>
      </c>
      <c r="M552" s="33">
        <f t="shared" si="406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0"/>
        <v>28781</v>
      </c>
      <c r="X552" s="9">
        <f t="shared" si="387"/>
        <v>24</v>
      </c>
      <c r="Y552" s="7">
        <v>5</v>
      </c>
      <c r="Z552" s="7">
        <f>BQ552-Y552-6</f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88"/>
        <v>7.5923661285197959</v>
      </c>
      <c r="AN552" s="33">
        <f t="shared" si="407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11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08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CY552" s="34" t="s">
        <v>86</v>
      </c>
    </row>
    <row r="553" spans="1:103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09"/>
        <v>20.36</v>
      </c>
      <c r="G553" s="7">
        <f t="shared" si="396"/>
        <v>4.84</v>
      </c>
      <c r="H553" s="16">
        <f t="shared" si="397"/>
        <v>5.34</v>
      </c>
      <c r="I553" s="11">
        <f t="shared" si="385"/>
        <v>0.1245113704291685</v>
      </c>
      <c r="J553" s="33">
        <f t="shared" si="386"/>
        <v>6.1154897067371566E-3</v>
      </c>
      <c r="K553" s="33">
        <f t="shared" si="404"/>
        <v>163.51920254208679</v>
      </c>
      <c r="L553" s="33">
        <f t="shared" si="405"/>
        <v>0.11839588072243135</v>
      </c>
      <c r="M553" s="33">
        <f t="shared" si="406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0"/>
        <v>26324</v>
      </c>
      <c r="X553" s="9">
        <f t="shared" si="387"/>
        <v>24</v>
      </c>
      <c r="Y553" s="7">
        <v>5</v>
      </c>
      <c r="Z553" s="7">
        <f>BQ553-Y553-6</f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88"/>
        <v>7.5973963202127948</v>
      </c>
      <c r="AN553" s="33">
        <f t="shared" si="407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11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08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CY553" s="34" t="s">
        <v>86</v>
      </c>
    </row>
    <row r="554" spans="1:103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09"/>
        <v>20.6</v>
      </c>
      <c r="G554" s="7">
        <f t="shared" ref="G554:G563" si="412">D554-E554</f>
        <v>4.9000000000000004</v>
      </c>
      <c r="H554" s="16">
        <f t="shared" ref="H554:H563" si="413">D554+E554</f>
        <v>5.4</v>
      </c>
      <c r="I554" s="11">
        <f t="shared" si="385"/>
        <v>0.11862738625856023</v>
      </c>
      <c r="J554" s="33">
        <f t="shared" si="386"/>
        <v>5.7586109834252535E-3</v>
      </c>
      <c r="K554" s="33">
        <f t="shared" si="404"/>
        <v>173.65298730514255</v>
      </c>
      <c r="L554" s="33">
        <f t="shared" si="405"/>
        <v>0.11286877527513497</v>
      </c>
      <c r="M554" s="33">
        <f t="shared" si="406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0"/>
        <v>29731</v>
      </c>
      <c r="X554" s="9">
        <f t="shared" si="387"/>
        <v>24</v>
      </c>
      <c r="Y554" s="7">
        <v>5</v>
      </c>
      <c r="Z554" s="7">
        <f>BQ554-Y554-6</f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88"/>
        <v>7.6004023345003997</v>
      </c>
      <c r="AN554" s="33">
        <f t="shared" si="407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11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08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CY554" s="34" t="s">
        <v>86</v>
      </c>
    </row>
    <row r="555" spans="1:103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09"/>
        <v>3.1538461538461537</v>
      </c>
      <c r="G555" s="7">
        <f t="shared" si="412"/>
        <v>0.55999999999999994</v>
      </c>
      <c r="H555" s="16">
        <f t="shared" si="413"/>
        <v>1.08</v>
      </c>
      <c r="I555" s="11">
        <f t="shared" si="385"/>
        <v>1.8587138339873844E-2</v>
      </c>
      <c r="J555" s="33">
        <f t="shared" si="386"/>
        <v>5.8934828882526826E-3</v>
      </c>
      <c r="K555" s="33">
        <f t="shared" si="404"/>
        <v>169.67895198156467</v>
      </c>
      <c r="L555" s="33">
        <f t="shared" si="405"/>
        <v>1.2693655451621162E-2</v>
      </c>
      <c r="M555" s="33">
        <f t="shared" si="406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0"/>
        <v>28781</v>
      </c>
      <c r="X555" s="9">
        <f t="shared" si="387"/>
        <v>24</v>
      </c>
      <c r="Y555" s="7">
        <v>8</v>
      </c>
      <c r="Z555" s="7">
        <f>BQ555-Y555-6</f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88"/>
        <v>7.5923661285197959</v>
      </c>
      <c r="AN555" s="33">
        <f t="shared" si="407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11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08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CY555" s="34" t="s">
        <v>86</v>
      </c>
    </row>
    <row r="556" spans="1:103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09"/>
        <v>3</v>
      </c>
      <c r="G556" s="7">
        <f t="shared" si="412"/>
        <v>0.48</v>
      </c>
      <c r="H556" s="16">
        <f t="shared" si="413"/>
        <v>0.96</v>
      </c>
      <c r="I556" s="11">
        <f t="shared" si="385"/>
        <v>1.8487197683350179E-2</v>
      </c>
      <c r="J556" s="33">
        <f t="shared" si="386"/>
        <v>6.1623992277833927E-3</v>
      </c>
      <c r="K556" s="33">
        <f t="shared" si="404"/>
        <v>162.27445886522005</v>
      </c>
      <c r="L556" s="33">
        <f t="shared" si="405"/>
        <v>1.2324798455566787E-2</v>
      </c>
      <c r="M556" s="33">
        <f t="shared" si="406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0"/>
        <v>26324</v>
      </c>
      <c r="X556" s="9">
        <f t="shared" si="387"/>
        <v>24</v>
      </c>
      <c r="Y556" s="7">
        <v>8</v>
      </c>
      <c r="Z556" s="7">
        <f>BQ556-Y556-6</f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88"/>
        <v>7.5973963202127948</v>
      </c>
      <c r="AN556" s="33">
        <f t="shared" si="407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11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08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CY556" s="34" t="s">
        <v>86</v>
      </c>
    </row>
    <row r="557" spans="1:103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09"/>
        <v>3.2727272727272725</v>
      </c>
      <c r="G557" s="7">
        <f t="shared" si="412"/>
        <v>0.5</v>
      </c>
      <c r="H557" s="16">
        <f t="shared" si="413"/>
        <v>0.94</v>
      </c>
      <c r="I557" s="11">
        <f t="shared" si="385"/>
        <v>1.8976968768129054E-2</v>
      </c>
      <c r="J557" s="33">
        <f t="shared" si="386"/>
        <v>5.7985182347060999E-3</v>
      </c>
      <c r="K557" s="33">
        <f t="shared" si="404"/>
        <v>172.45785207928822</v>
      </c>
      <c r="L557" s="33">
        <f t="shared" si="405"/>
        <v>1.3178450533422953E-2</v>
      </c>
      <c r="M557" s="33">
        <f t="shared" si="406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0"/>
        <v>29731</v>
      </c>
      <c r="X557" s="9">
        <f t="shared" si="387"/>
        <v>24</v>
      </c>
      <c r="Y557" s="7">
        <v>8</v>
      </c>
      <c r="Z557" s="7">
        <f>BQ557-Y557-6</f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88"/>
        <v>7.6004023345003997</v>
      </c>
      <c r="AN557" s="33">
        <f t="shared" si="407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11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08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CY557" s="34" t="s">
        <v>86</v>
      </c>
    </row>
    <row r="558" spans="1:103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09"/>
        <v>1.9166666666666665</v>
      </c>
      <c r="G558" s="7">
        <f t="shared" si="412"/>
        <v>0.32999999999999996</v>
      </c>
      <c r="H558" s="16">
        <f t="shared" si="413"/>
        <v>1.0499999999999998</v>
      </c>
      <c r="I558" s="11">
        <f t="shared" si="385"/>
        <v>1.1297073004638739E-2</v>
      </c>
      <c r="J558" s="33">
        <f t="shared" si="386"/>
        <v>5.8941250458984726E-3</v>
      </c>
      <c r="K558" s="33">
        <f t="shared" si="404"/>
        <v>169.66046566926283</v>
      </c>
      <c r="L558" s="33">
        <f t="shared" si="405"/>
        <v>5.402947958740266E-3</v>
      </c>
      <c r="M558" s="33">
        <f t="shared" si="406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0"/>
        <v>28781</v>
      </c>
      <c r="X558" s="9">
        <f t="shared" si="387"/>
        <v>24</v>
      </c>
      <c r="Y558" s="7">
        <v>12</v>
      </c>
      <c r="Z558" s="7">
        <f>BQ558-Y558-6</f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88"/>
        <v>7.5923661285197959</v>
      </c>
      <c r="AN558" s="33">
        <f t="shared" si="407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11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08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CY558" s="34" t="s">
        <v>86</v>
      </c>
    </row>
    <row r="559" spans="1:103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09"/>
        <v>1.8076923076923075</v>
      </c>
      <c r="G559" s="7">
        <f t="shared" si="412"/>
        <v>0.20999999999999996</v>
      </c>
      <c r="H559" s="16">
        <f t="shared" si="413"/>
        <v>0.73</v>
      </c>
      <c r="I559" s="11">
        <f t="shared" si="385"/>
        <v>1.1140934343436375E-2</v>
      </c>
      <c r="J559" s="33">
        <f t="shared" si="386"/>
        <v>6.1630700623265056E-3</v>
      </c>
      <c r="K559" s="33">
        <f t="shared" si="404"/>
        <v>162.25679570199608</v>
      </c>
      <c r="L559" s="33">
        <f t="shared" si="405"/>
        <v>4.9778642811098691E-3</v>
      </c>
      <c r="M559" s="33">
        <f t="shared" si="406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0"/>
        <v>26324</v>
      </c>
      <c r="X559" s="9">
        <f t="shared" si="387"/>
        <v>24</v>
      </c>
      <c r="Y559" s="7">
        <v>12</v>
      </c>
      <c r="Z559" s="7">
        <f>BQ559-Y559-6</f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88"/>
        <v>7.5973963202127948</v>
      </c>
      <c r="AN559" s="33">
        <f t="shared" si="407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11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08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CY559" s="34" t="s">
        <v>86</v>
      </c>
    </row>
    <row r="560" spans="1:103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09"/>
        <v>0.76190476190476197</v>
      </c>
      <c r="G560" s="7">
        <f t="shared" si="412"/>
        <v>-4.9999999999999989E-2</v>
      </c>
      <c r="H560" s="16">
        <f t="shared" si="413"/>
        <v>0.37</v>
      </c>
      <c r="I560" s="11">
        <f t="shared" si="385"/>
        <v>4.4186712350274774E-3</v>
      </c>
      <c r="J560" s="33">
        <f t="shared" si="386"/>
        <v>5.799505995973564E-3</v>
      </c>
      <c r="K560" s="33">
        <f t="shared" si="404"/>
        <v>172.42847937294525</v>
      </c>
      <c r="L560" s="33">
        <f t="shared" si="405"/>
        <v>-1.3808347609460866E-3</v>
      </c>
      <c r="M560" s="33">
        <f t="shared" si="406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0"/>
        <v>29731</v>
      </c>
      <c r="X560" s="9">
        <f t="shared" si="387"/>
        <v>24</v>
      </c>
      <c r="Y560" s="7">
        <v>12</v>
      </c>
      <c r="Z560" s="7">
        <f>BQ560-Y560-6</f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88"/>
        <v>7.6004023345003997</v>
      </c>
      <c r="AN560" s="33">
        <f t="shared" si="407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11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08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CY560" s="34" t="s">
        <v>86</v>
      </c>
    </row>
    <row r="561" spans="1:103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09"/>
        <v>1.1847826086956523</v>
      </c>
      <c r="G561" s="7">
        <f t="shared" si="412"/>
        <v>0.3400000000000003</v>
      </c>
      <c r="H561" s="16">
        <f t="shared" si="413"/>
        <v>4.0199999999999996</v>
      </c>
      <c r="I561" s="11">
        <f t="shared" si="385"/>
        <v>6.9835322069161203E-3</v>
      </c>
      <c r="J561" s="33">
        <f t="shared" si="386"/>
        <v>5.8943574590484679E-3</v>
      </c>
      <c r="K561" s="33">
        <f t="shared" si="404"/>
        <v>169.65377599637995</v>
      </c>
      <c r="L561" s="33">
        <f t="shared" si="405"/>
        <v>1.0891747478676524E-3</v>
      </c>
      <c r="M561" s="33">
        <f t="shared" si="406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0"/>
        <v>28781</v>
      </c>
      <c r="X561" s="9">
        <f t="shared" si="387"/>
        <v>24</v>
      </c>
      <c r="Y561" s="7">
        <v>15.5</v>
      </c>
      <c r="Z561" s="7">
        <f>BQ561-Y561-6</f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88"/>
        <v>7.5923661285197959</v>
      </c>
      <c r="AN561" s="33">
        <f t="shared" si="407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11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08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CY561" s="34" t="s">
        <v>86</v>
      </c>
    </row>
    <row r="562" spans="1:103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09"/>
        <v>-1.8347826086956522</v>
      </c>
      <c r="G562" s="7">
        <f t="shared" si="412"/>
        <v>-3.26</v>
      </c>
      <c r="H562" s="16">
        <f t="shared" si="413"/>
        <v>-0.96</v>
      </c>
      <c r="I562" s="11">
        <f t="shared" si="385"/>
        <v>-1.1307872575350824E-2</v>
      </c>
      <c r="J562" s="33">
        <f t="shared" si="386"/>
        <v>6.1630585126319663E-3</v>
      </c>
      <c r="K562" s="33">
        <f t="shared" si="404"/>
        <v>162.2570997744665</v>
      </c>
      <c r="L562" s="33">
        <f t="shared" si="405"/>
        <v>-1.747093108798279E-2</v>
      </c>
      <c r="M562" s="33">
        <f t="shared" si="406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0"/>
        <v>26324</v>
      </c>
      <c r="X562" s="9">
        <f t="shared" si="387"/>
        <v>24</v>
      </c>
      <c r="Y562" s="7">
        <v>15.5</v>
      </c>
      <c r="Z562" s="7">
        <f>BQ562-Y562-6</f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88"/>
        <v>7.5973963202127948</v>
      </c>
      <c r="AN562" s="33">
        <f t="shared" si="407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11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08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CY562" s="34" t="s">
        <v>86</v>
      </c>
    </row>
    <row r="563" spans="1:103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09"/>
        <v>-7.3684210526315796E-2</v>
      </c>
      <c r="G563" s="7">
        <f t="shared" si="412"/>
        <v>-1.02</v>
      </c>
      <c r="H563" s="16">
        <f t="shared" si="413"/>
        <v>0.87999999999999989</v>
      </c>
      <c r="I563" s="11">
        <f t="shared" si="385"/>
        <v>-4.2733615355302289E-4</v>
      </c>
      <c r="J563" s="33">
        <f t="shared" si="386"/>
        <v>5.7995620839338818E-3</v>
      </c>
      <c r="K563" s="33">
        <f t="shared" si="404"/>
        <v>172.42681180536536</v>
      </c>
      <c r="L563" s="33">
        <f t="shared" si="405"/>
        <v>-6.2268982374869049E-3</v>
      </c>
      <c r="M563" s="33">
        <f t="shared" si="406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0"/>
        <v>29731</v>
      </c>
      <c r="X563" s="9">
        <f t="shared" si="387"/>
        <v>24</v>
      </c>
      <c r="Y563" s="7">
        <v>15.5</v>
      </c>
      <c r="Z563" s="7">
        <f>BQ563-Y563-6</f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88"/>
        <v>7.6004023345003997</v>
      </c>
      <c r="AN563" s="33">
        <f t="shared" si="407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11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08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CY563" s="34" t="s">
        <v>86</v>
      </c>
    </row>
    <row r="564" spans="1:103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14">D564-E564</f>
        <v>10.65241935483871</v>
      </c>
      <c r="H564" s="102">
        <f t="shared" ref="H564:H578" si="415">D564+E564</f>
        <v>11.54758064516129</v>
      </c>
      <c r="I564" s="103">
        <f t="shared" si="385"/>
        <v>0.53861649976244053</v>
      </c>
      <c r="J564" s="104">
        <f t="shared" si="386"/>
        <v>2.1718407248485505E-2</v>
      </c>
      <c r="K564" s="104">
        <f t="shared" ref="K564:K578" si="416">IFERROR(1/J564, "X")</f>
        <v>46.043892103079209</v>
      </c>
      <c r="L564" s="104">
        <f t="shared" ref="L564:L578" si="417">IFERROR(I564-J564, "X")</f>
        <v>0.51689809251395502</v>
      </c>
      <c r="M564" s="104">
        <f t="shared" ref="M564:M578" si="418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0"/>
        <v>1505</v>
      </c>
      <c r="X564" s="106">
        <f t="shared" si="387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88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X564" s="98"/>
      <c r="CY564" s="114" t="s">
        <v>86</v>
      </c>
    </row>
    <row r="565" spans="1:103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19">D565/F565</f>
        <v>0.47996477322765302</v>
      </c>
      <c r="F565" s="7">
        <v>22.71</v>
      </c>
      <c r="G565" s="7">
        <f t="shared" si="414"/>
        <v>10.420035226772347</v>
      </c>
      <c r="H565" s="16">
        <f t="shared" si="415"/>
        <v>11.379964773227654</v>
      </c>
      <c r="I565" s="11">
        <f t="shared" si="385"/>
        <v>0.54588442624056877</v>
      </c>
      <c r="J565" s="33">
        <f t="shared" si="386"/>
        <v>2.4037183013675419E-2</v>
      </c>
      <c r="K565" s="33">
        <f t="shared" si="416"/>
        <v>41.602212681538944</v>
      </c>
      <c r="L565" s="33">
        <f t="shared" si="417"/>
        <v>0.52184724322689335</v>
      </c>
      <c r="M565" s="33">
        <f t="shared" si="418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0"/>
        <v>1215</v>
      </c>
      <c r="X565" s="9">
        <f t="shared" si="387"/>
        <v>15</v>
      </c>
      <c r="Y565" s="7">
        <f t="shared" ref="Y565:Y578" si="420">(7.477*AV565+9.003*AW565)</f>
        <v>7.4770000000000003</v>
      </c>
      <c r="Z565" s="7">
        <f t="shared" ref="Z565:Z578" si="42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88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22">1-AY565</f>
        <v>0.55000000000000004</v>
      </c>
      <c r="AY565" s="40">
        <f t="shared" ref="AY565:AY578" si="42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>Z565+Y565+7</f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CY565" s="34" t="s">
        <v>86</v>
      </c>
    </row>
    <row r="566" spans="1:103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19"/>
        <v>1.2598425196850394</v>
      </c>
      <c r="F566" s="7">
        <v>10.16</v>
      </c>
      <c r="G566" s="7">
        <f t="shared" si="414"/>
        <v>11.540157480314962</v>
      </c>
      <c r="H566" s="16">
        <f t="shared" si="415"/>
        <v>14.05984251968504</v>
      </c>
      <c r="I566" s="11">
        <f t="shared" si="385"/>
        <v>0.51564596422723608</v>
      </c>
      <c r="J566" s="33">
        <f t="shared" si="386"/>
        <v>5.0752555534176777E-2</v>
      </c>
      <c r="K566" s="33">
        <f t="shared" si="416"/>
        <v>19.703441323789104</v>
      </c>
      <c r="L566" s="33">
        <f t="shared" si="417"/>
        <v>0.46489340869305928</v>
      </c>
      <c r="M566" s="33">
        <f t="shared" si="418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0"/>
        <v>285</v>
      </c>
      <c r="X566" s="9">
        <f t="shared" si="387"/>
        <v>15</v>
      </c>
      <c r="Y566" s="7">
        <f>(7.477*AV566+9.003*AW566)</f>
        <v>9.0030000000000001</v>
      </c>
      <c r="Z566" s="7">
        <f t="shared" si="42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88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22"/>
        <v>0.5</v>
      </c>
      <c r="AY566" s="40">
        <f t="shared" si="42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>Z566+Y566+7</f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CY566" s="34" t="s">
        <v>86</v>
      </c>
    </row>
    <row r="567" spans="1:103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19"/>
        <v>0.93525179856115104</v>
      </c>
      <c r="F567" s="7">
        <v>6.95</v>
      </c>
      <c r="G567" s="7">
        <f t="shared" si="414"/>
        <v>5.5647482014388494</v>
      </c>
      <c r="H567" s="16">
        <f t="shared" si="415"/>
        <v>7.4352517985611506</v>
      </c>
      <c r="I567" s="11">
        <f t="shared" si="385"/>
        <v>0.17651295312271437</v>
      </c>
      <c r="J567" s="33">
        <f t="shared" si="386"/>
        <v>2.5397547211901347E-2</v>
      </c>
      <c r="K567" s="33">
        <f t="shared" si="416"/>
        <v>39.373880936478692</v>
      </c>
      <c r="L567" s="33">
        <f t="shared" si="417"/>
        <v>0.15111540591081302</v>
      </c>
      <c r="M567" s="33">
        <f t="shared" si="418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0"/>
        <v>1502</v>
      </c>
      <c r="X567" s="9">
        <f t="shared" si="387"/>
        <v>15</v>
      </c>
      <c r="Y567" s="7">
        <f t="shared" si="420"/>
        <v>7.66012</v>
      </c>
      <c r="Z567" s="7">
        <f t="shared" si="42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88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24">1-AV567</f>
        <v>0.12</v>
      </c>
      <c r="AX567" s="39">
        <f t="shared" si="422"/>
        <v>0.54400000000000004</v>
      </c>
      <c r="AY567" s="40">
        <f t="shared" si="42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>Z567+Y567+7</f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CY567" s="34" t="s">
        <v>86</v>
      </c>
    </row>
    <row r="568" spans="1:103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19"/>
        <v>0.95238095238095244</v>
      </c>
      <c r="F568" s="7">
        <v>7.77</v>
      </c>
      <c r="G568" s="7">
        <f t="shared" si="414"/>
        <v>6.4476190476190478</v>
      </c>
      <c r="H568" s="16">
        <f t="shared" si="415"/>
        <v>8.3523809523809529</v>
      </c>
      <c r="I568" s="11">
        <f t="shared" si="385"/>
        <v>0.19657517462416382</v>
      </c>
      <c r="J568" s="33">
        <f t="shared" si="386"/>
        <v>2.5299250273380161E-2</v>
      </c>
      <c r="K568" s="33">
        <f t="shared" si="416"/>
        <v>39.526863017446757</v>
      </c>
      <c r="L568" s="33">
        <f t="shared" si="417"/>
        <v>0.17127592435078365</v>
      </c>
      <c r="M568" s="33">
        <f t="shared" si="418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0"/>
        <v>1502</v>
      </c>
      <c r="X568" s="9">
        <f t="shared" si="387"/>
        <v>15</v>
      </c>
      <c r="Y568" s="7">
        <f t="shared" si="420"/>
        <v>7.66012</v>
      </c>
      <c r="Z568" s="7">
        <f t="shared" si="42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88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24"/>
        <v>0.12</v>
      </c>
      <c r="AX568" s="39">
        <f t="shared" si="422"/>
        <v>0.54400000000000004</v>
      </c>
      <c r="AY568" s="40">
        <f t="shared" si="42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>Z568+Y568+7</f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CY568" s="34" t="s">
        <v>86</v>
      </c>
    </row>
    <row r="569" spans="1:103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19"/>
        <v>0.96030729833546735</v>
      </c>
      <c r="F569" s="7">
        <v>7.81</v>
      </c>
      <c r="G569" s="7">
        <f t="shared" si="414"/>
        <v>6.5396927016645323</v>
      </c>
      <c r="H569" s="16">
        <f t="shared" si="415"/>
        <v>8.4603072983354668</v>
      </c>
      <c r="I569" s="11">
        <f t="shared" si="385"/>
        <v>0.1975477495959001</v>
      </c>
      <c r="J569" s="33">
        <f t="shared" si="386"/>
        <v>2.5294206094225363E-2</v>
      </c>
      <c r="K569" s="33">
        <f t="shared" si="416"/>
        <v>39.534745477870473</v>
      </c>
      <c r="L569" s="33">
        <f t="shared" si="417"/>
        <v>0.17225354350167474</v>
      </c>
      <c r="M569" s="33">
        <f t="shared" si="418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0"/>
        <v>1502</v>
      </c>
      <c r="X569" s="9">
        <f t="shared" si="387"/>
        <v>15</v>
      </c>
      <c r="Y569" s="7">
        <f t="shared" si="420"/>
        <v>7.66012</v>
      </c>
      <c r="Z569" s="7">
        <f t="shared" si="42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88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24"/>
        <v>0.12</v>
      </c>
      <c r="AX569" s="39">
        <f t="shared" si="422"/>
        <v>0.54400000000000004</v>
      </c>
      <c r="AY569" s="40">
        <f t="shared" si="42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>Z569+Y569+7</f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CY569" s="34" t="s">
        <v>86</v>
      </c>
    </row>
    <row r="570" spans="1:103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19"/>
        <v>0.96052631578947367</v>
      </c>
      <c r="F570" s="7">
        <v>7.6</v>
      </c>
      <c r="G570" s="7">
        <f t="shared" si="414"/>
        <v>6.3394736842105264</v>
      </c>
      <c r="H570" s="16">
        <f t="shared" si="415"/>
        <v>8.2605263157894733</v>
      </c>
      <c r="I570" s="11">
        <f t="shared" si="385"/>
        <v>0.19243528302935478</v>
      </c>
      <c r="J570" s="33">
        <f t="shared" si="386"/>
        <v>2.5320431977546683E-2</v>
      </c>
      <c r="K570" s="33">
        <f t="shared" si="416"/>
        <v>39.493796981298217</v>
      </c>
      <c r="L570" s="33">
        <f t="shared" si="417"/>
        <v>0.16711485105180809</v>
      </c>
      <c r="M570" s="33">
        <f t="shared" si="418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0"/>
        <v>1502</v>
      </c>
      <c r="X570" s="9">
        <f t="shared" si="387"/>
        <v>15</v>
      </c>
      <c r="Y570" s="7">
        <f t="shared" si="420"/>
        <v>7.66012</v>
      </c>
      <c r="Z570" s="7">
        <f t="shared" si="42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88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24"/>
        <v>0.12</v>
      </c>
      <c r="AX570" s="39">
        <f t="shared" si="422"/>
        <v>0.54400000000000004</v>
      </c>
      <c r="AY570" s="40">
        <f t="shared" si="42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>Z570+Y570+7</f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CY570" s="34" t="s">
        <v>86</v>
      </c>
    </row>
    <row r="571" spans="1:103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19"/>
        <v>0.94164456233421745</v>
      </c>
      <c r="F571" s="7">
        <v>7.54</v>
      </c>
      <c r="G571" s="7">
        <f t="shared" si="414"/>
        <v>6.1583554376657821</v>
      </c>
      <c r="H571" s="16">
        <f t="shared" si="415"/>
        <v>8.0416445623342163</v>
      </c>
      <c r="I571" s="11">
        <f t="shared" si="385"/>
        <v>0.19097167590337699</v>
      </c>
      <c r="J571" s="33">
        <f t="shared" si="386"/>
        <v>2.5327808475248934E-2</v>
      </c>
      <c r="K571" s="33">
        <f t="shared" si="416"/>
        <v>39.482294766135368</v>
      </c>
      <c r="L571" s="33">
        <f t="shared" si="417"/>
        <v>0.16564386742812806</v>
      </c>
      <c r="M571" s="33">
        <f t="shared" si="418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0"/>
        <v>1502</v>
      </c>
      <c r="X571" s="9">
        <f t="shared" si="387"/>
        <v>15</v>
      </c>
      <c r="Y571" s="7">
        <f t="shared" si="420"/>
        <v>7.66012</v>
      </c>
      <c r="Z571" s="7">
        <f t="shared" si="42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88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24"/>
        <v>0.12</v>
      </c>
      <c r="AX571" s="39">
        <f t="shared" si="422"/>
        <v>0.54400000000000004</v>
      </c>
      <c r="AY571" s="40">
        <f t="shared" si="42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>Z571+Y571+7</f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CY571" s="34" t="s">
        <v>86</v>
      </c>
    </row>
    <row r="572" spans="1:103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19"/>
        <v>0.90361445783132532</v>
      </c>
      <c r="F572" s="7">
        <v>6.64</v>
      </c>
      <c r="G572" s="7">
        <f t="shared" si="414"/>
        <v>5.096385542168675</v>
      </c>
      <c r="H572" s="16">
        <f t="shared" si="415"/>
        <v>6.903614457831325</v>
      </c>
      <c r="I572" s="11">
        <f t="shared" si="385"/>
        <v>0.16886931820305151</v>
      </c>
      <c r="J572" s="33">
        <f t="shared" si="386"/>
        <v>2.5432126235399324E-2</v>
      </c>
      <c r="K572" s="33">
        <f t="shared" si="416"/>
        <v>39.320345878438047</v>
      </c>
      <c r="L572" s="33">
        <f t="shared" si="417"/>
        <v>0.1434371919676522</v>
      </c>
      <c r="M572" s="33">
        <f t="shared" si="418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0"/>
        <v>1502</v>
      </c>
      <c r="X572" s="9">
        <f t="shared" si="387"/>
        <v>15</v>
      </c>
      <c r="Y572" s="7">
        <f t="shared" si="420"/>
        <v>7.66012</v>
      </c>
      <c r="Z572" s="7">
        <f t="shared" si="42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88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24"/>
        <v>0.12</v>
      </c>
      <c r="AX572" s="39">
        <f t="shared" si="422"/>
        <v>0.54400000000000004</v>
      </c>
      <c r="AY572" s="40">
        <f t="shared" si="42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>Z572+Y572+7</f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CY572" s="34" t="s">
        <v>86</v>
      </c>
    </row>
    <row r="573" spans="1:103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19"/>
        <v>0.98707403055229148</v>
      </c>
      <c r="F573" s="7">
        <v>8.51</v>
      </c>
      <c r="G573" s="7">
        <f t="shared" si="414"/>
        <v>7.4129259694477092</v>
      </c>
      <c r="H573" s="16">
        <f t="shared" si="415"/>
        <v>9.3870740305522915</v>
      </c>
      <c r="I573" s="11">
        <f t="shared" si="385"/>
        <v>0.21440325235359536</v>
      </c>
      <c r="J573" s="33">
        <f t="shared" si="386"/>
        <v>2.5194271721926603E-2</v>
      </c>
      <c r="K573" s="33">
        <f t="shared" si="416"/>
        <v>39.691562075584777</v>
      </c>
      <c r="L573" s="33">
        <f t="shared" si="417"/>
        <v>0.18920898063166877</v>
      </c>
      <c r="M573" s="33">
        <f t="shared" si="418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0"/>
        <v>1503</v>
      </c>
      <c r="X573" s="9">
        <f t="shared" si="387"/>
        <v>15</v>
      </c>
      <c r="Y573" s="7">
        <f t="shared" si="420"/>
        <v>7.66012</v>
      </c>
      <c r="Z573" s="7">
        <f t="shared" si="42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88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24"/>
        <v>0.12</v>
      </c>
      <c r="AX573" s="39">
        <f t="shared" si="422"/>
        <v>0.54400000000000004</v>
      </c>
      <c r="AY573" s="40">
        <f t="shared" si="42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>Z573+Y573+7</f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CY573" s="34" t="s">
        <v>86</v>
      </c>
    </row>
    <row r="574" spans="1:103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19"/>
        <v>1.0407876230661042</v>
      </c>
      <c r="F574" s="7">
        <v>7.11</v>
      </c>
      <c r="G574" s="7">
        <f t="shared" si="414"/>
        <v>6.359212376933896</v>
      </c>
      <c r="H574" s="16">
        <f t="shared" si="415"/>
        <v>8.4407876230661039</v>
      </c>
      <c r="I574" s="11">
        <f t="shared" si="385"/>
        <v>0.19994071330712809</v>
      </c>
      <c r="J574" s="33">
        <f t="shared" si="386"/>
        <v>2.8121056723928003E-2</v>
      </c>
      <c r="K574" s="33">
        <f t="shared" si="416"/>
        <v>35.560541334462272</v>
      </c>
      <c r="L574" s="33">
        <f t="shared" si="417"/>
        <v>0.17181965658320009</v>
      </c>
      <c r="M574" s="33">
        <f t="shared" si="418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0"/>
        <v>1214</v>
      </c>
      <c r="X574" s="9">
        <f t="shared" si="387"/>
        <v>15</v>
      </c>
      <c r="Y574" s="7">
        <f t="shared" si="420"/>
        <v>7.4770000000000003</v>
      </c>
      <c r="Z574" s="7">
        <f t="shared" si="42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88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22"/>
        <v>0.55000000000000004</v>
      </c>
      <c r="AY574" s="40">
        <f t="shared" si="42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>Z574+Y574+7</f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CY574" s="34" t="s">
        <v>86</v>
      </c>
    </row>
    <row r="575" spans="1:103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19"/>
        <v>3.1275720164609049</v>
      </c>
      <c r="F575" s="7">
        <v>2.4300000000000002</v>
      </c>
      <c r="G575" s="7">
        <f t="shared" si="414"/>
        <v>4.4724279835390952</v>
      </c>
      <c r="H575" s="16">
        <f t="shared" si="415"/>
        <v>10.727572016460904</v>
      </c>
      <c r="I575" s="11">
        <f t="shared" si="385"/>
        <v>6.11932504058443E-2</v>
      </c>
      <c r="J575" s="33">
        <f t="shared" si="386"/>
        <v>2.5182407574421521E-2</v>
      </c>
      <c r="K575" s="33">
        <f t="shared" si="416"/>
        <v>39.710261897902413</v>
      </c>
      <c r="L575" s="33">
        <f t="shared" si="417"/>
        <v>3.6010842831422779E-2</v>
      </c>
      <c r="M575" s="33">
        <f t="shared" si="418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0"/>
        <v>1571</v>
      </c>
      <c r="X575" s="9">
        <f t="shared" si="387"/>
        <v>15</v>
      </c>
      <c r="Y575" s="7">
        <f t="shared" si="420"/>
        <v>9.0030000000000001</v>
      </c>
      <c r="Z575" s="7">
        <f t="shared" si="42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88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22"/>
        <v>0.5</v>
      </c>
      <c r="AY575" s="40">
        <f t="shared" si="42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>Z575+Y575+7</f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CY575" s="34" t="s">
        <v>86</v>
      </c>
    </row>
    <row r="576" spans="1:103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19"/>
        <v>0.93314763231197773</v>
      </c>
      <c r="F576" s="7">
        <v>7.18</v>
      </c>
      <c r="G576" s="7">
        <f t="shared" si="414"/>
        <v>5.7668523676880223</v>
      </c>
      <c r="H576" s="16">
        <f t="shared" si="415"/>
        <v>7.633147632311978</v>
      </c>
      <c r="I576" s="11">
        <f t="shared" si="385"/>
        <v>0.18239852026663411</v>
      </c>
      <c r="J576" s="33">
        <f t="shared" si="386"/>
        <v>2.5403693630450433E-2</v>
      </c>
      <c r="K576" s="33">
        <f t="shared" si="416"/>
        <v>39.364354433929179</v>
      </c>
      <c r="L576" s="33">
        <f t="shared" si="417"/>
        <v>0.15699482663618369</v>
      </c>
      <c r="M576" s="33">
        <f t="shared" si="418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25">U576-V576-1</f>
        <v>1498</v>
      </c>
      <c r="X576" s="9">
        <f t="shared" si="387"/>
        <v>15</v>
      </c>
      <c r="Y576" s="7">
        <f t="shared" si="420"/>
        <v>7.66012</v>
      </c>
      <c r="Z576" s="7">
        <f t="shared" si="42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88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22"/>
        <v>0.54400000000000004</v>
      </c>
      <c r="AY576" s="40">
        <f t="shared" si="42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>Z576+Y576+7</f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CY576" s="34" t="s">
        <v>86</v>
      </c>
    </row>
    <row r="577" spans="1:103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19"/>
        <v>0.94855305466237949</v>
      </c>
      <c r="F577" s="7">
        <v>6.22</v>
      </c>
      <c r="G577" s="7">
        <f t="shared" si="414"/>
        <v>4.9514469453376204</v>
      </c>
      <c r="H577" s="16">
        <f t="shared" si="415"/>
        <v>6.8485530546623803</v>
      </c>
      <c r="I577" s="11">
        <f t="shared" si="385"/>
        <v>0.17609106334503863</v>
      </c>
      <c r="J577" s="33">
        <f t="shared" si="386"/>
        <v>2.8310460344861517E-2</v>
      </c>
      <c r="K577" s="33">
        <f t="shared" si="416"/>
        <v>35.322632970943715</v>
      </c>
      <c r="L577" s="33">
        <f t="shared" si="417"/>
        <v>0.14778060300017712</v>
      </c>
      <c r="M577" s="33">
        <f t="shared" si="418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25"/>
        <v>1209</v>
      </c>
      <c r="X577" s="9">
        <f t="shared" si="387"/>
        <v>15</v>
      </c>
      <c r="Y577" s="7">
        <f t="shared" si="420"/>
        <v>7.4770000000000003</v>
      </c>
      <c r="Z577" s="7">
        <f t="shared" si="42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88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22"/>
        <v>0.55000000000000004</v>
      </c>
      <c r="AY577" s="40">
        <f t="shared" si="42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>Z577+Y577+7</f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CY577" s="34" t="s">
        <v>86</v>
      </c>
    </row>
    <row r="578" spans="1:103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19"/>
        <v>3.1132075471698109</v>
      </c>
      <c r="F578" s="7">
        <v>2.12</v>
      </c>
      <c r="G578" s="7">
        <f t="shared" si="414"/>
        <v>3.4867924528301888</v>
      </c>
      <c r="H578" s="16">
        <f t="shared" si="415"/>
        <v>9.7132075471698105</v>
      </c>
      <c r="I578" s="11">
        <f t="shared" ref="I578:I641" si="426">IFERROR(F578/SQRT(F578^2+W578), "X")</f>
        <v>0.12591098420571495</v>
      </c>
      <c r="J578" s="33">
        <f t="shared" ref="J578:J641" si="427">IFERROR(SQRT((1-I578^2)/W578), "X")</f>
        <v>5.9391973681941011E-2</v>
      </c>
      <c r="K578" s="33">
        <f t="shared" si="416"/>
        <v>16.837291943777657</v>
      </c>
      <c r="L578" s="33">
        <f t="shared" si="417"/>
        <v>6.651901052377393E-2</v>
      </c>
      <c r="M578" s="33">
        <f t="shared" si="418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25"/>
        <v>279</v>
      </c>
      <c r="X578" s="9">
        <f t="shared" si="387"/>
        <v>15</v>
      </c>
      <c r="Y578" s="7">
        <f t="shared" si="420"/>
        <v>9.0030000000000001</v>
      </c>
      <c r="Z578" s="7">
        <f t="shared" si="42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88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22"/>
        <v>0.5</v>
      </c>
      <c r="AY578" s="40">
        <f t="shared" si="42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>Z578+Y578+7</f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CY578" s="34" t="s">
        <v>86</v>
      </c>
    </row>
    <row r="579" spans="1:103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28">D579/E579</f>
        <v>22.2</v>
      </c>
      <c r="G579" s="101">
        <f t="shared" ref="G579:G603" si="429">D579-E579</f>
        <v>10.6</v>
      </c>
      <c r="H579" s="102">
        <f t="shared" ref="H579:H592" si="430">D579+E579</f>
        <v>11.6</v>
      </c>
      <c r="I579" s="103">
        <f t="shared" si="426"/>
        <v>0.39245407503305468</v>
      </c>
      <c r="J579" s="104">
        <f t="shared" si="427"/>
        <v>1.7678111487975434E-2</v>
      </c>
      <c r="K579" s="104">
        <f t="shared" ref="K579:K587" si="431">IFERROR(1/J579, "X")</f>
        <v>56.567128263683323</v>
      </c>
      <c r="L579" s="104">
        <f t="shared" ref="L579:L587" si="432">IFERROR(I579-J579, "X")</f>
        <v>0.37477596354507925</v>
      </c>
      <c r="M579" s="104">
        <f t="shared" ref="M579:M587" si="43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25"/>
        <v>2707</v>
      </c>
      <c r="X579" s="106">
        <f t="shared" ref="X579:X642" si="43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3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X579" s="98"/>
      <c r="CY579" s="114" t="s">
        <v>86</v>
      </c>
    </row>
    <row r="580" spans="1:103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28"/>
        <v>12.875</v>
      </c>
      <c r="G580" s="7">
        <f t="shared" si="429"/>
        <v>9.5</v>
      </c>
      <c r="H580" s="16">
        <f t="shared" si="430"/>
        <v>11.100000000000001</v>
      </c>
      <c r="I580" s="11">
        <f t="shared" si="426"/>
        <v>0.14568016832067471</v>
      </c>
      <c r="J580" s="33">
        <f t="shared" si="427"/>
        <v>1.1314964529761141E-2</v>
      </c>
      <c r="K580" s="33">
        <f t="shared" si="431"/>
        <v>88.378535997152611</v>
      </c>
      <c r="L580" s="33">
        <f t="shared" si="432"/>
        <v>0.13436520379091357</v>
      </c>
      <c r="M580" s="33">
        <f t="shared" si="43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25"/>
        <v>7645</v>
      </c>
      <c r="X580" s="9">
        <f t="shared" si="43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3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36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37">1-AX580</f>
        <v>0.29000000000000004</v>
      </c>
      <c r="BA580" s="18"/>
      <c r="BB580" s="39">
        <v>0.25</v>
      </c>
      <c r="BC580" s="40">
        <f t="shared" ref="BC580:BC584" si="438">1-BB580</f>
        <v>0.75</v>
      </c>
      <c r="BD580" s="18" t="s">
        <v>28</v>
      </c>
      <c r="BK580" s="18"/>
      <c r="BN580" s="18"/>
      <c r="BQ580" s="96">
        <f>Z580+Y580+6</f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CY580" s="34" t="s">
        <v>86</v>
      </c>
    </row>
    <row r="581" spans="1:103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28"/>
        <v>25.75</v>
      </c>
      <c r="G581" s="7">
        <f t="shared" si="429"/>
        <v>9.9</v>
      </c>
      <c r="H581" s="16">
        <f t="shared" si="430"/>
        <v>10.700000000000001</v>
      </c>
      <c r="I581" s="11">
        <f t="shared" si="426"/>
        <v>0.30460976967849723</v>
      </c>
      <c r="J581" s="33">
        <f t="shared" si="427"/>
        <v>1.1829505618582415E-2</v>
      </c>
      <c r="K581" s="33">
        <f t="shared" si="431"/>
        <v>84.534386494491116</v>
      </c>
      <c r="L581" s="33">
        <f t="shared" si="432"/>
        <v>0.29278026405991481</v>
      </c>
      <c r="M581" s="33">
        <f t="shared" si="43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25"/>
        <v>6483</v>
      </c>
      <c r="X581" s="9">
        <f t="shared" si="43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3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36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37"/>
        <v>0.31000000000000005</v>
      </c>
      <c r="BA581" s="18"/>
      <c r="BB581" s="39">
        <v>0.25</v>
      </c>
      <c r="BC581" s="40">
        <f t="shared" si="438"/>
        <v>0.75</v>
      </c>
      <c r="BD581" s="18" t="s">
        <v>28</v>
      </c>
      <c r="BK581" s="18"/>
      <c r="BN581" s="18"/>
      <c r="BQ581" s="96">
        <f>Z581+Y581+6</f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CY581" s="34" t="s">
        <v>86</v>
      </c>
    </row>
    <row r="582" spans="1:103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28"/>
        <v>13.5</v>
      </c>
      <c r="G582" s="7">
        <f t="shared" si="429"/>
        <v>10</v>
      </c>
      <c r="H582" s="16">
        <f t="shared" si="430"/>
        <v>11.600000000000001</v>
      </c>
      <c r="I582" s="11">
        <f t="shared" si="426"/>
        <v>0.27960140146238877</v>
      </c>
      <c r="J582" s="33">
        <f t="shared" si="427"/>
        <v>2.071121492313991E-2</v>
      </c>
      <c r="K582" s="33">
        <f t="shared" si="431"/>
        <v>48.283019789569913</v>
      </c>
      <c r="L582" s="33">
        <f t="shared" si="432"/>
        <v>0.25889018653924883</v>
      </c>
      <c r="M582" s="33">
        <f t="shared" si="43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25"/>
        <v>2149</v>
      </c>
      <c r="X582" s="9">
        <f t="shared" si="43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3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36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37"/>
        <v>0.36</v>
      </c>
      <c r="BA582" s="18"/>
      <c r="BB582" s="39">
        <v>0.12</v>
      </c>
      <c r="BC582" s="40">
        <f t="shared" si="438"/>
        <v>0.88</v>
      </c>
      <c r="BD582" s="18" t="s">
        <v>28</v>
      </c>
      <c r="BK582" s="18"/>
      <c r="BN582" s="18"/>
      <c r="BQ582" s="96">
        <f>Z582+Y582+6</f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CY582" s="34" t="s">
        <v>86</v>
      </c>
    </row>
    <row r="583" spans="1:103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28"/>
        <v>25.75</v>
      </c>
      <c r="G583" s="7">
        <f t="shared" si="429"/>
        <v>9.9</v>
      </c>
      <c r="H583" s="16">
        <f t="shared" si="430"/>
        <v>10.700000000000001</v>
      </c>
      <c r="I583" s="11">
        <f t="shared" si="426"/>
        <v>0.30144160977152851</v>
      </c>
      <c r="J583" s="33">
        <f t="shared" si="427"/>
        <v>1.1706470282389457E-2</v>
      </c>
      <c r="K583" s="33">
        <f t="shared" si="431"/>
        <v>85.422845304988527</v>
      </c>
      <c r="L583" s="33">
        <f t="shared" si="432"/>
        <v>0.28973513948913904</v>
      </c>
      <c r="M583" s="33">
        <f t="shared" si="43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25"/>
        <v>6634</v>
      </c>
      <c r="X583" s="9">
        <f t="shared" si="43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3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36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37"/>
        <v>0.31999999999999995</v>
      </c>
      <c r="BA583" s="18"/>
      <c r="BB583" s="39">
        <v>0.22</v>
      </c>
      <c r="BC583" s="40">
        <f t="shared" si="438"/>
        <v>0.78</v>
      </c>
      <c r="BD583" s="18" t="s">
        <v>28</v>
      </c>
      <c r="BK583" s="18"/>
      <c r="BN583" s="18"/>
      <c r="BQ583" s="96">
        <f>Z583+Y583+6</f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CY583" s="34" t="s">
        <v>86</v>
      </c>
    </row>
    <row r="584" spans="1:103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28"/>
        <v>26.749999999999996</v>
      </c>
      <c r="G584" s="7">
        <f t="shared" si="429"/>
        <v>10.299999999999999</v>
      </c>
      <c r="H584" s="16">
        <f t="shared" si="430"/>
        <v>11.1</v>
      </c>
      <c r="I584" s="11">
        <f t="shared" si="426"/>
        <v>0.32404460614450042</v>
      </c>
      <c r="J584" s="33">
        <f t="shared" si="427"/>
        <v>1.2113817052130859E-2</v>
      </c>
      <c r="K584" s="33">
        <f t="shared" si="431"/>
        <v>82.550363415311509</v>
      </c>
      <c r="L584" s="33">
        <f t="shared" si="432"/>
        <v>0.31193078909236954</v>
      </c>
      <c r="M584" s="33">
        <f t="shared" si="43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25"/>
        <v>6099</v>
      </c>
      <c r="X584" s="9">
        <f t="shared" si="43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3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36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37"/>
        <v>0.30000000000000004</v>
      </c>
      <c r="BA584" s="18"/>
      <c r="BB584" s="39">
        <v>0.23</v>
      </c>
      <c r="BC584" s="40">
        <f t="shared" si="438"/>
        <v>0.77</v>
      </c>
      <c r="BD584" s="18" t="s">
        <v>28</v>
      </c>
      <c r="BK584" s="18"/>
      <c r="BN584" s="18"/>
      <c r="BQ584" s="96">
        <f>Z584+Y584+6</f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CY584" s="34" t="s">
        <v>86</v>
      </c>
    </row>
    <row r="585" spans="1:103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28"/>
        <v>26.749999999999996</v>
      </c>
      <c r="G585" s="101">
        <f t="shared" si="429"/>
        <v>10.299999999999999</v>
      </c>
      <c r="H585" s="102">
        <f t="shared" si="430"/>
        <v>11.1</v>
      </c>
      <c r="I585" s="103">
        <f t="shared" si="426"/>
        <v>0.2884097035040431</v>
      </c>
      <c r="J585" s="104">
        <f t="shared" si="427"/>
        <v>1.078167115902965E-2</v>
      </c>
      <c r="K585" s="104">
        <f t="shared" si="431"/>
        <v>92.75</v>
      </c>
      <c r="L585" s="104">
        <f t="shared" si="432"/>
        <v>0.27762803234501343</v>
      </c>
      <c r="M585" s="104">
        <f t="shared" si="43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25"/>
        <v>7887</v>
      </c>
      <c r="X585" s="106">
        <f t="shared" si="43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3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>Z585+Y585+6</f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X585" s="98"/>
      <c r="CY585" s="114" t="s">
        <v>86</v>
      </c>
    </row>
    <row r="586" spans="1:103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28"/>
        <v>1.1632653061224489</v>
      </c>
      <c r="G586" s="7">
        <f t="shared" si="429"/>
        <v>0.79999999999999982</v>
      </c>
      <c r="H586" s="16">
        <f t="shared" si="430"/>
        <v>10.600000000000001</v>
      </c>
      <c r="I586" s="11">
        <f t="shared" si="426"/>
        <v>1.3097415406194352E-2</v>
      </c>
      <c r="J586" s="33">
        <f t="shared" si="427"/>
        <v>1.1259181664974091E-2</v>
      </c>
      <c r="K586" s="33">
        <f t="shared" si="431"/>
        <v>88.816401560592553</v>
      </c>
      <c r="L586" s="33">
        <f t="shared" si="432"/>
        <v>1.8382337412202604E-3</v>
      </c>
      <c r="M586" s="33">
        <f t="shared" si="43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25"/>
        <v>7887</v>
      </c>
      <c r="X586" s="9">
        <f t="shared" si="43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3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39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>Z586+Y586+6</f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CY586" s="34" t="s">
        <v>86</v>
      </c>
    </row>
    <row r="587" spans="1:103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28"/>
        <v>23.999999999999996</v>
      </c>
      <c r="G587" s="7">
        <f t="shared" si="429"/>
        <v>9.1999999999999993</v>
      </c>
      <c r="H587" s="16">
        <f t="shared" si="430"/>
        <v>10</v>
      </c>
      <c r="I587" s="11">
        <f t="shared" si="426"/>
        <v>0.26088497711976005</v>
      </c>
      <c r="J587" s="33">
        <f t="shared" si="427"/>
        <v>1.0870207379990005E-2</v>
      </c>
      <c r="K587" s="33">
        <f t="shared" si="431"/>
        <v>91.994565056855379</v>
      </c>
      <c r="L587" s="33">
        <f t="shared" si="432"/>
        <v>0.25001476973977005</v>
      </c>
      <c r="M587" s="33">
        <f t="shared" si="43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25"/>
        <v>7887</v>
      </c>
      <c r="X587" s="9">
        <f t="shared" si="43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3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39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>Z587+Y587+6</f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CY587" s="34" t="s">
        <v>86</v>
      </c>
    </row>
    <row r="588" spans="1:103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28"/>
        <v>17.285714285714285</v>
      </c>
      <c r="G588" s="7">
        <f t="shared" si="429"/>
        <v>11.4</v>
      </c>
      <c r="H588" s="16">
        <f t="shared" si="430"/>
        <v>12.799999999999999</v>
      </c>
      <c r="I588" s="11">
        <f t="shared" si="426"/>
        <v>0.19105432514279824</v>
      </c>
      <c r="J588" s="33">
        <f t="shared" si="427"/>
        <v>1.1052729553715602E-2</v>
      </c>
      <c r="K588" s="33">
        <f t="shared" ref="K588:K591" si="440">IFERROR(1/J588, "X")</f>
        <v>90.475388467623318</v>
      </c>
      <c r="L588" s="33">
        <f t="shared" ref="L588:L591" si="441">IFERROR(I588-J588, "X")</f>
        <v>0.18000159558908263</v>
      </c>
      <c r="M588" s="33">
        <f t="shared" ref="M588:M591" si="442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43">U588-V588-1</f>
        <v>7887</v>
      </c>
      <c r="X588" s="9">
        <f t="shared" si="43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3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39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>Z588+Y588+6</f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CY588" s="34" t="s">
        <v>86</v>
      </c>
    </row>
    <row r="589" spans="1:103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28"/>
        <v>28.75</v>
      </c>
      <c r="G589" s="7">
        <f t="shared" si="429"/>
        <v>11.1</v>
      </c>
      <c r="H589" s="16">
        <f t="shared" si="430"/>
        <v>11.9</v>
      </c>
      <c r="I589" s="11">
        <f t="shared" si="426"/>
        <v>0.30799238135248219</v>
      </c>
      <c r="J589" s="33">
        <f t="shared" si="427"/>
        <v>1.0712778481825468E-2</v>
      </c>
      <c r="K589" s="33">
        <f t="shared" si="440"/>
        <v>93.346464850041315</v>
      </c>
      <c r="L589" s="33">
        <f t="shared" si="441"/>
        <v>0.29727960287065675</v>
      </c>
      <c r="M589" s="33">
        <f t="shared" si="442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43"/>
        <v>7887</v>
      </c>
      <c r="X589" s="9">
        <f t="shared" si="43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3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39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>Z589+Y589+6</f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CY589" s="34" t="s">
        <v>86</v>
      </c>
    </row>
    <row r="590" spans="1:103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28"/>
        <v>40.333333333333336</v>
      </c>
      <c r="G590" s="7">
        <f t="shared" si="429"/>
        <v>11.799999999999999</v>
      </c>
      <c r="H590" s="16">
        <f t="shared" si="430"/>
        <v>12.4</v>
      </c>
      <c r="I590" s="11">
        <f t="shared" si="426"/>
        <v>0.4135115210077786</v>
      </c>
      <c r="J590" s="33">
        <f t="shared" si="427"/>
        <v>1.0252351760523436E-2</v>
      </c>
      <c r="K590" s="33">
        <f t="shared" si="440"/>
        <v>97.53859634922874</v>
      </c>
      <c r="L590" s="33">
        <f t="shared" si="441"/>
        <v>0.40325916924725519</v>
      </c>
      <c r="M590" s="33">
        <f t="shared" si="442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43"/>
        <v>7887</v>
      </c>
      <c r="X590" s="9">
        <f t="shared" si="43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3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39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>Z590+Y590+6</f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CY590" s="34" t="s">
        <v>86</v>
      </c>
    </row>
    <row r="591" spans="1:103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28"/>
        <v>38</v>
      </c>
      <c r="G591" s="7">
        <f t="shared" si="429"/>
        <v>11.1</v>
      </c>
      <c r="H591" s="16">
        <f t="shared" si="430"/>
        <v>11.700000000000001</v>
      </c>
      <c r="I591" s="11">
        <f t="shared" si="426"/>
        <v>0.39338654521701061</v>
      </c>
      <c r="J591" s="33">
        <f t="shared" si="427"/>
        <v>1.0352277505710807E-2</v>
      </c>
      <c r="K591" s="33">
        <f t="shared" si="440"/>
        <v>96.597101405787527</v>
      </c>
      <c r="L591" s="33">
        <f t="shared" si="441"/>
        <v>0.38303426771129978</v>
      </c>
      <c r="M591" s="33">
        <f t="shared" si="442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43"/>
        <v>7887</v>
      </c>
      <c r="X591" s="9">
        <f t="shared" si="43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3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39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>Z591+Y591+6</f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CY591" s="34" t="s">
        <v>86</v>
      </c>
    </row>
    <row r="592" spans="1:103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28"/>
        <v>19.2</v>
      </c>
      <c r="G592" s="7">
        <f t="shared" si="429"/>
        <v>9.1</v>
      </c>
      <c r="H592" s="16">
        <f t="shared" si="430"/>
        <v>10.1</v>
      </c>
      <c r="I592" s="11">
        <f t="shared" si="426"/>
        <v>0.21131282467937684</v>
      </c>
      <c r="J592" s="33">
        <f t="shared" si="427"/>
        <v>1.1005876285384211E-2</v>
      </c>
      <c r="K592" s="33">
        <f t="shared" ref="K592" si="444">IFERROR(1/J592, "X")</f>
        <v>90.860552496669314</v>
      </c>
      <c r="L592" s="33">
        <f t="shared" ref="L592" si="445">IFERROR(I592-J592, "X")</f>
        <v>0.20030694839399263</v>
      </c>
      <c r="M592" s="33">
        <f t="shared" ref="M592" si="446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43"/>
        <v>7887</v>
      </c>
      <c r="X592" s="9">
        <f t="shared" si="43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3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39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>Z592+Y592+6</f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CY592" s="34" t="s">
        <v>86</v>
      </c>
    </row>
    <row r="593" spans="1:103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28"/>
        <v>31.25</v>
      </c>
      <c r="G593" s="7">
        <f t="shared" si="429"/>
        <v>12.1</v>
      </c>
      <c r="H593" s="16">
        <f t="shared" ref="H593:H603" si="447">D593+E593</f>
        <v>12.9</v>
      </c>
      <c r="I593" s="11">
        <f t="shared" si="426"/>
        <v>0.33192951088238148</v>
      </c>
      <c r="J593" s="33">
        <f t="shared" si="427"/>
        <v>1.0621744348236208E-2</v>
      </c>
      <c r="K593" s="33">
        <f t="shared" ref="K593:K599" si="448">IFERROR(1/J593, "X")</f>
        <v>94.146494889613379</v>
      </c>
      <c r="L593" s="33">
        <f t="shared" ref="L593:L599" si="449">IFERROR(I593-J593, "X")</f>
        <v>0.32130776653414528</v>
      </c>
      <c r="M593" s="33">
        <f t="shared" ref="M593:M599" si="450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51">U593-V593-1</f>
        <v>7887</v>
      </c>
      <c r="X593" s="9">
        <f t="shared" si="43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3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39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>Z593+Y593+6</f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CY593" s="34" t="s">
        <v>86</v>
      </c>
    </row>
    <row r="594" spans="1:103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28"/>
        <v>6.1</v>
      </c>
      <c r="G594" s="7">
        <f t="shared" si="429"/>
        <v>5.0999999999999996</v>
      </c>
      <c r="H594" s="16">
        <f t="shared" si="447"/>
        <v>7.1</v>
      </c>
      <c r="I594" s="11">
        <f t="shared" si="426"/>
        <v>0.1290529211438062</v>
      </c>
      <c r="J594" s="33">
        <f t="shared" si="427"/>
        <v>2.1156216580951834E-2</v>
      </c>
      <c r="K594" s="33">
        <f t="shared" si="448"/>
        <v>47.267430647328403</v>
      </c>
      <c r="L594" s="33">
        <f t="shared" si="449"/>
        <v>0.10789670456285437</v>
      </c>
      <c r="M594" s="33">
        <f t="shared" si="450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51"/>
        <v>2197</v>
      </c>
      <c r="X594" s="9">
        <f t="shared" si="43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3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39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>Z594+Y594+6</f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CY594" s="34" t="s">
        <v>86</v>
      </c>
    </row>
    <row r="595" spans="1:103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28"/>
        <v>26</v>
      </c>
      <c r="G595" s="7">
        <f t="shared" si="429"/>
        <v>12.5</v>
      </c>
      <c r="H595" s="16">
        <f t="shared" si="447"/>
        <v>13.5</v>
      </c>
      <c r="I595" s="11">
        <f t="shared" si="426"/>
        <v>0.40839935366624441</v>
      </c>
      <c r="J595" s="33">
        <f t="shared" si="427"/>
        <v>1.5707667448701706E-2</v>
      </c>
      <c r="K595" s="33">
        <f t="shared" si="448"/>
        <v>63.663176169588027</v>
      </c>
      <c r="L595" s="33">
        <f t="shared" si="449"/>
        <v>0.39269168621754269</v>
      </c>
      <c r="M595" s="33">
        <f t="shared" si="450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51"/>
        <v>3377</v>
      </c>
      <c r="X595" s="9">
        <f t="shared" si="43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3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39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>Z595+Y595+6</f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CY595" s="34" t="s">
        <v>86</v>
      </c>
    </row>
    <row r="596" spans="1:103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28"/>
        <v>7.7500000000000009</v>
      </c>
      <c r="G596" s="7">
        <f t="shared" si="429"/>
        <v>8.1000000000000014</v>
      </c>
      <c r="H596" s="16">
        <f t="shared" si="447"/>
        <v>10.5</v>
      </c>
      <c r="I596" s="11">
        <f t="shared" si="426"/>
        <v>0.3500869861115416</v>
      </c>
      <c r="J596" s="33">
        <f t="shared" si="427"/>
        <v>4.5172514336973099E-2</v>
      </c>
      <c r="K596" s="33">
        <f t="shared" si="448"/>
        <v>22.137355307262879</v>
      </c>
      <c r="L596" s="33">
        <f t="shared" si="449"/>
        <v>0.30491447177456849</v>
      </c>
      <c r="M596" s="33">
        <f t="shared" si="450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52">U596-V596-1</f>
        <v>430</v>
      </c>
      <c r="X596" s="9">
        <f t="shared" si="43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3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39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>Z596+Y596+6</f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CY596" s="34" t="s">
        <v>86</v>
      </c>
    </row>
    <row r="597" spans="1:103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28"/>
        <v>5.6000000000000005</v>
      </c>
      <c r="G597" s="7">
        <f t="shared" si="429"/>
        <v>6.9</v>
      </c>
      <c r="H597" s="16">
        <f t="shared" si="447"/>
        <v>9.9</v>
      </c>
      <c r="I597" s="11">
        <f t="shared" si="426"/>
        <v>0.26043413082715794</v>
      </c>
      <c r="J597" s="33">
        <f t="shared" si="427"/>
        <v>4.6506094790563918E-2</v>
      </c>
      <c r="K597" s="33">
        <f t="shared" si="448"/>
        <v>21.50255798736513</v>
      </c>
      <c r="L597" s="33">
        <f t="shared" si="449"/>
        <v>0.21392803603659402</v>
      </c>
      <c r="M597" s="33">
        <f t="shared" si="450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52"/>
        <v>431</v>
      </c>
      <c r="X597" s="9">
        <f t="shared" si="43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3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39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>Z597+Y597+6</f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CY597" s="34" t="s">
        <v>86</v>
      </c>
    </row>
    <row r="598" spans="1:103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28"/>
        <v>13.999999999999998</v>
      </c>
      <c r="G598" s="7">
        <f t="shared" si="429"/>
        <v>10.399999999999999</v>
      </c>
      <c r="H598" s="16">
        <f t="shared" si="447"/>
        <v>12</v>
      </c>
      <c r="I598" s="11">
        <f t="shared" si="426"/>
        <v>0.49039861087284109</v>
      </c>
      <c r="J598" s="33">
        <f t="shared" si="427"/>
        <v>3.5028472205202943E-2</v>
      </c>
      <c r="K598" s="33">
        <f t="shared" si="448"/>
        <v>28.548204847240392</v>
      </c>
      <c r="L598" s="33">
        <f t="shared" si="449"/>
        <v>0.45537013866763815</v>
      </c>
      <c r="M598" s="33">
        <f t="shared" si="450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52"/>
        <v>619</v>
      </c>
      <c r="X598" s="9">
        <f t="shared" si="43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3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39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>Z598+Y598+6</f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CY598" s="34" t="s">
        <v>86</v>
      </c>
    </row>
    <row r="599" spans="1:103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28"/>
        <v>3.4117647058823528</v>
      </c>
      <c r="G599" s="139">
        <f t="shared" si="429"/>
        <v>4.0999999999999996</v>
      </c>
      <c r="H599" s="140">
        <f t="shared" si="447"/>
        <v>7.5</v>
      </c>
      <c r="I599" s="141">
        <f t="shared" si="426"/>
        <v>0.13840629564487972</v>
      </c>
      <c r="J599" s="142">
        <f t="shared" si="427"/>
        <v>4.056736251660268E-2</v>
      </c>
      <c r="K599" s="142">
        <f t="shared" si="448"/>
        <v>24.650357774448313</v>
      </c>
      <c r="L599" s="142">
        <f t="shared" si="449"/>
        <v>9.7838933128277045E-2</v>
      </c>
      <c r="M599" s="142">
        <f t="shared" si="450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52"/>
        <v>596</v>
      </c>
      <c r="X599" s="144">
        <f t="shared" si="43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3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39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>Z599+Y599+6</f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36"/>
      <c r="CY599" s="152" t="s">
        <v>86</v>
      </c>
    </row>
    <row r="600" spans="1:103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28"/>
        <v>54.5</v>
      </c>
      <c r="G600" s="7">
        <f t="shared" si="429"/>
        <v>10.700000000000001</v>
      </c>
      <c r="H600" s="16">
        <f t="shared" si="447"/>
        <v>11.1</v>
      </c>
      <c r="I600" s="11">
        <f t="shared" si="426"/>
        <v>0.47861830766356356</v>
      </c>
      <c r="J600" s="33">
        <f t="shared" si="42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52"/>
        <v>9996</v>
      </c>
      <c r="X600" s="9">
        <f t="shared" si="434"/>
        <v>50</v>
      </c>
      <c r="Y600" s="7">
        <f>(AN600*0+AO600*6+AP600*11+14*AQ600)</f>
        <v>9.4307999999999996</v>
      </c>
      <c r="Z600" s="7">
        <f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3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CY600" s="34" t="s">
        <v>86</v>
      </c>
    </row>
    <row r="601" spans="1:103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28"/>
        <v>54.5</v>
      </c>
      <c r="G601" s="7">
        <f t="shared" si="429"/>
        <v>10.700000000000001</v>
      </c>
      <c r="H601" s="16">
        <f t="shared" si="447"/>
        <v>11.1</v>
      </c>
      <c r="I601" s="11">
        <f t="shared" si="426"/>
        <v>0.4871657385763617</v>
      </c>
      <c r="J601" s="33">
        <f t="shared" si="427"/>
        <v>8.9388208913093892E-3</v>
      </c>
      <c r="K601" s="33">
        <f t="shared" ref="K601:K603" si="453">IFERROR(1/J601, "X")</f>
        <v>111.87157815995981</v>
      </c>
      <c r="L601" s="33">
        <f t="shared" ref="L601:L603" si="454">IFERROR(I601-J601, "X")</f>
        <v>0.47822691768505232</v>
      </c>
      <c r="M601" s="33">
        <f t="shared" ref="M601:M603" si="455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52"/>
        <v>9545</v>
      </c>
      <c r="X601" s="9">
        <f t="shared" si="434"/>
        <v>50</v>
      </c>
      <c r="Y601" s="7">
        <f t="shared" ref="Y601:Y649" si="456">(AN601*0+AO601*6+AP601*11+14*AQ601)</f>
        <v>9.4307999999999996</v>
      </c>
      <c r="Z601" s="7">
        <f>BQ601-Y601-6</f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35"/>
        <v>7.6014023345837334</v>
      </c>
      <c r="AN601" s="33">
        <v>0.13719999999999999</v>
      </c>
      <c r="AO601" s="33">
        <f t="shared" ref="AO601:AO649" si="457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CY601" s="34" t="s">
        <v>86</v>
      </c>
    </row>
    <row r="602" spans="1:103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28"/>
        <v>51.5</v>
      </c>
      <c r="G602" s="7">
        <f t="shared" si="429"/>
        <v>10.100000000000001</v>
      </c>
      <c r="H602" s="16">
        <f t="shared" si="447"/>
        <v>10.5</v>
      </c>
      <c r="I602" s="11">
        <f t="shared" si="426"/>
        <v>0.457922526787234</v>
      </c>
      <c r="J602" s="33">
        <f t="shared" si="427"/>
        <v>8.8916995492666785E-3</v>
      </c>
      <c r="K602" s="33">
        <f t="shared" si="453"/>
        <v>112.46443882401229</v>
      </c>
      <c r="L602" s="33">
        <f t="shared" si="454"/>
        <v>0.44903082723796733</v>
      </c>
      <c r="M602" s="33">
        <f t="shared" si="455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52"/>
        <v>9996</v>
      </c>
      <c r="X602" s="9">
        <f t="shared" si="434"/>
        <v>50</v>
      </c>
      <c r="Y602" s="7">
        <f t="shared" si="456"/>
        <v>9.4307999999999996</v>
      </c>
      <c r="Z602" s="7">
        <f>BQ602-Y602-6</f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35"/>
        <v>7.6014023345837334</v>
      </c>
      <c r="AN602" s="33">
        <v>0.13719999999999999</v>
      </c>
      <c r="AO602" s="33">
        <f t="shared" si="457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CY602" s="34" t="s">
        <v>86</v>
      </c>
    </row>
    <row r="603" spans="1:103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28"/>
        <v>34</v>
      </c>
      <c r="G603" s="7">
        <f t="shared" si="429"/>
        <v>9.8999999999999986</v>
      </c>
      <c r="H603" s="16">
        <f t="shared" si="447"/>
        <v>10.5</v>
      </c>
      <c r="I603" s="11">
        <f t="shared" si="426"/>
        <v>0.32867504798725355</v>
      </c>
      <c r="J603" s="33">
        <f t="shared" si="427"/>
        <v>9.6669131760956928E-3</v>
      </c>
      <c r="K603" s="33">
        <f t="shared" si="453"/>
        <v>103.4456378974</v>
      </c>
      <c r="L603" s="33">
        <f t="shared" si="454"/>
        <v>0.31900813481115786</v>
      </c>
      <c r="M603" s="33">
        <f t="shared" si="455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52"/>
        <v>9545</v>
      </c>
      <c r="X603" s="9">
        <f t="shared" si="434"/>
        <v>50</v>
      </c>
      <c r="Y603" s="7">
        <f t="shared" si="456"/>
        <v>9.4307999999999996</v>
      </c>
      <c r="Z603" s="7">
        <f>BQ603-Y603-6</f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35"/>
        <v>7.6014023345837334</v>
      </c>
      <c r="AN603" s="33">
        <v>0.13719999999999999</v>
      </c>
      <c r="AO603" s="33">
        <f t="shared" si="457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CY603" s="34" t="s">
        <v>86</v>
      </c>
    </row>
    <row r="604" spans="1:103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26"/>
        <v>0.30538767488256086</v>
      </c>
      <c r="J604" s="33">
        <f t="shared" si="42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58">U604-V604-1</f>
        <v>9987</v>
      </c>
      <c r="X604" s="9">
        <f t="shared" si="434"/>
        <v>50</v>
      </c>
      <c r="Y604" s="7">
        <f t="shared" si="456"/>
        <v>9.4307999999999996</v>
      </c>
      <c r="Z604" s="7">
        <f>BQ604-Y604-6</f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35"/>
        <v>7.6014023345837334</v>
      </c>
      <c r="AN604" s="33">
        <v>0.13719999999999999</v>
      </c>
      <c r="AO604" s="33">
        <f t="shared" si="457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CY604" s="34" t="s">
        <v>86</v>
      </c>
    </row>
    <row r="605" spans="1:103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59">D605/E605</f>
        <v>51.349999999999994</v>
      </c>
      <c r="G605" s="7">
        <f t="shared" ref="G605:G664" si="460">D605-E605</f>
        <v>10.07</v>
      </c>
      <c r="H605" s="16">
        <f t="shared" ref="H605:H664" si="461">D605+E605</f>
        <v>10.469999999999999</v>
      </c>
      <c r="I605" s="11">
        <f t="shared" si="426"/>
        <v>0.46541974434467898</v>
      </c>
      <c r="J605" s="33">
        <f t="shared" si="427"/>
        <v>9.0636756444922879E-3</v>
      </c>
      <c r="K605" s="33">
        <f t="shared" ref="K605:K611" si="462">IFERROR(1/J605, "X")</f>
        <v>110.3305148179777</v>
      </c>
      <c r="L605" s="33">
        <f t="shared" ref="L605:L611" si="463">IFERROR(I605-J605, "X")</f>
        <v>0.45635606870018669</v>
      </c>
      <c r="M605" s="33">
        <f t="shared" ref="M605:M611" si="464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58"/>
        <v>9536</v>
      </c>
      <c r="X605" s="9">
        <f t="shared" si="434"/>
        <v>50</v>
      </c>
      <c r="Y605" s="7">
        <f t="shared" si="456"/>
        <v>9.4307999999999996</v>
      </c>
      <c r="Z605" s="7">
        <f>BQ605-Y605-6</f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35"/>
        <v>7.6014023345837334</v>
      </c>
      <c r="AN605" s="33">
        <v>0.13719999999999999</v>
      </c>
      <c r="AO605" s="33">
        <f t="shared" si="457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CY605" s="34" t="s">
        <v>86</v>
      </c>
    </row>
    <row r="606" spans="1:103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59"/>
        <v>23.033333333333335</v>
      </c>
      <c r="G606" s="7">
        <f t="shared" si="460"/>
        <v>6.61</v>
      </c>
      <c r="H606" s="16">
        <f t="shared" si="461"/>
        <v>7.21</v>
      </c>
      <c r="I606" s="11">
        <f t="shared" si="426"/>
        <v>0.22459486425879843</v>
      </c>
      <c r="J606" s="33">
        <f t="shared" si="427"/>
        <v>9.7508624135513068E-3</v>
      </c>
      <c r="K606" s="33">
        <f t="shared" si="462"/>
        <v>102.55503129756454</v>
      </c>
      <c r="L606" s="33">
        <f t="shared" si="463"/>
        <v>0.21484400184524713</v>
      </c>
      <c r="M606" s="33">
        <f t="shared" si="464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58"/>
        <v>9987</v>
      </c>
      <c r="X606" s="9">
        <f t="shared" si="434"/>
        <v>50</v>
      </c>
      <c r="Y606" s="7">
        <f t="shared" si="456"/>
        <v>9.4307999999999996</v>
      </c>
      <c r="Z606" s="7">
        <f>BQ606-Y606-6</f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35"/>
        <v>7.6014023345837334</v>
      </c>
      <c r="AN606" s="33">
        <v>0.13719999999999999</v>
      </c>
      <c r="AO606" s="33">
        <f t="shared" si="457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CY606" s="34" t="s">
        <v>86</v>
      </c>
    </row>
    <row r="607" spans="1:103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59"/>
        <v>51.6</v>
      </c>
      <c r="G607" s="7">
        <f t="shared" si="460"/>
        <v>10.120000000000001</v>
      </c>
      <c r="H607" s="16">
        <f t="shared" si="461"/>
        <v>10.52</v>
      </c>
      <c r="I607" s="11">
        <f t="shared" si="426"/>
        <v>0.46719202238124941</v>
      </c>
      <c r="J607" s="33">
        <f t="shared" si="427"/>
        <v>9.0541089608769266E-3</v>
      </c>
      <c r="K607" s="33">
        <f t="shared" si="462"/>
        <v>110.44709140579484</v>
      </c>
      <c r="L607" s="33">
        <f t="shared" si="463"/>
        <v>0.45813791342037247</v>
      </c>
      <c r="M607" s="33">
        <f t="shared" si="464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58"/>
        <v>9536</v>
      </c>
      <c r="X607" s="9">
        <f t="shared" si="434"/>
        <v>50</v>
      </c>
      <c r="Y607" s="7">
        <f t="shared" si="456"/>
        <v>9.4307999999999996</v>
      </c>
      <c r="Z607" s="7">
        <f>BQ607-Y607-6</f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35"/>
        <v>7.6014023345837334</v>
      </c>
      <c r="AN607" s="33">
        <v>0.13719999999999999</v>
      </c>
      <c r="AO607" s="33">
        <f t="shared" si="457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CY607" s="34" t="s">
        <v>86</v>
      </c>
    </row>
    <row r="608" spans="1:103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59"/>
        <v>6.4249999999999989</v>
      </c>
      <c r="G608" s="7">
        <f t="shared" si="460"/>
        <v>4.34</v>
      </c>
      <c r="H608" s="16">
        <f t="shared" si="461"/>
        <v>5.9399999999999995</v>
      </c>
      <c r="I608" s="11">
        <f t="shared" si="426"/>
        <v>0.15383847057732292</v>
      </c>
      <c r="J608" s="33">
        <f t="shared" si="427"/>
        <v>2.3943730829155321E-2</v>
      </c>
      <c r="K608" s="33">
        <f t="shared" si="462"/>
        <v>41.76458577551081</v>
      </c>
      <c r="L608" s="33">
        <f t="shared" si="463"/>
        <v>0.12989473974816759</v>
      </c>
      <c r="M608" s="33">
        <f t="shared" si="464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58"/>
        <v>1703</v>
      </c>
      <c r="X608" s="9">
        <f t="shared" si="434"/>
        <v>50</v>
      </c>
      <c r="Y608" s="7">
        <f t="shared" si="456"/>
        <v>9.4307999999999996</v>
      </c>
      <c r="Z608" s="7">
        <f>BQ608-Y608-6</f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35"/>
        <v>7.6014023345837334</v>
      </c>
      <c r="AN608" s="33">
        <v>0.13719999999999999</v>
      </c>
      <c r="AO608" s="33">
        <f t="shared" si="457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CY608" s="34" t="s">
        <v>86</v>
      </c>
    </row>
    <row r="609" spans="1:103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59"/>
        <v>5.0866666666666669</v>
      </c>
      <c r="G609" s="7">
        <f t="shared" si="460"/>
        <v>6.13</v>
      </c>
      <c r="H609" s="16">
        <f t="shared" si="461"/>
        <v>9.129999999999999</v>
      </c>
      <c r="I609" s="11">
        <f t="shared" si="426"/>
        <v>0.21215187684075204</v>
      </c>
      <c r="J609" s="33">
        <f t="shared" si="427"/>
        <v>4.1707446298968283E-2</v>
      </c>
      <c r="K609" s="33">
        <f t="shared" si="462"/>
        <v>23.976533898330214</v>
      </c>
      <c r="L609" s="33">
        <f t="shared" si="463"/>
        <v>0.17044443054178376</v>
      </c>
      <c r="M609" s="33">
        <f t="shared" si="464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58"/>
        <v>549</v>
      </c>
      <c r="X609" s="9">
        <f t="shared" si="434"/>
        <v>50</v>
      </c>
      <c r="Y609" s="7">
        <f t="shared" si="456"/>
        <v>9.4307999999999996</v>
      </c>
      <c r="Z609" s="7">
        <f>BQ609-Y609-6</f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35"/>
        <v>7.6014023345837334</v>
      </c>
      <c r="AN609" s="33">
        <v>0.13719999999999999</v>
      </c>
      <c r="AO609" s="33">
        <f t="shared" si="457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CY609" s="34" t="s">
        <v>86</v>
      </c>
    </row>
    <row r="610" spans="1:103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59"/>
        <v>2.5090909090909088</v>
      </c>
      <c r="G610" s="7">
        <f t="shared" si="460"/>
        <v>3.3199999999999994</v>
      </c>
      <c r="H610" s="16">
        <f t="shared" si="461"/>
        <v>7.72</v>
      </c>
      <c r="I610" s="11">
        <f t="shared" si="426"/>
        <v>6.0688697608351397E-2</v>
      </c>
      <c r="J610" s="33">
        <f t="shared" si="427"/>
        <v>2.4187524409125558E-2</v>
      </c>
      <c r="K610" s="33">
        <f t="shared" si="462"/>
        <v>41.34362752819451</v>
      </c>
      <c r="L610" s="33">
        <f t="shared" si="463"/>
        <v>3.6501173199225842E-2</v>
      </c>
      <c r="M610" s="33">
        <f t="shared" si="464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58"/>
        <v>1703</v>
      </c>
      <c r="X610" s="9">
        <f t="shared" si="434"/>
        <v>50</v>
      </c>
      <c r="Y610" s="7">
        <f t="shared" si="456"/>
        <v>9.4307999999999996</v>
      </c>
      <c r="Z610" s="7">
        <f>BQ610-Y610-6</f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35"/>
        <v>7.6014023345837334</v>
      </c>
      <c r="AN610" s="33">
        <v>0.13719999999999999</v>
      </c>
      <c r="AO610" s="33">
        <f t="shared" si="457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CY610" s="34" t="s">
        <v>86</v>
      </c>
    </row>
    <row r="611" spans="1:103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59"/>
        <v>1.187878787878788</v>
      </c>
      <c r="G611" s="7">
        <f t="shared" si="460"/>
        <v>1.2400000000000002</v>
      </c>
      <c r="H611" s="16">
        <f t="shared" si="461"/>
        <v>14.44</v>
      </c>
      <c r="I611" s="11">
        <f t="shared" si="426"/>
        <v>5.0632404551922874E-2</v>
      </c>
      <c r="J611" s="33">
        <f t="shared" si="427"/>
        <v>4.2624218117690169E-2</v>
      </c>
      <c r="K611" s="33">
        <f t="shared" si="462"/>
        <v>23.460840905958431</v>
      </c>
      <c r="L611" s="33">
        <f t="shared" si="463"/>
        <v>8.0081864342327058E-3</v>
      </c>
      <c r="M611" s="33">
        <f t="shared" si="464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58"/>
        <v>549</v>
      </c>
      <c r="X611" s="9">
        <f t="shared" si="434"/>
        <v>50</v>
      </c>
      <c r="Y611" s="7">
        <f t="shared" si="456"/>
        <v>9.4307999999999996</v>
      </c>
      <c r="Z611" s="7">
        <f>BQ611-Y611-6</f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35"/>
        <v>7.6014023345837334</v>
      </c>
      <c r="AN611" s="33">
        <v>0.13719999999999999</v>
      </c>
      <c r="AO611" s="33">
        <f t="shared" si="457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CY611" s="34" t="s">
        <v>86</v>
      </c>
    </row>
    <row r="612" spans="1:103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59"/>
        <v>15.285714285714286</v>
      </c>
      <c r="G612" s="7">
        <f t="shared" si="460"/>
        <v>10</v>
      </c>
      <c r="H612" s="16">
        <f t="shared" si="461"/>
        <v>11.399999999999999</v>
      </c>
      <c r="I612" s="11">
        <f t="shared" si="426"/>
        <v>0.26231557764971181</v>
      </c>
      <c r="J612" s="33">
        <f t="shared" si="427"/>
        <v>1.7160832182691425E-2</v>
      </c>
      <c r="K612" s="33">
        <f t="shared" ref="K612:K628" si="465">IFERROR(1/J612, "X")</f>
        <v>58.272232334315888</v>
      </c>
      <c r="L612" s="33">
        <f t="shared" ref="L612:L628" si="466">IFERROR(I612-J612, "X")</f>
        <v>0.24515474546702037</v>
      </c>
      <c r="M612" s="33">
        <f t="shared" ref="M612:M628" si="467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58"/>
        <v>3162</v>
      </c>
      <c r="X612" s="9">
        <f t="shared" si="434"/>
        <v>50</v>
      </c>
      <c r="Y612" s="7">
        <f t="shared" si="456"/>
        <v>9.4307999999999996</v>
      </c>
      <c r="Z612" s="7">
        <f>BQ612-Y612-6</f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35"/>
        <v>7.6014023345837334</v>
      </c>
      <c r="AN612" s="33">
        <v>0.13719999999999999</v>
      </c>
      <c r="AO612" s="33">
        <f t="shared" si="457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CY612" s="34" t="s">
        <v>86</v>
      </c>
    </row>
    <row r="613" spans="1:103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59"/>
        <v>10.166666666666666</v>
      </c>
      <c r="G613" s="7">
        <f t="shared" si="460"/>
        <v>5.5</v>
      </c>
      <c r="H613" s="16">
        <f t="shared" si="461"/>
        <v>6.6999999999999993</v>
      </c>
      <c r="I613" s="11">
        <f t="shared" si="426"/>
        <v>0.22306045616761169</v>
      </c>
      <c r="J613" s="33">
        <f t="shared" si="427"/>
        <v>2.1940372737797871E-2</v>
      </c>
      <c r="K613" s="33">
        <f t="shared" si="465"/>
        <v>45.578077088783715</v>
      </c>
      <c r="L613" s="33">
        <f t="shared" si="466"/>
        <v>0.20112008342981383</v>
      </c>
      <c r="M613" s="33">
        <f t="shared" si="467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68">U613-V613-1</f>
        <v>1974</v>
      </c>
      <c r="X613" s="9">
        <f t="shared" si="434"/>
        <v>50</v>
      </c>
      <c r="Y613" s="7">
        <f t="shared" si="456"/>
        <v>9.4307999999999996</v>
      </c>
      <c r="Z613" s="7">
        <f>BQ613-Y613-6</f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35"/>
        <v>7.6014023345837334</v>
      </c>
      <c r="AN613" s="33">
        <v>0.13719999999999999</v>
      </c>
      <c r="AO613" s="33">
        <f t="shared" si="457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CY613" s="34" t="s">
        <v>86</v>
      </c>
    </row>
    <row r="614" spans="1:103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59"/>
        <v>15.285714285714286</v>
      </c>
      <c r="G614" s="7">
        <f t="shared" si="460"/>
        <v>10</v>
      </c>
      <c r="H614" s="16">
        <f t="shared" si="461"/>
        <v>11.399999999999999</v>
      </c>
      <c r="I614" s="11">
        <f t="shared" si="426"/>
        <v>0.26231557764971181</v>
      </c>
      <c r="J614" s="33">
        <f t="shared" si="427"/>
        <v>1.7160832182691425E-2</v>
      </c>
      <c r="K614" s="33">
        <f t="shared" si="465"/>
        <v>58.272232334315888</v>
      </c>
      <c r="L614" s="33">
        <f t="shared" si="466"/>
        <v>0.24515474546702037</v>
      </c>
      <c r="M614" s="33">
        <f t="shared" si="467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68"/>
        <v>3162</v>
      </c>
      <c r="X614" s="9">
        <f t="shared" si="434"/>
        <v>50</v>
      </c>
      <c r="Y614" s="7">
        <f t="shared" si="456"/>
        <v>9.4307999999999996</v>
      </c>
      <c r="Z614" s="7">
        <f>BQ614-Y614-6</f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35"/>
        <v>7.6014023345837334</v>
      </c>
      <c r="AN614" s="33">
        <v>0.13719999999999999</v>
      </c>
      <c r="AO614" s="33">
        <f t="shared" si="457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CY614" s="34" t="s">
        <v>86</v>
      </c>
    </row>
    <row r="615" spans="1:103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59"/>
        <v>10.166666666666666</v>
      </c>
      <c r="G615" s="7">
        <f t="shared" si="460"/>
        <v>5.5</v>
      </c>
      <c r="H615" s="16">
        <f t="shared" si="461"/>
        <v>6.6999999999999993</v>
      </c>
      <c r="I615" s="11">
        <f t="shared" si="426"/>
        <v>0.22306045616761169</v>
      </c>
      <c r="J615" s="33">
        <f t="shared" si="427"/>
        <v>2.1940372737797871E-2</v>
      </c>
      <c r="K615" s="33">
        <f t="shared" si="465"/>
        <v>45.578077088783715</v>
      </c>
      <c r="L615" s="33">
        <f t="shared" si="466"/>
        <v>0.20112008342981383</v>
      </c>
      <c r="M615" s="33">
        <f t="shared" si="467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68"/>
        <v>1974</v>
      </c>
      <c r="X615" s="9">
        <f t="shared" si="434"/>
        <v>50</v>
      </c>
      <c r="Y615" s="7">
        <f t="shared" si="456"/>
        <v>9.4307999999999996</v>
      </c>
      <c r="Z615" s="7">
        <f>BQ615-Y615-6</f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35"/>
        <v>7.6014023345837334</v>
      </c>
      <c r="AN615" s="33">
        <v>0.13719999999999999</v>
      </c>
      <c r="AO615" s="33">
        <f t="shared" si="457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CY615" s="34" t="s">
        <v>86</v>
      </c>
    </row>
    <row r="616" spans="1:103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59"/>
        <v>15.285714285714286</v>
      </c>
      <c r="G616" s="7">
        <f t="shared" si="460"/>
        <v>10</v>
      </c>
      <c r="H616" s="16">
        <f t="shared" si="461"/>
        <v>11.399999999999999</v>
      </c>
      <c r="I616" s="11">
        <f t="shared" si="426"/>
        <v>0.26231557764971181</v>
      </c>
      <c r="J616" s="33">
        <f t="shared" si="427"/>
        <v>1.7160832182691425E-2</v>
      </c>
      <c r="K616" s="33">
        <f t="shared" si="465"/>
        <v>58.272232334315888</v>
      </c>
      <c r="L616" s="33">
        <f t="shared" si="466"/>
        <v>0.24515474546702037</v>
      </c>
      <c r="M616" s="33">
        <f t="shared" si="467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68"/>
        <v>3162</v>
      </c>
      <c r="X616" s="9">
        <f t="shared" si="434"/>
        <v>50</v>
      </c>
      <c r="Y616" s="7">
        <f t="shared" si="456"/>
        <v>9.4307999999999996</v>
      </c>
      <c r="Z616" s="7">
        <f>BQ616-Y616-6</f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35"/>
        <v>7.6014023345837334</v>
      </c>
      <c r="AN616" s="33">
        <v>0.13719999999999999</v>
      </c>
      <c r="AO616" s="33">
        <f t="shared" si="457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CY616" s="34" t="s">
        <v>86</v>
      </c>
    </row>
    <row r="617" spans="1:103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59"/>
        <v>10.166666666666666</v>
      </c>
      <c r="G617" s="7">
        <f t="shared" si="460"/>
        <v>5.5</v>
      </c>
      <c r="H617" s="16">
        <f t="shared" si="461"/>
        <v>6.6999999999999993</v>
      </c>
      <c r="I617" s="11">
        <f t="shared" si="426"/>
        <v>0.22306045616761169</v>
      </c>
      <c r="J617" s="33">
        <f t="shared" si="427"/>
        <v>2.1940372737797871E-2</v>
      </c>
      <c r="K617" s="33">
        <f t="shared" si="465"/>
        <v>45.578077088783715</v>
      </c>
      <c r="L617" s="33">
        <f t="shared" si="466"/>
        <v>0.20112008342981383</v>
      </c>
      <c r="M617" s="33">
        <f t="shared" si="467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68"/>
        <v>1974</v>
      </c>
      <c r="X617" s="9">
        <f t="shared" si="434"/>
        <v>50</v>
      </c>
      <c r="Y617" s="7">
        <f t="shared" si="456"/>
        <v>9.4307999999999996</v>
      </c>
      <c r="Z617" s="7">
        <f>BQ617-Y617-6</f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35"/>
        <v>7.6014023345837334</v>
      </c>
      <c r="AN617" s="33">
        <v>0.13719999999999999</v>
      </c>
      <c r="AO617" s="33">
        <f t="shared" si="457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CY617" s="34" t="s">
        <v>86</v>
      </c>
    </row>
    <row r="618" spans="1:103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59"/>
        <v>7.5714285714285721</v>
      </c>
      <c r="G618" s="7">
        <f t="shared" si="460"/>
        <v>9.1999999999999993</v>
      </c>
      <c r="H618" s="16">
        <f t="shared" si="461"/>
        <v>12</v>
      </c>
      <c r="I618" s="11">
        <f t="shared" si="426"/>
        <v>0.13344285198072434</v>
      </c>
      <c r="J618" s="33">
        <f t="shared" si="427"/>
        <v>1.7624527620095667E-2</v>
      </c>
      <c r="K618" s="33">
        <f t="shared" si="465"/>
        <v>56.739109356882267</v>
      </c>
      <c r="L618" s="33">
        <f t="shared" si="466"/>
        <v>0.11581832436062867</v>
      </c>
      <c r="M618" s="33">
        <f t="shared" si="467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68"/>
        <v>3162</v>
      </c>
      <c r="X618" s="9">
        <f t="shared" si="434"/>
        <v>50</v>
      </c>
      <c r="Y618" s="7">
        <f t="shared" si="456"/>
        <v>9.4307999999999996</v>
      </c>
      <c r="Z618" s="7">
        <f>BQ618-Y618-6</f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35"/>
        <v>7.6014023345837334</v>
      </c>
      <c r="AN618" s="33">
        <v>0.13719999999999999</v>
      </c>
      <c r="AO618" s="33">
        <f t="shared" si="457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CY618" s="34" t="s">
        <v>86</v>
      </c>
    </row>
    <row r="619" spans="1:103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59"/>
        <v>9.8888888888888893</v>
      </c>
      <c r="G619" s="7">
        <f t="shared" si="460"/>
        <v>8</v>
      </c>
      <c r="H619" s="16">
        <f t="shared" si="461"/>
        <v>9.8000000000000007</v>
      </c>
      <c r="I619" s="11">
        <f t="shared" si="426"/>
        <v>0.21725742008147989</v>
      </c>
      <c r="J619" s="33">
        <f t="shared" si="427"/>
        <v>2.1969851468913698E-2</v>
      </c>
      <c r="K619" s="33">
        <f t="shared" si="465"/>
        <v>45.516921287108055</v>
      </c>
      <c r="L619" s="33">
        <f t="shared" si="466"/>
        <v>0.19528756861256619</v>
      </c>
      <c r="M619" s="33">
        <f t="shared" si="467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68"/>
        <v>1974</v>
      </c>
      <c r="X619" s="9">
        <f t="shared" si="434"/>
        <v>50</v>
      </c>
      <c r="Y619" s="7">
        <f t="shared" si="456"/>
        <v>9.4307999999999996</v>
      </c>
      <c r="Z619" s="7">
        <f>BQ619-Y619-6</f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35"/>
        <v>7.6014023345837334</v>
      </c>
      <c r="AN619" s="33">
        <v>0.13719999999999999</v>
      </c>
      <c r="AO619" s="33">
        <f t="shared" si="457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CY619" s="34" t="s">
        <v>86</v>
      </c>
    </row>
    <row r="620" spans="1:103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59"/>
        <v>12.5</v>
      </c>
      <c r="G620" s="7">
        <f t="shared" si="460"/>
        <v>9.1999999999999993</v>
      </c>
      <c r="H620" s="16">
        <f t="shared" si="461"/>
        <v>10.8</v>
      </c>
      <c r="I620" s="11">
        <f t="shared" si="426"/>
        <v>0.21699786527230083</v>
      </c>
      <c r="J620" s="33">
        <f t="shared" si="427"/>
        <v>1.7359829221784067E-2</v>
      </c>
      <c r="K620" s="33">
        <f t="shared" si="465"/>
        <v>57.604253315184984</v>
      </c>
      <c r="L620" s="33">
        <f t="shared" si="466"/>
        <v>0.19963803605051678</v>
      </c>
      <c r="M620" s="33">
        <f t="shared" si="467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68"/>
        <v>3162</v>
      </c>
      <c r="X620" s="9">
        <f t="shared" si="434"/>
        <v>50</v>
      </c>
      <c r="Y620" s="7">
        <f t="shared" si="456"/>
        <v>9.4307999999999996</v>
      </c>
      <c r="Z620" s="7">
        <f>BQ620-Y620-6</f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35"/>
        <v>7.6014023345837334</v>
      </c>
      <c r="AN620" s="33">
        <v>0.13719999999999999</v>
      </c>
      <c r="AO620" s="33">
        <f t="shared" si="457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CY620" s="34" t="s">
        <v>86</v>
      </c>
    </row>
    <row r="621" spans="1:103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59"/>
        <v>8.5</v>
      </c>
      <c r="G621" s="7">
        <f t="shared" si="460"/>
        <v>4.5</v>
      </c>
      <c r="H621" s="16">
        <f t="shared" si="461"/>
        <v>5.6999999999999993</v>
      </c>
      <c r="I621" s="11">
        <f t="shared" si="426"/>
        <v>0.18790553781709984</v>
      </c>
      <c r="J621" s="33">
        <f t="shared" si="427"/>
        <v>2.2106533860835276E-2</v>
      </c>
      <c r="K621" s="33">
        <f t="shared" si="465"/>
        <v>45.235494912734183</v>
      </c>
      <c r="L621" s="33">
        <f t="shared" si="466"/>
        <v>0.16579900395626457</v>
      </c>
      <c r="M621" s="33">
        <f t="shared" si="467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68"/>
        <v>1974</v>
      </c>
      <c r="X621" s="9">
        <f t="shared" si="434"/>
        <v>50</v>
      </c>
      <c r="Y621" s="7">
        <f t="shared" si="456"/>
        <v>9.4307999999999996</v>
      </c>
      <c r="Z621" s="7">
        <f>BQ621-Y621-6</f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35"/>
        <v>7.6014023345837334</v>
      </c>
      <c r="AN621" s="33">
        <v>0.13719999999999999</v>
      </c>
      <c r="AO621" s="33">
        <f t="shared" si="457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CY621" s="34" t="s">
        <v>86</v>
      </c>
    </row>
    <row r="622" spans="1:103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59"/>
        <v>9</v>
      </c>
      <c r="G622" s="7">
        <f t="shared" si="460"/>
        <v>7.1999999999999993</v>
      </c>
      <c r="H622" s="16">
        <f t="shared" si="461"/>
        <v>9</v>
      </c>
      <c r="I622" s="11">
        <f t="shared" si="426"/>
        <v>0.15804073293140256</v>
      </c>
      <c r="J622" s="33">
        <f t="shared" si="427"/>
        <v>1.7560081436822507E-2</v>
      </c>
      <c r="K622" s="33">
        <f t="shared" si="465"/>
        <v>56.947344099615393</v>
      </c>
      <c r="L622" s="33">
        <f t="shared" si="466"/>
        <v>0.14048065149458006</v>
      </c>
      <c r="M622" s="33">
        <f t="shared" si="467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68"/>
        <v>3162</v>
      </c>
      <c r="X622" s="9">
        <f t="shared" si="434"/>
        <v>50</v>
      </c>
      <c r="Y622" s="7">
        <f t="shared" si="456"/>
        <v>9.4307999999999996</v>
      </c>
      <c r="Z622" s="7">
        <f>BQ622-Y622-6</f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35"/>
        <v>7.6014023345837334</v>
      </c>
      <c r="AN622" s="33">
        <v>0.13719999999999999</v>
      </c>
      <c r="AO622" s="33">
        <f t="shared" si="457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CY622" s="34" t="s">
        <v>86</v>
      </c>
    </row>
    <row r="623" spans="1:103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59"/>
        <v>5.1428571428571432</v>
      </c>
      <c r="G623" s="7">
        <f t="shared" si="460"/>
        <v>2.9000000000000004</v>
      </c>
      <c r="H623" s="16">
        <f t="shared" si="461"/>
        <v>4.3</v>
      </c>
      <c r="I623" s="11">
        <f t="shared" si="426"/>
        <v>0.11498487595858155</v>
      </c>
      <c r="J623" s="33">
        <f t="shared" si="427"/>
        <v>2.2358170325279741E-2</v>
      </c>
      <c r="K623" s="33">
        <f t="shared" si="465"/>
        <v>44.726379012746349</v>
      </c>
      <c r="L623" s="33">
        <f t="shared" si="466"/>
        <v>9.2626705633301804E-2</v>
      </c>
      <c r="M623" s="33">
        <f t="shared" si="467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68"/>
        <v>1974</v>
      </c>
      <c r="X623" s="9">
        <f t="shared" si="434"/>
        <v>50</v>
      </c>
      <c r="Y623" s="7">
        <f t="shared" si="456"/>
        <v>9.4307999999999996</v>
      </c>
      <c r="Z623" s="7">
        <f>BQ623-Y623-6</f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35"/>
        <v>7.6014023345837334</v>
      </c>
      <c r="AN623" s="33">
        <v>0.13719999999999999</v>
      </c>
      <c r="AO623" s="33">
        <f t="shared" si="457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CY623" s="34" t="s">
        <v>86</v>
      </c>
    </row>
    <row r="624" spans="1:103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59"/>
        <v>7.8888888888888884</v>
      </c>
      <c r="G624" s="7">
        <f t="shared" si="460"/>
        <v>6.1999999999999993</v>
      </c>
      <c r="H624" s="16">
        <f t="shared" si="461"/>
        <v>8</v>
      </c>
      <c r="I624" s="11">
        <f t="shared" si="426"/>
        <v>0.13893207571861219</v>
      </c>
      <c r="J624" s="33">
        <f t="shared" si="427"/>
        <v>1.7611108189683235E-2</v>
      </c>
      <c r="K624" s="33">
        <f t="shared" si="465"/>
        <v>56.782343804225228</v>
      </c>
      <c r="L624" s="33">
        <f t="shared" si="466"/>
        <v>0.12132096752892896</v>
      </c>
      <c r="M624" s="33">
        <f t="shared" si="467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68"/>
        <v>3162</v>
      </c>
      <c r="X624" s="9">
        <f t="shared" si="434"/>
        <v>50</v>
      </c>
      <c r="Y624" s="7">
        <f t="shared" si="456"/>
        <v>9.4307999999999996</v>
      </c>
      <c r="Z624" s="7">
        <f>BQ624-Y624-6</f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35"/>
        <v>7.6014023345837334</v>
      </c>
      <c r="AN624" s="33">
        <v>0.13719999999999999</v>
      </c>
      <c r="AO624" s="33">
        <f t="shared" si="457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CY624" s="34" t="s">
        <v>86</v>
      </c>
    </row>
    <row r="625" spans="1:103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59"/>
        <v>3.7142857142857149</v>
      </c>
      <c r="G625" s="7">
        <f t="shared" si="460"/>
        <v>1.9000000000000001</v>
      </c>
      <c r="H625" s="16">
        <f t="shared" si="461"/>
        <v>3.3</v>
      </c>
      <c r="I625" s="11">
        <f t="shared" si="426"/>
        <v>8.3308518375353649E-2</v>
      </c>
      <c r="J625" s="33">
        <f t="shared" si="427"/>
        <v>2.2429216485672133E-2</v>
      </c>
      <c r="K625" s="33">
        <f t="shared" si="465"/>
        <v>44.584704982396673</v>
      </c>
      <c r="L625" s="33">
        <f t="shared" si="466"/>
        <v>6.087930188968152E-2</v>
      </c>
      <c r="M625" s="33">
        <f t="shared" si="467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68"/>
        <v>1974</v>
      </c>
      <c r="X625" s="9">
        <f t="shared" si="434"/>
        <v>50</v>
      </c>
      <c r="Y625" s="7">
        <f t="shared" si="456"/>
        <v>9.4307999999999996</v>
      </c>
      <c r="Z625" s="7">
        <f>BQ625-Y625-6</f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35"/>
        <v>7.6014023345837334</v>
      </c>
      <c r="AN625" s="33">
        <v>0.13719999999999999</v>
      </c>
      <c r="AO625" s="33">
        <f t="shared" si="457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CY625" s="34" t="s">
        <v>86</v>
      </c>
    </row>
    <row r="626" spans="1:103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59"/>
        <v>5.9230769230769234</v>
      </c>
      <c r="G626" s="7">
        <f t="shared" si="460"/>
        <v>6.4</v>
      </c>
      <c r="H626" s="16">
        <f t="shared" si="461"/>
        <v>9</v>
      </c>
      <c r="I626" s="11">
        <f t="shared" si="426"/>
        <v>0.10475395483515031</v>
      </c>
      <c r="J626" s="33">
        <f t="shared" si="427"/>
        <v>1.7685732634505895E-2</v>
      </c>
      <c r="K626" s="33">
        <f t="shared" si="465"/>
        <v>56.542752322792765</v>
      </c>
      <c r="L626" s="33">
        <f t="shared" si="466"/>
        <v>8.7068222200644418E-2</v>
      </c>
      <c r="M626" s="33">
        <f t="shared" si="467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68"/>
        <v>3162</v>
      </c>
      <c r="X626" s="9">
        <f t="shared" si="434"/>
        <v>50</v>
      </c>
      <c r="Y626" s="7">
        <f t="shared" si="456"/>
        <v>9.4307999999999996</v>
      </c>
      <c r="Z626" s="7">
        <f>BQ626-Y626-6</f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35"/>
        <v>7.6014023345837334</v>
      </c>
      <c r="AN626" s="33">
        <v>0.13719999999999999</v>
      </c>
      <c r="AO626" s="33">
        <f t="shared" si="457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CY626" s="34" t="s">
        <v>86</v>
      </c>
    </row>
    <row r="627" spans="1:103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59"/>
        <v>6.333333333333333</v>
      </c>
      <c r="G627" s="7">
        <f t="shared" si="460"/>
        <v>4.8</v>
      </c>
      <c r="H627" s="16">
        <f t="shared" si="461"/>
        <v>6.6000000000000005</v>
      </c>
      <c r="I627" s="11">
        <f t="shared" si="426"/>
        <v>0.14112067126126332</v>
      </c>
      <c r="J627" s="33">
        <f t="shared" si="427"/>
        <v>2.2282211251778417E-2</v>
      </c>
      <c r="K627" s="33">
        <f t="shared" si="465"/>
        <v>44.878849262331926</v>
      </c>
      <c r="L627" s="33">
        <f t="shared" si="466"/>
        <v>0.11883846000948491</v>
      </c>
      <c r="M627" s="33">
        <f t="shared" si="467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68"/>
        <v>1974</v>
      </c>
      <c r="X627" s="9">
        <f t="shared" si="434"/>
        <v>50</v>
      </c>
      <c r="Y627" s="7">
        <f t="shared" si="456"/>
        <v>9.4307999999999996</v>
      </c>
      <c r="Z627" s="7">
        <f>BQ627-Y627-6</f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35"/>
        <v>7.6014023345837334</v>
      </c>
      <c r="AN627" s="33">
        <v>0.13719999999999999</v>
      </c>
      <c r="AO627" s="33">
        <f t="shared" si="457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CY627" s="34" t="s">
        <v>86</v>
      </c>
    </row>
    <row r="628" spans="1:103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59"/>
        <v>32</v>
      </c>
      <c r="G628" s="7">
        <f t="shared" si="460"/>
        <v>6.2</v>
      </c>
      <c r="H628" s="16">
        <f t="shared" si="461"/>
        <v>6.6000000000000005</v>
      </c>
      <c r="I628" s="11">
        <f t="shared" si="426"/>
        <v>0.25757916462010488</v>
      </c>
      <c r="J628" s="33">
        <f t="shared" si="427"/>
        <v>8.0493488943782776E-3</v>
      </c>
      <c r="K628" s="33">
        <f t="shared" si="465"/>
        <v>124.23365083583433</v>
      </c>
      <c r="L628" s="33">
        <f t="shared" si="466"/>
        <v>0.24952981572572661</v>
      </c>
      <c r="M628" s="33">
        <f t="shared" si="467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68"/>
        <v>14410</v>
      </c>
      <c r="X628" s="9">
        <f t="shared" si="434"/>
        <v>50</v>
      </c>
      <c r="Y628" s="7">
        <f t="shared" si="456"/>
        <v>9.4307999999999996</v>
      </c>
      <c r="Z628" s="7">
        <f>BQ628-Y628-6</f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35"/>
        <v>7.6014023345837334</v>
      </c>
      <c r="AN628" s="33">
        <v>0.13719999999999999</v>
      </c>
      <c r="AO628" s="33">
        <f t="shared" si="457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CY628" s="34" t="s">
        <v>86</v>
      </c>
    </row>
    <row r="629" spans="1:103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59"/>
        <v>17.083333333333336</v>
      </c>
      <c r="G629" s="7">
        <f t="shared" si="460"/>
        <v>19.3</v>
      </c>
      <c r="H629" s="16">
        <f t="shared" si="461"/>
        <v>21.7</v>
      </c>
      <c r="I629" s="11">
        <f t="shared" si="426"/>
        <v>0.14089213975768597</v>
      </c>
      <c r="J629" s="33">
        <f t="shared" si="427"/>
        <v>8.2473447663035677E-3</v>
      </c>
      <c r="K629" s="33">
        <f t="shared" ref="K629:K650" si="469">IFERROR(1/J629, "X")</f>
        <v>121.25114546996156</v>
      </c>
      <c r="L629" s="33">
        <f t="shared" ref="L629:L650" si="470">IFERROR(I629-J629, "X")</f>
        <v>0.1326447949913824</v>
      </c>
      <c r="M629" s="33">
        <f t="shared" ref="M629:M650" si="471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72">U629-V629-1</f>
        <v>14410</v>
      </c>
      <c r="X629" s="9">
        <f t="shared" si="434"/>
        <v>50</v>
      </c>
      <c r="Y629" s="7">
        <f t="shared" si="456"/>
        <v>9.4307999999999996</v>
      </c>
      <c r="Z629" s="7">
        <f>BQ629-Y629-6</f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35"/>
        <v>7.6014023345837334</v>
      </c>
      <c r="AN629" s="33">
        <v>0.13719999999999999</v>
      </c>
      <c r="AO629" s="33">
        <f t="shared" si="457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CY629" s="34" t="s">
        <v>86</v>
      </c>
    </row>
    <row r="630" spans="1:103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59"/>
        <v>13.571428571428573</v>
      </c>
      <c r="G630" s="7">
        <f t="shared" si="460"/>
        <v>8.8000000000000007</v>
      </c>
      <c r="H630" s="16">
        <f t="shared" si="461"/>
        <v>10.199999999999999</v>
      </c>
      <c r="I630" s="11">
        <f t="shared" si="426"/>
        <v>0.10093927473308457</v>
      </c>
      <c r="J630" s="33">
        <f t="shared" si="427"/>
        <v>7.4376307698062307E-3</v>
      </c>
      <c r="K630" s="33">
        <f t="shared" si="469"/>
        <v>134.45141752123473</v>
      </c>
      <c r="L630" s="33">
        <f t="shared" si="470"/>
        <v>9.3501643963278341E-2</v>
      </c>
      <c r="M630" s="33">
        <f t="shared" si="471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72"/>
        <v>17893</v>
      </c>
      <c r="X630" s="9">
        <f t="shared" si="434"/>
        <v>50</v>
      </c>
      <c r="Y630" s="7">
        <f t="shared" si="456"/>
        <v>9.4307999999999996</v>
      </c>
      <c r="Z630" s="7">
        <f>BQ630-Y630-6</f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35"/>
        <v>7.6014023345837334</v>
      </c>
      <c r="AN630" s="33">
        <v>0.13719999999999999</v>
      </c>
      <c r="AO630" s="33">
        <f t="shared" si="457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CY630" s="34" t="s">
        <v>86</v>
      </c>
    </row>
    <row r="631" spans="1:103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59"/>
        <v>32</v>
      </c>
      <c r="G631" s="7">
        <f t="shared" si="460"/>
        <v>6.2</v>
      </c>
      <c r="H631" s="16">
        <f t="shared" si="461"/>
        <v>6.6000000000000005</v>
      </c>
      <c r="I631" s="11">
        <f t="shared" si="426"/>
        <v>0.33193163431017081</v>
      </c>
      <c r="J631" s="33">
        <f t="shared" si="427"/>
        <v>1.0372863572192838E-2</v>
      </c>
      <c r="K631" s="33">
        <f t="shared" si="469"/>
        <v>96.405394039960228</v>
      </c>
      <c r="L631" s="33">
        <f t="shared" si="470"/>
        <v>0.32155877073797795</v>
      </c>
      <c r="M631" s="33">
        <f t="shared" si="471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72"/>
        <v>8270</v>
      </c>
      <c r="X631" s="9">
        <f t="shared" si="434"/>
        <v>50</v>
      </c>
      <c r="Y631" s="7">
        <f t="shared" si="456"/>
        <v>9.4307999999999996</v>
      </c>
      <c r="Z631" s="7">
        <f>BQ631-Y631-6</f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35"/>
        <v>7.6014023345837334</v>
      </c>
      <c r="AN631" s="33">
        <v>0.13719999999999999</v>
      </c>
      <c r="AO631" s="33">
        <f t="shared" si="457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CY631" s="34" t="s">
        <v>86</v>
      </c>
    </row>
    <row r="632" spans="1:103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59"/>
        <v>14.928571428571429</v>
      </c>
      <c r="G632" s="7">
        <f t="shared" si="460"/>
        <v>19.5</v>
      </c>
      <c r="H632" s="16">
        <f t="shared" si="461"/>
        <v>22.299999999999997</v>
      </c>
      <c r="I632" s="11">
        <f t="shared" si="426"/>
        <v>0.1619911208929482</v>
      </c>
      <c r="J632" s="33">
        <f t="shared" si="427"/>
        <v>1.0851079868427153E-2</v>
      </c>
      <c r="K632" s="33">
        <f t="shared" si="469"/>
        <v>92.156726530937277</v>
      </c>
      <c r="L632" s="33">
        <f t="shared" si="470"/>
        <v>0.15114004102452105</v>
      </c>
      <c r="M632" s="33">
        <f t="shared" si="471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72"/>
        <v>8270</v>
      </c>
      <c r="X632" s="9">
        <f t="shared" si="434"/>
        <v>50</v>
      </c>
      <c r="Y632" s="7">
        <f t="shared" si="456"/>
        <v>9.4307999999999996</v>
      </c>
      <c r="Z632" s="7">
        <f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35"/>
        <v>7.6014023345837334</v>
      </c>
      <c r="AN632" s="33">
        <v>0.13719999999999999</v>
      </c>
      <c r="AO632" s="33">
        <f t="shared" si="457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CY632" s="34" t="s">
        <v>86</v>
      </c>
    </row>
    <row r="633" spans="1:103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59"/>
        <v>15</v>
      </c>
      <c r="G633" s="7">
        <f t="shared" si="460"/>
        <v>7</v>
      </c>
      <c r="H633" s="16">
        <f t="shared" si="461"/>
        <v>8</v>
      </c>
      <c r="I633" s="11">
        <f t="shared" si="426"/>
        <v>0.25800784355766804</v>
      </c>
      <c r="J633" s="33">
        <f t="shared" si="427"/>
        <v>1.7200522903844537E-2</v>
      </c>
      <c r="K633" s="33">
        <f t="shared" si="469"/>
        <v>58.137767414994528</v>
      </c>
      <c r="L633" s="33">
        <f t="shared" si="470"/>
        <v>0.24080732065382349</v>
      </c>
      <c r="M633" s="33">
        <f t="shared" si="471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72"/>
        <v>3155</v>
      </c>
      <c r="X633" s="9">
        <f t="shared" si="434"/>
        <v>50</v>
      </c>
      <c r="Y633" s="7">
        <f t="shared" si="456"/>
        <v>9.4307999999999996</v>
      </c>
      <c r="Z633" s="7">
        <f>BQ633-Y633-6</f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35"/>
        <v>7.6014023345837334</v>
      </c>
      <c r="AN633" s="33">
        <v>0.13719999999999999</v>
      </c>
      <c r="AO633" s="33">
        <f t="shared" si="457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CY633" s="34" t="s">
        <v>86</v>
      </c>
    </row>
    <row r="634" spans="1:103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59"/>
        <v>7.0000000000000009</v>
      </c>
      <c r="G634" s="7">
        <f t="shared" si="460"/>
        <v>17.400000000000002</v>
      </c>
      <c r="H634" s="16">
        <f t="shared" si="461"/>
        <v>23.2</v>
      </c>
      <c r="I634" s="11">
        <f t="shared" si="426"/>
        <v>0.12382109909351439</v>
      </c>
      <c r="J634" s="33">
        <f t="shared" si="427"/>
        <v>1.7688728441930625E-2</v>
      </c>
      <c r="K634" s="33">
        <f t="shared" si="469"/>
        <v>56.53317610041028</v>
      </c>
      <c r="L634" s="33">
        <f t="shared" si="470"/>
        <v>0.10613237065158376</v>
      </c>
      <c r="M634" s="33">
        <f t="shared" si="471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72"/>
        <v>3147</v>
      </c>
      <c r="X634" s="9">
        <f t="shared" si="434"/>
        <v>50</v>
      </c>
      <c r="Y634" s="7">
        <f t="shared" si="456"/>
        <v>9.4307999999999996</v>
      </c>
      <c r="Z634" s="7">
        <f>BQ634-Y634-6</f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35"/>
        <v>7.6014023345837334</v>
      </c>
      <c r="AN634" s="33">
        <v>0.13719999999999999</v>
      </c>
      <c r="AO634" s="33">
        <f t="shared" si="457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CY634" s="34" t="s">
        <v>86</v>
      </c>
    </row>
    <row r="635" spans="1:103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59"/>
        <v>2.8000000000000003</v>
      </c>
      <c r="G635" s="7">
        <f t="shared" si="460"/>
        <v>5.4</v>
      </c>
      <c r="H635" s="16">
        <f t="shared" si="461"/>
        <v>11.4</v>
      </c>
      <c r="I635" s="11">
        <f t="shared" si="426"/>
        <v>5.6227166832005605E-2</v>
      </c>
      <c r="J635" s="33">
        <f t="shared" si="427"/>
        <v>2.008113101143057E-2</v>
      </c>
      <c r="K635" s="33">
        <f t="shared" si="469"/>
        <v>49.797991927385986</v>
      </c>
      <c r="L635" s="33">
        <f t="shared" si="470"/>
        <v>3.6146035820575032E-2</v>
      </c>
      <c r="M635" s="33">
        <f t="shared" si="471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72"/>
        <v>2472</v>
      </c>
      <c r="X635" s="9">
        <f t="shared" si="434"/>
        <v>50</v>
      </c>
      <c r="Y635" s="7">
        <f t="shared" si="456"/>
        <v>9.4307999999999996</v>
      </c>
      <c r="Z635" s="7">
        <f>BQ635-Y635-6</f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35"/>
        <v>7.6014023345837334</v>
      </c>
      <c r="AN635" s="33">
        <v>0.13719999999999999</v>
      </c>
      <c r="AO635" s="33">
        <f t="shared" si="457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CY635" s="34" t="s">
        <v>86</v>
      </c>
    </row>
    <row r="636" spans="1:103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59"/>
        <v>10.166666666666666</v>
      </c>
      <c r="G636" s="7">
        <f t="shared" si="460"/>
        <v>5.5</v>
      </c>
      <c r="H636" s="16">
        <f t="shared" si="461"/>
        <v>6.6999999999999993</v>
      </c>
      <c r="I636" s="11">
        <f t="shared" si="426"/>
        <v>0.17810617536526374</v>
      </c>
      <c r="J636" s="33">
        <f t="shared" si="427"/>
        <v>1.7518640199862007E-2</v>
      </c>
      <c r="K636" s="33">
        <f t="shared" si="469"/>
        <v>57.082055946778155</v>
      </c>
      <c r="L636" s="33">
        <f t="shared" si="470"/>
        <v>0.16058753516540172</v>
      </c>
      <c r="M636" s="33">
        <f t="shared" si="471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72"/>
        <v>3155</v>
      </c>
      <c r="X636" s="9">
        <f t="shared" si="434"/>
        <v>50</v>
      </c>
      <c r="Y636" s="7">
        <f t="shared" si="456"/>
        <v>9.4307999999999996</v>
      </c>
      <c r="Z636" s="7">
        <f>BQ636-Y636-6</f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35"/>
        <v>7.6014023345837334</v>
      </c>
      <c r="AN636" s="33">
        <v>0.13719999999999999</v>
      </c>
      <c r="AO636" s="33">
        <f t="shared" si="457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CY636" s="34" t="s">
        <v>86</v>
      </c>
    </row>
    <row r="637" spans="1:103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59"/>
        <v>6.161290322580645</v>
      </c>
      <c r="G637" s="7">
        <f t="shared" si="460"/>
        <v>16</v>
      </c>
      <c r="H637" s="16">
        <f t="shared" si="461"/>
        <v>22.200000000000003</v>
      </c>
      <c r="I637" s="11">
        <f t="shared" si="426"/>
        <v>0.12750634932750621</v>
      </c>
      <c r="J637" s="33">
        <f t="shared" si="427"/>
        <v>2.0694747796610954E-2</v>
      </c>
      <c r="K637" s="33">
        <f t="shared" si="469"/>
        <v>48.321439324994508</v>
      </c>
      <c r="L637" s="33">
        <f t="shared" si="470"/>
        <v>0.10681160153089525</v>
      </c>
      <c r="M637" s="33">
        <f t="shared" si="471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72"/>
        <v>2297</v>
      </c>
      <c r="X637" s="9">
        <f t="shared" si="434"/>
        <v>50</v>
      </c>
      <c r="Y637" s="7">
        <f t="shared" si="456"/>
        <v>9.4307999999999996</v>
      </c>
      <c r="Z637" s="7">
        <f>BQ637-Y637-6</f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35"/>
        <v>7.6014023345837334</v>
      </c>
      <c r="AN637" s="33">
        <v>0.13719999999999999</v>
      </c>
      <c r="AO637" s="33">
        <f t="shared" si="457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CY637" s="34" t="s">
        <v>86</v>
      </c>
    </row>
    <row r="638" spans="1:103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59"/>
        <v>2.4242424242424243</v>
      </c>
      <c r="G638" s="7">
        <f t="shared" si="460"/>
        <v>4.7</v>
      </c>
      <c r="H638" s="16">
        <f t="shared" si="461"/>
        <v>11.3</v>
      </c>
      <c r="I638" s="11">
        <f t="shared" si="426"/>
        <v>5.4703978219744508E-2</v>
      </c>
      <c r="J638" s="33">
        <f t="shared" si="427"/>
        <v>2.2565391015644611E-2</v>
      </c>
      <c r="K638" s="33">
        <f t="shared" si="469"/>
        <v>44.31565131340728</v>
      </c>
      <c r="L638" s="33">
        <f t="shared" si="470"/>
        <v>3.21385872040999E-2</v>
      </c>
      <c r="M638" s="33">
        <f t="shared" si="471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72"/>
        <v>1958</v>
      </c>
      <c r="X638" s="9">
        <f t="shared" si="434"/>
        <v>50</v>
      </c>
      <c r="Y638" s="7">
        <f t="shared" si="456"/>
        <v>9.4307999999999996</v>
      </c>
      <c r="Z638" s="7">
        <f>BQ638-Y638-6</f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35"/>
        <v>7.6014023345837334</v>
      </c>
      <c r="AN638" s="33">
        <v>0.13719999999999999</v>
      </c>
      <c r="AO638" s="33">
        <f t="shared" si="457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CY638" s="34" t="s">
        <v>86</v>
      </c>
    </row>
    <row r="639" spans="1:103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59"/>
        <v>45.999999999999993</v>
      </c>
      <c r="G639" s="7">
        <f t="shared" si="460"/>
        <v>9</v>
      </c>
      <c r="H639" s="16">
        <f t="shared" si="461"/>
        <v>9.3999999999999986</v>
      </c>
      <c r="I639" s="11">
        <f t="shared" si="426"/>
        <v>0.39071541861692216</v>
      </c>
      <c r="J639" s="33">
        <f t="shared" si="427"/>
        <v>8.4938134481939605E-3</v>
      </c>
      <c r="K639" s="33">
        <f t="shared" si="469"/>
        <v>117.7327482054165</v>
      </c>
      <c r="L639" s="33">
        <f t="shared" si="470"/>
        <v>0.38222160516872822</v>
      </c>
      <c r="M639" s="33">
        <f t="shared" si="471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72"/>
        <v>11745</v>
      </c>
      <c r="X639" s="9">
        <f t="shared" si="434"/>
        <v>50</v>
      </c>
      <c r="Y639" s="7">
        <f t="shared" si="456"/>
        <v>9.4307999999999996</v>
      </c>
      <c r="Z639" s="7">
        <f>BQ639-Y639-6</f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35"/>
        <v>7.6014023345837334</v>
      </c>
      <c r="AN639" s="33">
        <v>0.13719999999999999</v>
      </c>
      <c r="AO639" s="33">
        <f t="shared" si="457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CY639" s="34" t="s">
        <v>86</v>
      </c>
    </row>
    <row r="640" spans="1:103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59"/>
        <v>14.818181818181818</v>
      </c>
      <c r="G640" s="7">
        <f t="shared" si="460"/>
        <v>15.200000000000001</v>
      </c>
      <c r="H640" s="16">
        <f t="shared" si="461"/>
        <v>17.400000000000002</v>
      </c>
      <c r="I640" s="11">
        <f t="shared" si="426"/>
        <v>0.13547096277416754</v>
      </c>
      <c r="J640" s="33">
        <f t="shared" si="427"/>
        <v>9.1422122117536374E-3</v>
      </c>
      <c r="K640" s="33">
        <f t="shared" si="469"/>
        <v>109.38271578451824</v>
      </c>
      <c r="L640" s="33">
        <f t="shared" si="470"/>
        <v>0.12632875056241391</v>
      </c>
      <c r="M640" s="33">
        <f t="shared" si="471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72"/>
        <v>11745</v>
      </c>
      <c r="X640" s="9">
        <f t="shared" si="434"/>
        <v>50</v>
      </c>
      <c r="Y640" s="7">
        <f t="shared" si="456"/>
        <v>9.4307999999999996</v>
      </c>
      <c r="Z640" s="7">
        <f>BQ640-Y640-6</f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35"/>
        <v>7.6014023345837334</v>
      </c>
      <c r="AN640" s="33">
        <v>0.13719999999999999</v>
      </c>
      <c r="AO640" s="33">
        <f t="shared" si="457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CY640" s="34" t="s">
        <v>86</v>
      </c>
    </row>
    <row r="641" spans="1:103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59"/>
        <v>15.749999999999998</v>
      </c>
      <c r="G641" s="7">
        <f t="shared" si="460"/>
        <v>11.799999999999999</v>
      </c>
      <c r="H641" s="16">
        <f t="shared" si="461"/>
        <v>13.4</v>
      </c>
      <c r="I641" s="11">
        <f t="shared" si="426"/>
        <v>0.11981062609680501</v>
      </c>
      <c r="J641" s="33">
        <f t="shared" si="427"/>
        <v>7.607023879162224E-3</v>
      </c>
      <c r="K641" s="33">
        <f t="shared" si="469"/>
        <v>131.45745509479482</v>
      </c>
      <c r="L641" s="33">
        <f t="shared" si="470"/>
        <v>0.11220360221764279</v>
      </c>
      <c r="M641" s="33">
        <f t="shared" si="471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72"/>
        <v>17033</v>
      </c>
      <c r="X641" s="9">
        <f t="shared" si="434"/>
        <v>50</v>
      </c>
      <c r="Y641" s="7">
        <f t="shared" si="456"/>
        <v>9.4307999999999996</v>
      </c>
      <c r="Z641" s="7">
        <f>BQ641-Y641-6</f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35"/>
        <v>7.6014023345837334</v>
      </c>
      <c r="AN641" s="33">
        <v>0.13719999999999999</v>
      </c>
      <c r="AO641" s="33">
        <f t="shared" si="457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CY641" s="34" t="s">
        <v>86</v>
      </c>
    </row>
    <row r="642" spans="1:103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59"/>
        <v>51.5</v>
      </c>
      <c r="G642" s="7">
        <f t="shared" si="460"/>
        <v>10.100000000000001</v>
      </c>
      <c r="H642" s="16">
        <f t="shared" si="461"/>
        <v>10.5</v>
      </c>
      <c r="I642" s="11">
        <f t="shared" ref="I642:I691" si="473">IFERROR(F642/SQRT(F642^2+W642), "X")</f>
        <v>0.47764592668287958</v>
      </c>
      <c r="J642" s="33">
        <f t="shared" ref="J642:J691" si="474">IFERROR(SQRT((1-I642^2)/W642), "X")</f>
        <v>9.2746781880170773E-3</v>
      </c>
      <c r="K642" s="33">
        <f t="shared" si="469"/>
        <v>107.82045260524555</v>
      </c>
      <c r="L642" s="33">
        <f t="shared" si="470"/>
        <v>0.4683712484948625</v>
      </c>
      <c r="M642" s="33">
        <f t="shared" si="471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72"/>
        <v>8973</v>
      </c>
      <c r="X642" s="9">
        <f t="shared" si="434"/>
        <v>50</v>
      </c>
      <c r="Y642" s="7">
        <f t="shared" si="456"/>
        <v>9.4307999999999996</v>
      </c>
      <c r="Z642" s="7">
        <f>BQ642-Y642-6</f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35"/>
        <v>7.6014023345837334</v>
      </c>
      <c r="AN642" s="33">
        <v>0.13719999999999999</v>
      </c>
      <c r="AO642" s="33">
        <f t="shared" si="457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CY642" s="34" t="s">
        <v>86</v>
      </c>
    </row>
    <row r="643" spans="1:103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59"/>
        <v>15.272727272727272</v>
      </c>
      <c r="G643" s="7">
        <f t="shared" si="460"/>
        <v>15.700000000000001</v>
      </c>
      <c r="H643" s="16">
        <f t="shared" si="461"/>
        <v>17.900000000000002</v>
      </c>
      <c r="I643" s="11">
        <f t="shared" si="473"/>
        <v>0.15917507687208587</v>
      </c>
      <c r="J643" s="33">
        <f t="shared" si="474"/>
        <v>1.0422177652338957E-2</v>
      </c>
      <c r="K643" s="33">
        <f t="shared" si="469"/>
        <v>95.949237612120243</v>
      </c>
      <c r="L643" s="33">
        <f t="shared" si="470"/>
        <v>0.14875289921974691</v>
      </c>
      <c r="M643" s="33">
        <f t="shared" si="471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72"/>
        <v>8973</v>
      </c>
      <c r="X643" s="9">
        <f t="shared" ref="X643:X706" si="475">COUNTIF(B:B,B643)</f>
        <v>50</v>
      </c>
      <c r="Y643" s="7">
        <f t="shared" si="456"/>
        <v>9.4307999999999996</v>
      </c>
      <c r="Z643" s="7">
        <f>BQ643-Y643-6</f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76">LN(AL643)</f>
        <v>7.6014023345837334</v>
      </c>
      <c r="AN643" s="33">
        <v>0.13719999999999999</v>
      </c>
      <c r="AO643" s="33">
        <f t="shared" si="457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CY643" s="34" t="s">
        <v>86</v>
      </c>
    </row>
    <row r="644" spans="1:103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59"/>
        <v>20</v>
      </c>
      <c r="G644" s="7">
        <f t="shared" si="460"/>
        <v>11.4</v>
      </c>
      <c r="H644" s="16">
        <f t="shared" si="461"/>
        <v>12.6</v>
      </c>
      <c r="I644" s="11">
        <f t="shared" si="473"/>
        <v>0.38454428462686413</v>
      </c>
      <c r="J644" s="33">
        <f t="shared" si="474"/>
        <v>1.9227214231343204E-2</v>
      </c>
      <c r="K644" s="33">
        <f t="shared" si="469"/>
        <v>52.009614495783381</v>
      </c>
      <c r="L644" s="33">
        <f t="shared" si="470"/>
        <v>0.36531707039552092</v>
      </c>
      <c r="M644" s="33">
        <f t="shared" si="471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72"/>
        <v>2305</v>
      </c>
      <c r="X644" s="9">
        <f t="shared" si="475"/>
        <v>50</v>
      </c>
      <c r="Y644" s="7">
        <f t="shared" si="456"/>
        <v>9.4307999999999996</v>
      </c>
      <c r="Z644" s="7">
        <f>BQ644-Y644-6</f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76"/>
        <v>7.6014023345837334</v>
      </c>
      <c r="AN644" s="33">
        <v>0.13719999999999999</v>
      </c>
      <c r="AO644" s="33">
        <f t="shared" si="457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CY644" s="34" t="s">
        <v>86</v>
      </c>
    </row>
    <row r="645" spans="1:103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59"/>
        <v>8.0333333333333332</v>
      </c>
      <c r="G645" s="7">
        <f t="shared" si="460"/>
        <v>21.1</v>
      </c>
      <c r="H645" s="16">
        <f t="shared" si="461"/>
        <v>27.1</v>
      </c>
      <c r="I645" s="11">
        <f t="shared" si="473"/>
        <v>0.15218210253381906</v>
      </c>
      <c r="J645" s="33">
        <f t="shared" si="474"/>
        <v>1.8943830190931835E-2</v>
      </c>
      <c r="K645" s="33">
        <f t="shared" si="469"/>
        <v>52.787635336738134</v>
      </c>
      <c r="L645" s="33">
        <f t="shared" si="470"/>
        <v>0.13323827234288721</v>
      </c>
      <c r="M645" s="33">
        <f t="shared" si="471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72"/>
        <v>2722</v>
      </c>
      <c r="X645" s="9">
        <f t="shared" si="475"/>
        <v>50</v>
      </c>
      <c r="Y645" s="7">
        <f t="shared" si="456"/>
        <v>9.4307999999999996</v>
      </c>
      <c r="Z645" s="7">
        <f>BQ645-Y645-6</f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76"/>
        <v>7.6014023345837334</v>
      </c>
      <c r="AN645" s="33">
        <v>0.13719999999999999</v>
      </c>
      <c r="AO645" s="33">
        <f t="shared" si="457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CY645" s="34" t="s">
        <v>86</v>
      </c>
    </row>
    <row r="646" spans="1:103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59"/>
        <v>8.76</v>
      </c>
      <c r="G646" s="7">
        <f t="shared" si="460"/>
        <v>19.399999999999999</v>
      </c>
      <c r="H646" s="16">
        <f t="shared" si="461"/>
        <v>24.4</v>
      </c>
      <c r="I646" s="11">
        <f t="shared" si="473"/>
        <v>0.18622549971585556</v>
      </c>
      <c r="J646" s="33">
        <f t="shared" si="474"/>
        <v>2.1258618689024608E-2</v>
      </c>
      <c r="K646" s="33">
        <f t="shared" si="469"/>
        <v>47.039744897267461</v>
      </c>
      <c r="L646" s="33">
        <f t="shared" si="470"/>
        <v>0.16496688102683094</v>
      </c>
      <c r="M646" s="33">
        <f t="shared" si="471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72"/>
        <v>2136</v>
      </c>
      <c r="X646" s="9">
        <f t="shared" si="475"/>
        <v>50</v>
      </c>
      <c r="Y646" s="7">
        <f t="shared" si="456"/>
        <v>9.4307999999999996</v>
      </c>
      <c r="Z646" s="7">
        <f>BQ646-Y646-6</f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76"/>
        <v>7.6014023345837334</v>
      </c>
      <c r="AN646" s="33">
        <v>0.13719999999999999</v>
      </c>
      <c r="AO646" s="33">
        <f t="shared" si="457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CY646" s="34" t="s">
        <v>86</v>
      </c>
    </row>
    <row r="647" spans="1:103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59"/>
        <v>15.285714285714286</v>
      </c>
      <c r="G647" s="7">
        <f t="shared" si="460"/>
        <v>10</v>
      </c>
      <c r="H647" s="16">
        <f t="shared" si="461"/>
        <v>11.399999999999999</v>
      </c>
      <c r="I647" s="11">
        <f t="shared" si="473"/>
        <v>0.32584416439046376</v>
      </c>
      <c r="J647" s="33">
        <f t="shared" si="474"/>
        <v>2.1316907950777998E-2</v>
      </c>
      <c r="K647" s="33">
        <f t="shared" si="469"/>
        <v>46.911118737720273</v>
      </c>
      <c r="L647" s="33">
        <f t="shared" si="470"/>
        <v>0.30452725643968576</v>
      </c>
      <c r="M647" s="33">
        <f t="shared" si="471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72"/>
        <v>1967</v>
      </c>
      <c r="X647" s="9">
        <f t="shared" si="475"/>
        <v>50</v>
      </c>
      <c r="Y647" s="7">
        <f t="shared" si="456"/>
        <v>9.4307999999999996</v>
      </c>
      <c r="Z647" s="7">
        <f>BQ647-Y647-6</f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76"/>
        <v>7.6014023345837334</v>
      </c>
      <c r="AN647" s="33">
        <v>0.13719999999999999</v>
      </c>
      <c r="AO647" s="33">
        <f t="shared" si="457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CY647" s="34" t="s">
        <v>86</v>
      </c>
    </row>
    <row r="648" spans="1:103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59"/>
        <v>5</v>
      </c>
      <c r="G648" s="7">
        <f t="shared" si="460"/>
        <v>17.2</v>
      </c>
      <c r="H648" s="16">
        <f t="shared" si="461"/>
        <v>25.8</v>
      </c>
      <c r="I648" s="11">
        <f t="shared" si="473"/>
        <v>0.11211213233271874</v>
      </c>
      <c r="J648" s="33">
        <f t="shared" si="474"/>
        <v>2.242242646654375E-2</v>
      </c>
      <c r="K648" s="33">
        <f t="shared" si="469"/>
        <v>44.598206241955516</v>
      </c>
      <c r="L648" s="33">
        <f t="shared" si="470"/>
        <v>8.9689705866175001E-2</v>
      </c>
      <c r="M648" s="33">
        <f t="shared" si="471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72"/>
        <v>1964</v>
      </c>
      <c r="X648" s="9">
        <f t="shared" si="475"/>
        <v>50</v>
      </c>
      <c r="Y648" s="7">
        <f t="shared" si="456"/>
        <v>9.4307999999999996</v>
      </c>
      <c r="Z648" s="7">
        <f>BQ648-Y648-6</f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76"/>
        <v>7.6014023345837334</v>
      </c>
      <c r="AN648" s="33">
        <v>0.13719999999999999</v>
      </c>
      <c r="AO648" s="33">
        <f t="shared" si="457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CY648" s="34" t="s">
        <v>86</v>
      </c>
    </row>
    <row r="649" spans="1:103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59"/>
        <v>6.4687499999999991</v>
      </c>
      <c r="G649" s="121">
        <f t="shared" si="460"/>
        <v>17.5</v>
      </c>
      <c r="H649" s="122">
        <f t="shared" si="461"/>
        <v>23.9</v>
      </c>
      <c r="I649" s="123">
        <f t="shared" si="473"/>
        <v>0.15598245363248828</v>
      </c>
      <c r="J649" s="124">
        <f t="shared" si="474"/>
        <v>2.4113229547051335E-2</v>
      </c>
      <c r="K649" s="124">
        <f t="shared" si="469"/>
        <v>41.471010676887289</v>
      </c>
      <c r="L649" s="124">
        <f t="shared" si="470"/>
        <v>0.13186922408543694</v>
      </c>
      <c r="M649" s="124">
        <f t="shared" si="471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72"/>
        <v>1678</v>
      </c>
      <c r="X649" s="126">
        <f t="shared" si="475"/>
        <v>50</v>
      </c>
      <c r="Y649" s="121">
        <f t="shared" si="456"/>
        <v>9.4307999999999996</v>
      </c>
      <c r="Z649" s="121">
        <f>BQ649-Y649-6</f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76"/>
        <v>7.6014023345837334</v>
      </c>
      <c r="AN649" s="124">
        <v>0.13719999999999999</v>
      </c>
      <c r="AO649" s="124">
        <f t="shared" si="457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18"/>
      <c r="CY649" s="134" t="s">
        <v>86</v>
      </c>
    </row>
    <row r="650" spans="1:103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59"/>
        <v>70</v>
      </c>
      <c r="G650" s="7">
        <f t="shared" si="460"/>
        <v>5.52</v>
      </c>
      <c r="H650" s="16">
        <f t="shared" si="461"/>
        <v>5.68</v>
      </c>
      <c r="I650" s="11">
        <f t="shared" si="473"/>
        <v>0.45067594598575533</v>
      </c>
      <c r="J650" s="33">
        <f t="shared" si="474"/>
        <v>6.4382277997965046E-3</v>
      </c>
      <c r="K650" s="33">
        <f t="shared" si="469"/>
        <v>155.32224567009067</v>
      </c>
      <c r="L650" s="33">
        <f t="shared" si="470"/>
        <v>0.44423771818595881</v>
      </c>
      <c r="M650" s="33">
        <f t="shared" si="471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72"/>
        <v>19225</v>
      </c>
      <c r="X650" s="9">
        <f t="shared" si="475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76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CY650" s="34" t="s">
        <v>86</v>
      </c>
    </row>
    <row r="651" spans="1:103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59"/>
        <v>37.777777777777779</v>
      </c>
      <c r="G651" s="7">
        <f t="shared" si="460"/>
        <v>6.62</v>
      </c>
      <c r="H651" s="16">
        <f t="shared" si="461"/>
        <v>6.9799999999999995</v>
      </c>
      <c r="I651" s="11">
        <f t="shared" si="473"/>
        <v>0.26685477272919289</v>
      </c>
      <c r="J651" s="33">
        <f t="shared" si="474"/>
        <v>7.0638028075374589E-3</v>
      </c>
      <c r="K651" s="33">
        <f t="shared" ref="K651:K664" si="477">IFERROR(1/J651, "X")</f>
        <v>141.5668057626051</v>
      </c>
      <c r="L651" s="33">
        <f t="shared" ref="L651:L664" si="478">IFERROR(I651-J651, "X")</f>
        <v>0.25979096992165546</v>
      </c>
      <c r="M651" s="33">
        <f t="shared" ref="M651:M664" si="479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72"/>
        <v>18614</v>
      </c>
      <c r="X651" s="9">
        <f t="shared" si="475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76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80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>6+Y651+Z651</f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CY651" s="34" t="s">
        <v>86</v>
      </c>
    </row>
    <row r="652" spans="1:103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59"/>
        <v>10.088888888888889</v>
      </c>
      <c r="G652" s="7">
        <f t="shared" si="460"/>
        <v>4.09</v>
      </c>
      <c r="H652" s="16">
        <f t="shared" si="461"/>
        <v>4.99</v>
      </c>
      <c r="I652" s="11">
        <f t="shared" si="473"/>
        <v>0.31287540391824742</v>
      </c>
      <c r="J652" s="33">
        <f t="shared" si="474"/>
        <v>3.101187924299809E-2</v>
      </c>
      <c r="K652" s="33">
        <f t="shared" si="477"/>
        <v>32.245707916129639</v>
      </c>
      <c r="L652" s="33">
        <f t="shared" si="478"/>
        <v>0.28186352467524933</v>
      </c>
      <c r="M652" s="33">
        <f t="shared" si="479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81">U652-V652-1</f>
        <v>938</v>
      </c>
      <c r="X652" s="9">
        <f t="shared" si="475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76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80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>6+Y652+Z652</f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CY652" s="34" t="s">
        <v>86</v>
      </c>
    </row>
    <row r="653" spans="1:103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59"/>
        <v>6.5877192982456148</v>
      </c>
      <c r="G653" s="7">
        <f t="shared" si="460"/>
        <v>6.37</v>
      </c>
      <c r="H653" s="16">
        <f t="shared" si="461"/>
        <v>8.65</v>
      </c>
      <c r="I653" s="11">
        <f t="shared" si="473"/>
        <v>0.21346458722465919</v>
      </c>
      <c r="J653" s="33">
        <f t="shared" si="474"/>
        <v>3.2403412707871032E-2</v>
      </c>
      <c r="K653" s="33">
        <f t="shared" si="477"/>
        <v>30.860946932206698</v>
      </c>
      <c r="L653" s="33">
        <f t="shared" si="478"/>
        <v>0.18106117451678816</v>
      </c>
      <c r="M653" s="33">
        <f t="shared" si="479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81"/>
        <v>909</v>
      </c>
      <c r="X653" s="9">
        <f t="shared" si="475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76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80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>6+Y653+Z653</f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CY653" s="34" t="s">
        <v>86</v>
      </c>
    </row>
    <row r="654" spans="1:103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59"/>
        <v>0.8472222222222221</v>
      </c>
      <c r="G654" s="7">
        <f t="shared" si="460"/>
        <v>-0.55000000000000027</v>
      </c>
      <c r="H654" s="16">
        <f t="shared" si="461"/>
        <v>6.65</v>
      </c>
      <c r="I654" s="11">
        <f t="shared" si="473"/>
        <v>2.3582057357347679E-2</v>
      </c>
      <c r="J654" s="33">
        <f t="shared" si="474"/>
        <v>2.7834559503754644E-2</v>
      </c>
      <c r="K654" s="33">
        <f t="shared" si="477"/>
        <v>35.926561002882352</v>
      </c>
      <c r="L654" s="33">
        <f t="shared" si="478"/>
        <v>-4.2525021464069647E-3</v>
      </c>
      <c r="M654" s="33">
        <f t="shared" si="479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81"/>
        <v>1290</v>
      </c>
      <c r="X654" s="9">
        <f t="shared" si="475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76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80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>6+Y654+Z654</f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CY654" s="34" t="s">
        <v>86</v>
      </c>
    </row>
    <row r="655" spans="1:103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59"/>
        <v>5.1363636363636367</v>
      </c>
      <c r="G655" s="7">
        <f t="shared" si="460"/>
        <v>4.5500000000000007</v>
      </c>
      <c r="H655" s="16">
        <f t="shared" si="461"/>
        <v>6.75</v>
      </c>
      <c r="I655" s="11">
        <f t="shared" si="473"/>
        <v>0.1445068320716868</v>
      </c>
      <c r="J655" s="33">
        <f t="shared" si="474"/>
        <v>2.8134073500682387E-2</v>
      </c>
      <c r="K655" s="33">
        <f t="shared" si="477"/>
        <v>35.544088557803235</v>
      </c>
      <c r="L655" s="33">
        <f t="shared" si="478"/>
        <v>0.1163727585710044</v>
      </c>
      <c r="M655" s="33">
        <f t="shared" si="479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81"/>
        <v>1237</v>
      </c>
      <c r="X655" s="9">
        <f t="shared" si="475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76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80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>6+Y655+Z655</f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CY655" s="34" t="s">
        <v>86</v>
      </c>
    </row>
    <row r="656" spans="1:103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59"/>
        <v>11.891891891891893</v>
      </c>
      <c r="G656" s="7">
        <f t="shared" si="460"/>
        <v>4.03</v>
      </c>
      <c r="H656" s="16">
        <f t="shared" si="461"/>
        <v>4.7700000000000005</v>
      </c>
      <c r="I656" s="11">
        <f t="shared" si="473"/>
        <v>0.30417954748127174</v>
      </c>
      <c r="J656" s="33">
        <f t="shared" si="474"/>
        <v>2.5578734674561485E-2</v>
      </c>
      <c r="K656" s="33">
        <f t="shared" si="477"/>
        <v>39.09497528798866</v>
      </c>
      <c r="L656" s="33">
        <f t="shared" si="478"/>
        <v>0.27860081280671023</v>
      </c>
      <c r="M656" s="33">
        <f t="shared" si="479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82">U656-V656-1</f>
        <v>1387</v>
      </c>
      <c r="X656" s="9">
        <f t="shared" si="475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76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>6+Y656+Z656</f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CY656" s="34" t="s">
        <v>86</v>
      </c>
    </row>
    <row r="657" spans="1:103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59"/>
        <v>7.6972477064220186</v>
      </c>
      <c r="G657" s="7">
        <f t="shared" si="460"/>
        <v>7.3000000000000007</v>
      </c>
      <c r="H657" s="16">
        <f t="shared" si="461"/>
        <v>9.48</v>
      </c>
      <c r="I657" s="11">
        <f t="shared" si="473"/>
        <v>0.20547940779494051</v>
      </c>
      <c r="J657" s="33">
        <f t="shared" si="474"/>
        <v>2.6695179320200848E-2</v>
      </c>
      <c r="K657" s="33">
        <f t="shared" si="477"/>
        <v>37.459946906716496</v>
      </c>
      <c r="L657" s="33">
        <f t="shared" si="478"/>
        <v>0.17878422847473965</v>
      </c>
      <c r="M657" s="33">
        <f t="shared" si="479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82"/>
        <v>1344</v>
      </c>
      <c r="X657" s="9">
        <f t="shared" si="475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76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>6+Y657+Z657</f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CY657" s="34" t="s">
        <v>86</v>
      </c>
    </row>
    <row r="658" spans="1:103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59"/>
        <v>6.615384615384615</v>
      </c>
      <c r="G658" s="7">
        <f t="shared" si="460"/>
        <v>2.19</v>
      </c>
      <c r="H658" s="16">
        <f t="shared" si="461"/>
        <v>2.97</v>
      </c>
      <c r="I658" s="11">
        <f t="shared" si="473"/>
        <v>0.21637359917513771</v>
      </c>
      <c r="J658" s="33">
        <f t="shared" si="474"/>
        <v>3.2707637084613848E-2</v>
      </c>
      <c r="K658" s="33">
        <f t="shared" si="477"/>
        <v>30.573899221549535</v>
      </c>
      <c r="L658" s="33">
        <f t="shared" si="478"/>
        <v>0.18366596209052385</v>
      </c>
      <c r="M658" s="33">
        <f t="shared" si="479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82"/>
        <v>891</v>
      </c>
      <c r="X658" s="9">
        <f t="shared" si="475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76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>6+Y658+Z658</f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CY658" s="34" t="s">
        <v>86</v>
      </c>
    </row>
    <row r="659" spans="1:103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59"/>
        <v>3.0388349514563107</v>
      </c>
      <c r="G659" s="157">
        <f t="shared" si="460"/>
        <v>2.0999999999999996</v>
      </c>
      <c r="H659" s="158">
        <f t="shared" si="461"/>
        <v>4.16</v>
      </c>
      <c r="I659" s="159">
        <f t="shared" si="473"/>
        <v>0.10366955995013886</v>
      </c>
      <c r="J659" s="160">
        <f t="shared" si="474"/>
        <v>3.4114903114582436E-2</v>
      </c>
      <c r="K659" s="160">
        <f t="shared" si="477"/>
        <v>29.312702329573654</v>
      </c>
      <c r="L659" s="160">
        <f t="shared" si="478"/>
        <v>6.9554656835556422E-2</v>
      </c>
      <c r="M659" s="160">
        <f t="shared" si="479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82"/>
        <v>850</v>
      </c>
      <c r="X659" s="162">
        <f t="shared" si="475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76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>6+Y659+Z659</f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X659" s="154"/>
      <c r="CY659" s="171" t="s">
        <v>86</v>
      </c>
    </row>
    <row r="660" spans="1:103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59"/>
        <v>28.666666666666668</v>
      </c>
      <c r="G660" s="7">
        <f t="shared" si="460"/>
        <v>8.2999999999999989</v>
      </c>
      <c r="H660" s="16">
        <f t="shared" si="461"/>
        <v>8.9</v>
      </c>
      <c r="I660" s="11">
        <f t="shared" si="473"/>
        <v>0.30072687606952542</v>
      </c>
      <c r="J660" s="33">
        <f t="shared" si="474"/>
        <v>1.0490472421029956E-2</v>
      </c>
      <c r="K660" s="33">
        <f t="shared" si="477"/>
        <v>95.324591673805656</v>
      </c>
      <c r="L660" s="33">
        <f t="shared" si="478"/>
        <v>0.29023640364849546</v>
      </c>
      <c r="M660" s="33">
        <f t="shared" si="479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82"/>
        <v>8265</v>
      </c>
      <c r="X660" s="9">
        <f t="shared" si="475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76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>6+Y660+Z660</f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CY660" s="34" t="s">
        <v>86</v>
      </c>
    </row>
    <row r="661" spans="1:103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59"/>
        <v>41.5</v>
      </c>
      <c r="G661" s="7">
        <f t="shared" si="460"/>
        <v>8.1000000000000014</v>
      </c>
      <c r="H661" s="16">
        <f t="shared" si="461"/>
        <v>8.5</v>
      </c>
      <c r="I661" s="11">
        <f t="shared" si="473"/>
        <v>0.41530640149835174</v>
      </c>
      <c r="J661" s="33">
        <f t="shared" si="474"/>
        <v>1.0007383168634981E-2</v>
      </c>
      <c r="K661" s="33">
        <f t="shared" si="477"/>
        <v>99.926222784612449</v>
      </c>
      <c r="L661" s="33">
        <f t="shared" si="478"/>
        <v>0.40529901832971676</v>
      </c>
      <c r="M661" s="33">
        <f t="shared" si="479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82"/>
        <v>8263</v>
      </c>
      <c r="X661" s="9">
        <f t="shared" si="475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76"/>
        <v>7.6019019598751658</v>
      </c>
      <c r="AN661" s="33">
        <f t="shared" ref="AN661:AN676" si="483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>6+Y661+Z661</f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CY661" s="34" t="s">
        <v>86</v>
      </c>
    </row>
    <row r="662" spans="1:103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59"/>
        <v>32.999999999999993</v>
      </c>
      <c r="G662" s="7">
        <f t="shared" si="460"/>
        <v>6.3999999999999995</v>
      </c>
      <c r="H662" s="16">
        <f t="shared" si="461"/>
        <v>6.8</v>
      </c>
      <c r="I662" s="11">
        <f t="shared" si="473"/>
        <v>0.34124138094380424</v>
      </c>
      <c r="J662" s="33">
        <f t="shared" si="474"/>
        <v>1.034064790738801E-2</v>
      </c>
      <c r="K662" s="33">
        <f t="shared" si="477"/>
        <v>96.705739229892643</v>
      </c>
      <c r="L662" s="33">
        <f t="shared" si="478"/>
        <v>0.33090073303641621</v>
      </c>
      <c r="M662" s="33">
        <f t="shared" si="479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82"/>
        <v>8263</v>
      </c>
      <c r="X662" s="9">
        <f t="shared" si="475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76"/>
        <v>7.6019019598751658</v>
      </c>
      <c r="AN662" s="33">
        <f t="shared" si="483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>6+Y662+Z662</f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CY662" s="34" t="s">
        <v>86</v>
      </c>
    </row>
    <row r="663" spans="1:103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59"/>
        <v>22.666666666666668</v>
      </c>
      <c r="G663" s="7">
        <f t="shared" si="460"/>
        <v>6.5</v>
      </c>
      <c r="H663" s="16">
        <f t="shared" si="461"/>
        <v>7.1</v>
      </c>
      <c r="I663" s="11">
        <f t="shared" si="473"/>
        <v>0.24202966751607363</v>
      </c>
      <c r="J663" s="33">
        <f t="shared" si="474"/>
        <v>1.0677779449238542E-2</v>
      </c>
      <c r="K663" s="33">
        <f t="shared" si="477"/>
        <v>93.652430709393641</v>
      </c>
      <c r="L663" s="33">
        <f t="shared" si="478"/>
        <v>0.2313518880668351</v>
      </c>
      <c r="M663" s="33">
        <f t="shared" si="479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82"/>
        <v>8257</v>
      </c>
      <c r="X663" s="9">
        <f t="shared" si="475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76"/>
        <v>7.6019019598751658</v>
      </c>
      <c r="AN663" s="33">
        <f t="shared" si="483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>6+Y663+Z663</f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CY663" s="34" t="s">
        <v>86</v>
      </c>
    </row>
    <row r="664" spans="1:103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59"/>
        <v>22.666666666666668</v>
      </c>
      <c r="G664" s="7">
        <f t="shared" si="460"/>
        <v>6.5</v>
      </c>
      <c r="H664" s="16">
        <f t="shared" si="461"/>
        <v>7.1</v>
      </c>
      <c r="I664" s="11">
        <f t="shared" si="473"/>
        <v>0.24202966751607363</v>
      </c>
      <c r="J664" s="33">
        <f t="shared" si="474"/>
        <v>1.0677779449238542E-2</v>
      </c>
      <c r="K664" s="33">
        <f t="shared" si="477"/>
        <v>93.652430709393641</v>
      </c>
      <c r="L664" s="33">
        <f t="shared" si="478"/>
        <v>0.2313518880668351</v>
      </c>
      <c r="M664" s="33">
        <f t="shared" si="479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82"/>
        <v>8257</v>
      </c>
      <c r="X664" s="9">
        <f t="shared" si="475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76"/>
        <v>7.6019019598751658</v>
      </c>
      <c r="AN664" s="33">
        <f t="shared" si="483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>6+Y664+Z664</f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CY664" s="34" t="s">
        <v>86</v>
      </c>
    </row>
    <row r="665" spans="1:103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84">D665/E665</f>
        <v>15</v>
      </c>
      <c r="G665" s="7">
        <f t="shared" ref="G665:G681" si="485">D665-E665</f>
        <v>5.6</v>
      </c>
      <c r="H665" s="16">
        <f t="shared" ref="H665:H681" si="486">D665+E665</f>
        <v>6.4</v>
      </c>
      <c r="I665" s="11">
        <f t="shared" si="473"/>
        <v>0.16287038575505658</v>
      </c>
      <c r="J665" s="33">
        <f t="shared" si="474"/>
        <v>1.0858025717003773E-2</v>
      </c>
      <c r="K665" s="33">
        <f t="shared" ref="K665:K666" si="487">IFERROR(1/J665, "X")</f>
        <v>92.097774131626011</v>
      </c>
      <c r="L665" s="33">
        <f t="shared" ref="L665:L666" si="488">IFERROR(I665-J665, "X")</f>
        <v>0.1520123600380528</v>
      </c>
      <c r="M665" s="33">
        <f t="shared" ref="M665:M666" si="489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82"/>
        <v>8257</v>
      </c>
      <c r="X665" s="9">
        <f t="shared" si="475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76"/>
        <v>7.6019019598751658</v>
      </c>
      <c r="AN665" s="33">
        <f t="shared" si="483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>6+Y665+Z665</f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CY665" s="34" t="s">
        <v>86</v>
      </c>
    </row>
    <row r="666" spans="1:103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84"/>
        <v>15</v>
      </c>
      <c r="G666" s="7">
        <f t="shared" si="485"/>
        <v>5.6</v>
      </c>
      <c r="H666" s="16">
        <f t="shared" si="486"/>
        <v>6.4</v>
      </c>
      <c r="I666" s="11">
        <f t="shared" si="473"/>
        <v>0.16287038575505658</v>
      </c>
      <c r="J666" s="33">
        <f t="shared" si="474"/>
        <v>1.0858025717003773E-2</v>
      </c>
      <c r="K666" s="33">
        <f t="shared" si="487"/>
        <v>92.097774131626011</v>
      </c>
      <c r="L666" s="33">
        <f t="shared" si="488"/>
        <v>0.1520123600380528</v>
      </c>
      <c r="M666" s="33">
        <f t="shared" si="489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490">U666-V666-1</f>
        <v>8257</v>
      </c>
      <c r="X666" s="9">
        <f t="shared" si="475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76"/>
        <v>7.6019019598751658</v>
      </c>
      <c r="AN666" s="33">
        <f t="shared" si="483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>6+Y666+Z666</f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CY666" s="34" t="s">
        <v>86</v>
      </c>
    </row>
    <row r="667" spans="1:103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84"/>
        <v>18</v>
      </c>
      <c r="G667" s="7">
        <f t="shared" si="485"/>
        <v>6.8</v>
      </c>
      <c r="H667" s="16">
        <f t="shared" si="486"/>
        <v>7.6000000000000005</v>
      </c>
      <c r="I667" s="11">
        <f t="shared" si="473"/>
        <v>0.19431375937366141</v>
      </c>
      <c r="J667" s="33">
        <f t="shared" si="474"/>
        <v>1.0795208854092301E-2</v>
      </c>
      <c r="K667" s="33">
        <f t="shared" ref="K667:K681" si="491">IFERROR(1/J667, "X")</f>
        <v>92.633687176966021</v>
      </c>
      <c r="L667" s="33">
        <f t="shared" ref="L667:L681" si="492">IFERROR(I667-J667, "X")</f>
        <v>0.18351855051956911</v>
      </c>
      <c r="M667" s="33">
        <f t="shared" ref="M667:M681" si="493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490"/>
        <v>8257</v>
      </c>
      <c r="X667" s="9">
        <f t="shared" si="475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76"/>
        <v>7.6019019598751658</v>
      </c>
      <c r="AN667" s="33">
        <f t="shared" si="483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>6+Y667+Z667</f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CY667" s="34" t="s">
        <v>86</v>
      </c>
    </row>
    <row r="668" spans="1:103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84"/>
        <v>18</v>
      </c>
      <c r="G668" s="7">
        <f t="shared" si="485"/>
        <v>6.8</v>
      </c>
      <c r="H668" s="16">
        <f t="shared" si="486"/>
        <v>7.6000000000000005</v>
      </c>
      <c r="I668" s="11">
        <f t="shared" si="473"/>
        <v>0.19431375937366141</v>
      </c>
      <c r="J668" s="33">
        <f t="shared" si="474"/>
        <v>1.0795208854092301E-2</v>
      </c>
      <c r="K668" s="33">
        <f t="shared" si="491"/>
        <v>92.633687176966021</v>
      </c>
      <c r="L668" s="33">
        <f t="shared" si="492"/>
        <v>0.18351855051956911</v>
      </c>
      <c r="M668" s="33">
        <f t="shared" si="493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490"/>
        <v>8257</v>
      </c>
      <c r="X668" s="9">
        <f t="shared" si="475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76"/>
        <v>7.6019019598751658</v>
      </c>
      <c r="AN668" s="33">
        <f t="shared" si="483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>6+Y668+Z668</f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CY668" s="34" t="s">
        <v>86</v>
      </c>
    </row>
    <row r="669" spans="1:103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84"/>
        <v>14.8</v>
      </c>
      <c r="G669" s="7">
        <f t="shared" si="485"/>
        <v>6.9</v>
      </c>
      <c r="H669" s="16">
        <f t="shared" si="486"/>
        <v>7.9</v>
      </c>
      <c r="I669" s="11">
        <f t="shared" si="473"/>
        <v>0.16075526904413717</v>
      </c>
      <c r="J669" s="33">
        <f t="shared" si="474"/>
        <v>1.0861842502982241E-2</v>
      </c>
      <c r="K669" s="33">
        <f t="shared" si="491"/>
        <v>92.065411528977592</v>
      </c>
      <c r="L669" s="33">
        <f t="shared" si="492"/>
        <v>0.14989342654115492</v>
      </c>
      <c r="M669" s="33">
        <f t="shared" si="493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490"/>
        <v>8257</v>
      </c>
      <c r="X669" s="9">
        <f t="shared" si="475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76"/>
        <v>7.6019019598751658</v>
      </c>
      <c r="AN669" s="33">
        <f t="shared" si="483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>6+Y669+Z669</f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CY669" s="34" t="s">
        <v>86</v>
      </c>
    </row>
    <row r="670" spans="1:103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84"/>
        <v>14.6</v>
      </c>
      <c r="G670" s="7">
        <f t="shared" si="485"/>
        <v>6.8</v>
      </c>
      <c r="H670" s="16">
        <f t="shared" si="486"/>
        <v>7.8</v>
      </c>
      <c r="I670" s="11">
        <f t="shared" si="473"/>
        <v>0.15863793525842246</v>
      </c>
      <c r="J670" s="33">
        <f t="shared" si="474"/>
        <v>1.0865612004001537E-2</v>
      </c>
      <c r="K670" s="33">
        <f t="shared" si="491"/>
        <v>92.033472171813671</v>
      </c>
      <c r="L670" s="33">
        <f t="shared" si="492"/>
        <v>0.14777232325442091</v>
      </c>
      <c r="M670" s="33">
        <f t="shared" si="493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490"/>
        <v>8257</v>
      </c>
      <c r="X670" s="9">
        <f t="shared" si="475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76"/>
        <v>7.6019019598751658</v>
      </c>
      <c r="AN670" s="33">
        <f t="shared" si="483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>6+Y670+Z670</f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CY670" s="34" t="s">
        <v>86</v>
      </c>
    </row>
    <row r="671" spans="1:103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84"/>
        <v>9.4999999999999982</v>
      </c>
      <c r="G671" s="7">
        <f t="shared" si="485"/>
        <v>6.8</v>
      </c>
      <c r="H671" s="16">
        <f t="shared" si="486"/>
        <v>8.4</v>
      </c>
      <c r="I671" s="11">
        <f t="shared" si="473"/>
        <v>0.10398049842845901</v>
      </c>
      <c r="J671" s="33">
        <f t="shared" si="474"/>
        <v>1.0945315624048319E-2</v>
      </c>
      <c r="K671" s="33">
        <f t="shared" si="491"/>
        <v>91.363285842837328</v>
      </c>
      <c r="L671" s="33">
        <f t="shared" si="492"/>
        <v>9.3035182804410685E-2</v>
      </c>
      <c r="M671" s="33">
        <f t="shared" si="493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490"/>
        <v>8257</v>
      </c>
      <c r="X671" s="9">
        <f t="shared" si="475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76"/>
        <v>7.6019019598751658</v>
      </c>
      <c r="AN671" s="33">
        <f t="shared" si="483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>6+Y671+Z671</f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CY671" s="34" t="s">
        <v>86</v>
      </c>
    </row>
    <row r="672" spans="1:103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84"/>
        <v>9.375</v>
      </c>
      <c r="G672" s="7">
        <f t="shared" si="485"/>
        <v>6.7</v>
      </c>
      <c r="H672" s="16">
        <f t="shared" si="486"/>
        <v>8.3000000000000007</v>
      </c>
      <c r="I672" s="11">
        <f t="shared" si="473"/>
        <v>0.10262683889087333</v>
      </c>
      <c r="J672" s="33">
        <f t="shared" si="474"/>
        <v>1.0946862815026489E-2</v>
      </c>
      <c r="K672" s="33">
        <f t="shared" si="491"/>
        <v>91.35037287827565</v>
      </c>
      <c r="L672" s="33">
        <f t="shared" si="492"/>
        <v>9.1679976075846839E-2</v>
      </c>
      <c r="M672" s="33">
        <f t="shared" si="493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490"/>
        <v>8257</v>
      </c>
      <c r="X672" s="9">
        <f t="shared" si="475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76"/>
        <v>7.6019019598751658</v>
      </c>
      <c r="AN672" s="33">
        <f t="shared" si="483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>6+Y672+Z672</f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CY672" s="34" t="s">
        <v>86</v>
      </c>
    </row>
    <row r="673" spans="1:103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84"/>
        <v>21.666666666666668</v>
      </c>
      <c r="G673" s="7">
        <f t="shared" si="485"/>
        <v>6.2</v>
      </c>
      <c r="H673" s="16">
        <f t="shared" si="486"/>
        <v>6.8</v>
      </c>
      <c r="I673" s="11">
        <f t="shared" si="473"/>
        <v>0.23193881706518138</v>
      </c>
      <c r="J673" s="33">
        <f t="shared" si="474"/>
        <v>1.0704868479931448E-2</v>
      </c>
      <c r="K673" s="33">
        <f t="shared" si="491"/>
        <v>93.415440075206206</v>
      </c>
      <c r="L673" s="33">
        <f t="shared" si="492"/>
        <v>0.22123394858524992</v>
      </c>
      <c r="M673" s="33">
        <f t="shared" si="493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494">U673-V673-1</f>
        <v>8257</v>
      </c>
      <c r="X673" s="9">
        <f t="shared" si="475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76"/>
        <v>7.6019019598751658</v>
      </c>
      <c r="AN673" s="33">
        <f t="shared" si="483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>6+Y673+Z673</f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CY673" s="34" t="s">
        <v>86</v>
      </c>
    </row>
    <row r="674" spans="1:103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84"/>
        <v>21.666666666666668</v>
      </c>
      <c r="G674" s="7">
        <f t="shared" si="485"/>
        <v>6.2</v>
      </c>
      <c r="H674" s="16">
        <f t="shared" si="486"/>
        <v>6.8</v>
      </c>
      <c r="I674" s="11">
        <f t="shared" si="473"/>
        <v>0.23193881706518138</v>
      </c>
      <c r="J674" s="33">
        <f t="shared" si="474"/>
        <v>1.0704868479931448E-2</v>
      </c>
      <c r="K674" s="33">
        <f t="shared" si="491"/>
        <v>93.415440075206206</v>
      </c>
      <c r="L674" s="33">
        <f t="shared" si="492"/>
        <v>0.22123394858524992</v>
      </c>
      <c r="M674" s="33">
        <f t="shared" si="493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494"/>
        <v>8257</v>
      </c>
      <c r="X674" s="9">
        <f t="shared" si="475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76"/>
        <v>7.6019019598751658</v>
      </c>
      <c r="AN674" s="33">
        <f t="shared" si="483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>6+Y674+Z674</f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CY674" s="34" t="s">
        <v>86</v>
      </c>
    </row>
    <row r="675" spans="1:103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84"/>
        <v>10.749999999999998</v>
      </c>
      <c r="G675" s="7">
        <f t="shared" si="485"/>
        <v>3.9</v>
      </c>
      <c r="H675" s="16">
        <f t="shared" si="486"/>
        <v>4.7</v>
      </c>
      <c r="I675" s="11">
        <f t="shared" si="473"/>
        <v>0.11748414622991958</v>
      </c>
      <c r="J675" s="33">
        <f t="shared" si="474"/>
        <v>1.092875778882973E-2</v>
      </c>
      <c r="K675" s="33">
        <f t="shared" si="491"/>
        <v>91.501707634338715</v>
      </c>
      <c r="L675" s="33">
        <f t="shared" si="492"/>
        <v>0.10655538844108985</v>
      </c>
      <c r="M675" s="33">
        <f t="shared" si="493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494"/>
        <v>8257</v>
      </c>
      <c r="X675" s="9">
        <f t="shared" si="475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76"/>
        <v>7.6019019598751658</v>
      </c>
      <c r="AN675" s="33">
        <f t="shared" si="483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>6+Y675+Z675</f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CY675" s="34" t="s">
        <v>86</v>
      </c>
    </row>
    <row r="676" spans="1:103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84"/>
        <v>10.5</v>
      </c>
      <c r="G676" s="139">
        <f t="shared" si="485"/>
        <v>3.8000000000000003</v>
      </c>
      <c r="H676" s="140">
        <f t="shared" si="486"/>
        <v>4.6000000000000005</v>
      </c>
      <c r="I676" s="141">
        <f t="shared" si="473"/>
        <v>0.11478837992273992</v>
      </c>
      <c r="J676" s="142">
        <f t="shared" si="474"/>
        <v>1.0932226659308564E-2</v>
      </c>
      <c r="K676" s="142">
        <f t="shared" si="491"/>
        <v>91.472673515099572</v>
      </c>
      <c r="L676" s="142">
        <f t="shared" si="492"/>
        <v>0.10385615326343135</v>
      </c>
      <c r="M676" s="142">
        <f t="shared" si="493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494"/>
        <v>8257</v>
      </c>
      <c r="X676" s="144">
        <f t="shared" si="475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76"/>
        <v>7.6019019598751658</v>
      </c>
      <c r="AN676" s="142">
        <f t="shared" si="483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>6+Y676+Z676</f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36"/>
      <c r="CY676" s="152" t="s">
        <v>86</v>
      </c>
    </row>
    <row r="677" spans="1:103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84"/>
        <v>20.499999999999996</v>
      </c>
      <c r="G677" s="7">
        <f t="shared" si="485"/>
        <v>3.8999999999999995</v>
      </c>
      <c r="H677" s="16">
        <f t="shared" si="486"/>
        <v>4.3</v>
      </c>
      <c r="I677" s="11">
        <f t="shared" si="473"/>
        <v>0.21871410847199574</v>
      </c>
      <c r="J677" s="33">
        <f t="shared" si="474"/>
        <v>1.0668980901072963E-2</v>
      </c>
      <c r="K677" s="33">
        <f t="shared" si="491"/>
        <v>93.729664461151259</v>
      </c>
      <c r="L677" s="33">
        <f t="shared" si="492"/>
        <v>0.20804512757092278</v>
      </c>
      <c r="M677" s="33">
        <f t="shared" si="493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494"/>
        <v>8365</v>
      </c>
      <c r="X677" s="9">
        <f t="shared" si="475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76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CY677" s="34" t="s">
        <v>86</v>
      </c>
    </row>
    <row r="678" spans="1:103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84"/>
        <v>11</v>
      </c>
      <c r="G678" s="7">
        <f t="shared" si="485"/>
        <v>2</v>
      </c>
      <c r="H678" s="16">
        <f t="shared" si="486"/>
        <v>2.4000000000000004</v>
      </c>
      <c r="I678" s="11">
        <f t="shared" si="473"/>
        <v>0.15786943985836729</v>
      </c>
      <c r="J678" s="33">
        <f t="shared" si="474"/>
        <v>1.4351767259851572E-2</v>
      </c>
      <c r="K678" s="33">
        <f t="shared" si="491"/>
        <v>69.677830046579373</v>
      </c>
      <c r="L678" s="33">
        <f t="shared" si="492"/>
        <v>0.14351767259851572</v>
      </c>
      <c r="M678" s="33">
        <f t="shared" si="493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494"/>
        <v>4734</v>
      </c>
      <c r="X678" s="9">
        <f t="shared" si="475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76"/>
        <v>7.60688453121963</v>
      </c>
      <c r="AN678" s="33">
        <v>0.19700000000000001</v>
      </c>
      <c r="AO678" s="33">
        <v>0.12</v>
      </c>
      <c r="AP678" s="33">
        <f t="shared" ref="AP678:AP691" si="495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CY678" s="34" t="s">
        <v>86</v>
      </c>
    </row>
    <row r="679" spans="1:103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84"/>
        <v>26.499999999999996</v>
      </c>
      <c r="G679" s="7">
        <f t="shared" si="485"/>
        <v>5.0999999999999996</v>
      </c>
      <c r="H679" s="16">
        <f t="shared" si="486"/>
        <v>5.5</v>
      </c>
      <c r="I679" s="11">
        <f t="shared" si="473"/>
        <v>0.40275370209545769</v>
      </c>
      <c r="J679" s="33">
        <f t="shared" si="474"/>
        <v>1.5198252909262555E-2</v>
      </c>
      <c r="K679" s="33">
        <f t="shared" si="491"/>
        <v>65.797036407424912</v>
      </c>
      <c r="L679" s="33">
        <f t="shared" si="492"/>
        <v>0.38755544918619511</v>
      </c>
      <c r="M679" s="33">
        <f t="shared" si="493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494"/>
        <v>3627</v>
      </c>
      <c r="X679" s="9">
        <f t="shared" si="475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76"/>
        <v>7.60688453121963</v>
      </c>
      <c r="AN679" s="33">
        <v>0.19700000000000001</v>
      </c>
      <c r="AO679" s="33">
        <v>0.12</v>
      </c>
      <c r="AP679" s="33">
        <f t="shared" si="495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CY679" s="34" t="s">
        <v>86</v>
      </c>
    </row>
    <row r="680" spans="1:103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84"/>
        <v>3.6</v>
      </c>
      <c r="G680" s="7">
        <f t="shared" si="485"/>
        <v>1.3</v>
      </c>
      <c r="H680" s="16">
        <f t="shared" si="486"/>
        <v>2.2999999999999998</v>
      </c>
      <c r="I680" s="11">
        <f t="shared" si="473"/>
        <v>7.4951869287651629E-2</v>
      </c>
      <c r="J680" s="33">
        <f t="shared" si="474"/>
        <v>2.081996369101434E-2</v>
      </c>
      <c r="K680" s="33">
        <f t="shared" si="491"/>
        <v>48.030823436622448</v>
      </c>
      <c r="L680" s="33">
        <f t="shared" si="492"/>
        <v>5.4131905596637289E-2</v>
      </c>
      <c r="M680" s="33">
        <f t="shared" si="493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494"/>
        <v>2294</v>
      </c>
      <c r="X680" s="9">
        <f t="shared" si="475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76"/>
        <v>7.60688453121963</v>
      </c>
      <c r="AN680" s="33">
        <v>0.19700000000000001</v>
      </c>
      <c r="AO680" s="33">
        <v>0.12</v>
      </c>
      <c r="AP680" s="33">
        <f t="shared" si="495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CY680" s="34" t="s">
        <v>86</v>
      </c>
    </row>
    <row r="681" spans="1:103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84"/>
        <v>1</v>
      </c>
      <c r="G681" s="7">
        <f t="shared" si="485"/>
        <v>0</v>
      </c>
      <c r="H681" s="16">
        <f t="shared" si="486"/>
        <v>1.4</v>
      </c>
      <c r="I681" s="11">
        <f t="shared" si="473"/>
        <v>2.4640709031819093E-2</v>
      </c>
      <c r="J681" s="33">
        <f t="shared" si="474"/>
        <v>2.4640709031819093E-2</v>
      </c>
      <c r="K681" s="33">
        <f t="shared" si="491"/>
        <v>40.583247775406051</v>
      </c>
      <c r="L681" s="33">
        <f t="shared" si="492"/>
        <v>0</v>
      </c>
      <c r="M681" s="33">
        <f t="shared" si="493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494"/>
        <v>1646</v>
      </c>
      <c r="X681" s="9">
        <f t="shared" si="475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76"/>
        <v>7.60688453121963</v>
      </c>
      <c r="AN681" s="33">
        <v>0.19700000000000001</v>
      </c>
      <c r="AO681" s="33">
        <v>0.12</v>
      </c>
      <c r="AP681" s="33">
        <f t="shared" si="495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CY681" s="34" t="s">
        <v>86</v>
      </c>
    </row>
    <row r="682" spans="1:103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496">D682-E682</f>
        <v>0.13569412876046977</v>
      </c>
      <c r="H682" s="16">
        <f t="shared" ref="H682:H691" si="497">D682+E682</f>
        <v>1.0516294978936398</v>
      </c>
      <c r="I682" s="11">
        <f t="shared" si="473"/>
        <v>1.4173581477608995E-2</v>
      </c>
      <c r="J682" s="33">
        <f t="shared" si="474"/>
        <v>1.0933905711298366E-2</v>
      </c>
      <c r="K682" s="33">
        <f t="shared" ref="K682:K691" si="498">IFERROR(1/J682, "X")</f>
        <v>91.458626624762914</v>
      </c>
      <c r="L682" s="33">
        <f t="shared" ref="L682:L691" si="499">IFERROR(I682-J682, "X")</f>
        <v>3.2396757663106287E-3</v>
      </c>
      <c r="M682" s="33">
        <f t="shared" ref="M682:M691" si="500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494"/>
        <v>8363</v>
      </c>
      <c r="X682" s="9">
        <f t="shared" si="475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76"/>
        <v>7.60688453121963</v>
      </c>
      <c r="AN682" s="33">
        <v>0.19700000000000001</v>
      </c>
      <c r="AO682" s="33">
        <v>0.12</v>
      </c>
      <c r="AP682" s="33">
        <f t="shared" si="495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CY682" s="34" t="s">
        <v>86</v>
      </c>
    </row>
    <row r="683" spans="1:103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496"/>
        <v>0.71074930843361694</v>
      </c>
      <c r="H683" s="16">
        <f t="shared" si="497"/>
        <v>1.726105463338784</v>
      </c>
      <c r="I683" s="11">
        <f t="shared" si="473"/>
        <v>2.6234976834956101E-2</v>
      </c>
      <c r="J683" s="33">
        <f t="shared" si="474"/>
        <v>1.0931240347898375E-2</v>
      </c>
      <c r="K683" s="33">
        <f t="shared" si="498"/>
        <v>91.480926973877999</v>
      </c>
      <c r="L683" s="33">
        <f t="shared" si="499"/>
        <v>1.5303736487057726E-2</v>
      </c>
      <c r="M683" s="33">
        <f t="shared" si="500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1" si="501">U683-V683-1</f>
        <v>8363</v>
      </c>
      <c r="X683" s="9">
        <f t="shared" si="475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76"/>
        <v>7.60688453121963</v>
      </c>
      <c r="AN683" s="33">
        <v>0.19700000000000001</v>
      </c>
      <c r="AO683" s="33">
        <v>0.12</v>
      </c>
      <c r="AP683" s="33">
        <f t="shared" si="495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CY683" s="34" t="s">
        <v>86</v>
      </c>
    </row>
    <row r="684" spans="1:103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496"/>
        <v>4.170099307420899</v>
      </c>
      <c r="H684" s="16">
        <f t="shared" si="497"/>
        <v>5.063692016153948</v>
      </c>
      <c r="I684" s="11">
        <f t="shared" si="473"/>
        <v>0.11228052410736152</v>
      </c>
      <c r="J684" s="33">
        <f t="shared" si="474"/>
        <v>1.0865857171680147E-2</v>
      </c>
      <c r="K684" s="33">
        <f t="shared" si="498"/>
        <v>92.031395609203813</v>
      </c>
      <c r="L684" s="33">
        <f t="shared" si="499"/>
        <v>0.10141466693568137</v>
      </c>
      <c r="M684" s="33">
        <f t="shared" si="500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01"/>
        <v>8363</v>
      </c>
      <c r="X684" s="9">
        <f t="shared" si="475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76"/>
        <v>7.60688453121963</v>
      </c>
      <c r="AN684" s="33">
        <v>0.19700000000000001</v>
      </c>
      <c r="AO684" s="33">
        <v>0.12</v>
      </c>
      <c r="AP684" s="33">
        <f t="shared" si="495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CY684" s="34" t="s">
        <v>86</v>
      </c>
    </row>
    <row r="685" spans="1:103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496"/>
        <v>4.202316470520584</v>
      </c>
      <c r="H685" s="16">
        <f t="shared" si="497"/>
        <v>6.1824655927554151</v>
      </c>
      <c r="I685" s="11">
        <f t="shared" si="473"/>
        <v>5.7253950698126888E-2</v>
      </c>
      <c r="J685" s="33">
        <f t="shared" si="474"/>
        <v>1.0917066870405549E-2</v>
      </c>
      <c r="K685" s="33">
        <f t="shared" si="498"/>
        <v>91.599695400862913</v>
      </c>
      <c r="L685" s="33">
        <f t="shared" si="499"/>
        <v>4.6336883827721338E-2</v>
      </c>
      <c r="M685" s="33">
        <f t="shared" si="500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01"/>
        <v>8363</v>
      </c>
      <c r="X685" s="9">
        <f t="shared" si="475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76"/>
        <v>7.60688453121963</v>
      </c>
      <c r="AN685" s="33">
        <v>0.19700000000000001</v>
      </c>
      <c r="AO685" s="33">
        <v>0.12</v>
      </c>
      <c r="AP685" s="33">
        <f t="shared" si="495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CY685" s="34" t="s">
        <v>86</v>
      </c>
    </row>
    <row r="686" spans="1:103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496"/>
        <v>7.056533754319906</v>
      </c>
      <c r="H686" s="16">
        <f t="shared" si="497"/>
        <v>7.6826217768843339</v>
      </c>
      <c r="I686" s="11">
        <f t="shared" si="473"/>
        <v>0.24930024610104237</v>
      </c>
      <c r="J686" s="33">
        <f t="shared" si="474"/>
        <v>1.0589744967123924E-2</v>
      </c>
      <c r="K686" s="33">
        <f t="shared" si="498"/>
        <v>94.43098045368609</v>
      </c>
      <c r="L686" s="33">
        <f t="shared" si="499"/>
        <v>0.23871050113391845</v>
      </c>
      <c r="M686" s="33">
        <f t="shared" si="500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01"/>
        <v>8363</v>
      </c>
      <c r="X686" s="9">
        <f t="shared" si="475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76"/>
        <v>7.60688453121963</v>
      </c>
      <c r="AN686" s="33">
        <v>0.19700000000000001</v>
      </c>
      <c r="AO686" s="33">
        <v>0.12</v>
      </c>
      <c r="AP686" s="33">
        <f t="shared" si="495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CY686" s="34" t="s">
        <v>86</v>
      </c>
    </row>
    <row r="687" spans="1:103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496"/>
        <v>-5.1374631625074274E-2</v>
      </c>
      <c r="H687" s="16">
        <f t="shared" si="497"/>
        <v>1.9008613701277446</v>
      </c>
      <c r="I687" s="11">
        <f t="shared" si="473"/>
        <v>1.9784568514971724E-2</v>
      </c>
      <c r="J687" s="33">
        <f t="shared" si="474"/>
        <v>2.0883711210247929E-2</v>
      </c>
      <c r="K687" s="33">
        <f t="shared" si="498"/>
        <v>47.884209369323493</v>
      </c>
      <c r="L687" s="33">
        <f t="shared" si="499"/>
        <v>-1.0991426952762055E-3</v>
      </c>
      <c r="M687" s="33">
        <f t="shared" si="500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01"/>
        <v>2292</v>
      </c>
      <c r="X687" s="9">
        <f t="shared" si="475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76"/>
        <v>7.60688453121963</v>
      </c>
      <c r="AN687" s="33">
        <v>0.19700000000000001</v>
      </c>
      <c r="AO687" s="33">
        <v>0.12</v>
      </c>
      <c r="AP687" s="33">
        <f t="shared" si="495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CY687" s="34" t="s">
        <v>86</v>
      </c>
    </row>
    <row r="688" spans="1:103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496"/>
        <v>1.1591391254638259</v>
      </c>
      <c r="H688" s="16">
        <f t="shared" si="497"/>
        <v>-2.839890857386373</v>
      </c>
      <c r="I688" s="11">
        <f t="shared" si="473"/>
        <v>8.7785920158698506E-3</v>
      </c>
      <c r="J688" s="33">
        <f t="shared" si="474"/>
        <v>2.0886994796379989E-2</v>
      </c>
      <c r="K688" s="33">
        <f t="shared" si="498"/>
        <v>47.876681626469029</v>
      </c>
      <c r="L688" s="33">
        <f t="shared" si="499"/>
        <v>-1.2108402780510138E-2</v>
      </c>
      <c r="M688" s="33">
        <f t="shared" si="500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01"/>
        <v>2292</v>
      </c>
      <c r="X688" s="9">
        <f t="shared" si="475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76"/>
        <v>7.60688453121963</v>
      </c>
      <c r="AN688" s="33">
        <v>0.19700000000000001</v>
      </c>
      <c r="AO688" s="33">
        <v>0.12</v>
      </c>
      <c r="AP688" s="33">
        <f t="shared" si="495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CY688" s="34" t="s">
        <v>86</v>
      </c>
    </row>
    <row r="689" spans="1:103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496"/>
        <v>1.0950136569907749</v>
      </c>
      <c r="H689" s="16">
        <f t="shared" si="497"/>
        <v>3.657811577607482</v>
      </c>
      <c r="I689" s="11">
        <f t="shared" si="473"/>
        <v>3.8708342234612933E-2</v>
      </c>
      <c r="J689" s="33">
        <f t="shared" si="474"/>
        <v>2.0872145322585408E-2</v>
      </c>
      <c r="K689" s="33">
        <f t="shared" si="498"/>
        <v>47.910743459509952</v>
      </c>
      <c r="L689" s="33">
        <f t="shared" si="499"/>
        <v>1.7836196912027525E-2</v>
      </c>
      <c r="M689" s="33">
        <f t="shared" si="500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01"/>
        <v>2292</v>
      </c>
      <c r="X689" s="9">
        <f t="shared" si="475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76"/>
        <v>7.60688453121963</v>
      </c>
      <c r="AN689" s="33">
        <v>0.19700000000000001</v>
      </c>
      <c r="AO689" s="33">
        <v>0.12</v>
      </c>
      <c r="AP689" s="33">
        <f t="shared" si="495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CY689" s="34" t="s">
        <v>86</v>
      </c>
    </row>
    <row r="690" spans="1:103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496"/>
        <v>-0.30065951089193677</v>
      </c>
      <c r="H690" s="16">
        <f t="shared" si="497"/>
        <v>4.9261904476909635</v>
      </c>
      <c r="I690" s="11">
        <f t="shared" si="473"/>
        <v>1.848162126220294E-2</v>
      </c>
      <c r="J690" s="33">
        <f t="shared" si="474"/>
        <v>2.0884232026289321E-2</v>
      </c>
      <c r="K690" s="33">
        <f t="shared" si="498"/>
        <v>47.883015221301321</v>
      </c>
      <c r="L690" s="33">
        <f t="shared" si="499"/>
        <v>-2.4026107640863804E-3</v>
      </c>
      <c r="M690" s="33">
        <f t="shared" si="500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01"/>
        <v>2292</v>
      </c>
      <c r="X690" s="9">
        <f t="shared" si="475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76"/>
        <v>7.60688453121963</v>
      </c>
      <c r="AN690" s="33">
        <v>0.19700000000000001</v>
      </c>
      <c r="AO690" s="33">
        <v>0.12</v>
      </c>
      <c r="AP690" s="33">
        <f t="shared" si="495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CY690" s="34" t="s">
        <v>86</v>
      </c>
    </row>
    <row r="691" spans="1:103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496"/>
        <v>2.8454202997002516</v>
      </c>
      <c r="H691" s="158">
        <f t="shared" si="497"/>
        <v>5.0274006331491492</v>
      </c>
      <c r="I691" s="159">
        <f t="shared" si="473"/>
        <v>7.5152310851901466E-2</v>
      </c>
      <c r="J691" s="160">
        <f t="shared" si="474"/>
        <v>2.0828730348467071E-2</v>
      </c>
      <c r="K691" s="160">
        <f t="shared" si="498"/>
        <v>48.010607620814334</v>
      </c>
      <c r="L691" s="160">
        <f t="shared" si="499"/>
        <v>5.4323580503434395E-2</v>
      </c>
      <c r="M691" s="160">
        <f t="shared" si="500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01"/>
        <v>2292</v>
      </c>
      <c r="X691" s="162">
        <f t="shared" si="475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76"/>
        <v>7.60688453121963</v>
      </c>
      <c r="AN691" s="160">
        <v>0.19700000000000001</v>
      </c>
      <c r="AO691" s="160">
        <v>0.12</v>
      </c>
      <c r="AP691" s="160">
        <f t="shared" si="495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X691" s="154"/>
      <c r="CY691" s="171" t="s">
        <v>86</v>
      </c>
    </row>
    <row r="692" spans="1:103" x14ac:dyDescent="0.25">
      <c r="A692">
        <v>691</v>
      </c>
      <c r="B692">
        <v>43</v>
      </c>
      <c r="D692" s="12"/>
      <c r="E692" s="14"/>
      <c r="H692" s="16"/>
      <c r="I692" s="11"/>
      <c r="J692" s="33"/>
      <c r="K692" s="33"/>
      <c r="L692" s="33"/>
      <c r="M692" s="33"/>
      <c r="N692" s="8"/>
      <c r="X692" s="9">
        <f t="shared" si="475"/>
        <v>2</v>
      </c>
      <c r="AG692" s="8"/>
      <c r="AI692" s="30"/>
      <c r="AK692" s="30"/>
      <c r="AL692" s="21"/>
      <c r="AM692" s="23" t="e">
        <f t="shared" si="476"/>
        <v>#NUM!</v>
      </c>
      <c r="AW692" s="40"/>
      <c r="AY692" s="40"/>
      <c r="BA692" s="18"/>
      <c r="BC692" s="18"/>
      <c r="BD692" s="18"/>
      <c r="BK692" s="18"/>
      <c r="BN692" s="18"/>
      <c r="BY692" s="18"/>
      <c r="CC692" s="18"/>
      <c r="CH692" s="18"/>
      <c r="CS692" s="18"/>
      <c r="CY692" s="34" t="s">
        <v>86</v>
      </c>
    </row>
    <row r="693" spans="1:103" x14ac:dyDescent="0.25">
      <c r="A693">
        <v>692</v>
      </c>
      <c r="B693">
        <v>43</v>
      </c>
      <c r="D693" s="12"/>
      <c r="E693" s="14"/>
      <c r="H693" s="16"/>
      <c r="I693" s="11"/>
      <c r="J693" s="33"/>
      <c r="K693" s="33"/>
      <c r="L693" s="33"/>
      <c r="M693" s="33"/>
      <c r="N693" s="8"/>
      <c r="X693" s="9">
        <f t="shared" si="475"/>
        <v>2</v>
      </c>
      <c r="AG693" s="8"/>
      <c r="AI693" s="30"/>
      <c r="AK693" s="30"/>
      <c r="AL693" s="21"/>
      <c r="AM693" s="23" t="e">
        <f t="shared" si="476"/>
        <v>#NUM!</v>
      </c>
      <c r="AW693" s="40"/>
      <c r="AY693" s="40"/>
      <c r="BA693" s="18"/>
      <c r="BC693" s="18"/>
      <c r="BD693" s="18"/>
      <c r="BK693" s="18"/>
      <c r="BN693" s="18"/>
      <c r="BY693" s="18"/>
      <c r="CC693" s="18"/>
      <c r="CH693" s="18"/>
      <c r="CS693" s="18"/>
      <c r="CY693" s="34" t="s">
        <v>86</v>
      </c>
    </row>
    <row r="694" spans="1:103" x14ac:dyDescent="0.25">
      <c r="A694">
        <v>693</v>
      </c>
      <c r="D694" s="12"/>
      <c r="E694" s="14"/>
      <c r="H694" s="16"/>
      <c r="I694" s="11"/>
      <c r="J694" s="33"/>
      <c r="K694" s="33"/>
      <c r="L694" s="33"/>
      <c r="M694" s="33"/>
      <c r="N694" s="8"/>
      <c r="X694" s="9">
        <f t="shared" si="475"/>
        <v>0</v>
      </c>
      <c r="AG694" s="8"/>
      <c r="AI694" s="30"/>
      <c r="AK694" s="30"/>
      <c r="AL694" s="21"/>
      <c r="AM694" s="23" t="e">
        <f t="shared" si="476"/>
        <v>#NUM!</v>
      </c>
      <c r="AW694" s="40"/>
      <c r="AY694" s="40"/>
      <c r="BA694" s="18"/>
      <c r="BC694" s="18"/>
      <c r="BD694" s="18"/>
      <c r="BK694" s="18"/>
      <c r="BN694" s="18"/>
      <c r="BY694" s="18"/>
      <c r="CC694" s="18"/>
      <c r="CH694" s="18"/>
      <c r="CS694" s="18"/>
      <c r="CY694" s="34" t="s">
        <v>86</v>
      </c>
    </row>
    <row r="695" spans="1:103" x14ac:dyDescent="0.25">
      <c r="A695">
        <v>694</v>
      </c>
      <c r="D695" s="12"/>
      <c r="E695" s="14"/>
      <c r="H695" s="16"/>
      <c r="I695" s="11"/>
      <c r="J695" s="33"/>
      <c r="K695" s="33"/>
      <c r="L695" s="33"/>
      <c r="M695" s="33"/>
      <c r="N695" s="8"/>
      <c r="X695" s="9">
        <f t="shared" si="475"/>
        <v>0</v>
      </c>
      <c r="AG695" s="8"/>
      <c r="AI695" s="30"/>
      <c r="AK695" s="30"/>
      <c r="AL695" s="21"/>
      <c r="AM695" s="23" t="e">
        <f t="shared" si="476"/>
        <v>#NUM!</v>
      </c>
      <c r="AW695" s="40"/>
      <c r="AY695" s="40"/>
      <c r="BA695" s="18"/>
      <c r="BC695" s="18"/>
      <c r="BD695" s="18"/>
      <c r="BK695" s="18"/>
      <c r="BN695" s="18"/>
      <c r="BY695" s="18"/>
      <c r="CC695" s="18"/>
      <c r="CH695" s="18"/>
      <c r="CS695" s="18"/>
      <c r="CY695" s="34" t="s">
        <v>86</v>
      </c>
    </row>
    <row r="696" spans="1:103" x14ac:dyDescent="0.25">
      <c r="A696">
        <v>695</v>
      </c>
      <c r="D696" s="12"/>
      <c r="E696" s="14"/>
      <c r="H696" s="16"/>
      <c r="I696" s="11"/>
      <c r="J696" s="33"/>
      <c r="K696" s="33"/>
      <c r="L696" s="33"/>
      <c r="M696" s="33"/>
      <c r="N696" s="8"/>
      <c r="X696" s="9">
        <f t="shared" si="475"/>
        <v>0</v>
      </c>
      <c r="AG696" s="8"/>
      <c r="AI696" s="30"/>
      <c r="AK696" s="30"/>
      <c r="AL696" s="21"/>
      <c r="AM696" s="23" t="e">
        <f t="shared" si="476"/>
        <v>#NUM!</v>
      </c>
      <c r="AW696" s="40"/>
      <c r="AY696" s="40"/>
      <c r="BA696" s="18"/>
      <c r="BC696" s="18"/>
      <c r="BD696" s="18"/>
      <c r="BK696" s="18"/>
      <c r="BN696" s="18"/>
      <c r="BY696" s="18"/>
      <c r="CC696" s="18"/>
      <c r="CH696" s="18"/>
      <c r="CS696" s="18"/>
      <c r="CY696" s="34" t="s">
        <v>86</v>
      </c>
    </row>
    <row r="697" spans="1:103" x14ac:dyDescent="0.25">
      <c r="A697">
        <v>696</v>
      </c>
      <c r="D697" s="12"/>
      <c r="E697" s="14"/>
      <c r="H697" s="16"/>
      <c r="I697" s="11"/>
      <c r="J697" s="33"/>
      <c r="K697" s="33"/>
      <c r="L697" s="33"/>
      <c r="M697" s="33"/>
      <c r="N697" s="8"/>
      <c r="X697" s="9">
        <f t="shared" si="475"/>
        <v>0</v>
      </c>
      <c r="AG697" s="8"/>
      <c r="AI697" s="30"/>
      <c r="AK697" s="30"/>
      <c r="AL697" s="21"/>
      <c r="AM697" s="23" t="e">
        <f t="shared" si="476"/>
        <v>#NUM!</v>
      </c>
      <c r="AW697" s="40"/>
      <c r="AY697" s="40"/>
      <c r="BA697" s="18"/>
      <c r="BC697" s="18"/>
      <c r="BD697" s="18"/>
      <c r="BK697" s="18"/>
      <c r="BN697" s="18"/>
      <c r="BY697" s="18"/>
      <c r="CC697" s="18"/>
      <c r="CH697" s="18"/>
      <c r="CS697" s="18"/>
      <c r="CY697" s="34" t="s">
        <v>86</v>
      </c>
    </row>
    <row r="698" spans="1:103" x14ac:dyDescent="0.25">
      <c r="A698">
        <v>697</v>
      </c>
      <c r="D698" s="12"/>
      <c r="E698" s="14"/>
      <c r="H698" s="16"/>
      <c r="I698" s="11"/>
      <c r="J698" s="33"/>
      <c r="K698" s="33"/>
      <c r="L698" s="33"/>
      <c r="M698" s="33"/>
      <c r="N698" s="8"/>
      <c r="X698" s="9">
        <f t="shared" si="475"/>
        <v>0</v>
      </c>
      <c r="AG698" s="8"/>
      <c r="AI698" s="30"/>
      <c r="AK698" s="30"/>
      <c r="AL698" s="21"/>
      <c r="AM698" s="23" t="e">
        <f t="shared" si="476"/>
        <v>#NUM!</v>
      </c>
      <c r="AW698" s="40"/>
      <c r="AY698" s="40"/>
      <c r="BA698" s="18"/>
      <c r="BC698" s="18"/>
      <c r="BD698" s="18"/>
      <c r="BK698" s="18"/>
      <c r="BN698" s="18"/>
      <c r="BY698" s="18"/>
      <c r="CC698" s="18"/>
      <c r="CH698" s="18"/>
      <c r="CS698" s="18"/>
      <c r="CY698" s="34" t="s">
        <v>86</v>
      </c>
    </row>
    <row r="699" spans="1:103" x14ac:dyDescent="0.25">
      <c r="A699">
        <v>698</v>
      </c>
      <c r="D699" s="12"/>
      <c r="E699" s="14"/>
      <c r="H699" s="16"/>
      <c r="I699" s="11"/>
      <c r="J699" s="33"/>
      <c r="K699" s="33"/>
      <c r="L699" s="33"/>
      <c r="M699" s="33"/>
      <c r="N699" s="8"/>
      <c r="X699" s="9">
        <f t="shared" si="475"/>
        <v>0</v>
      </c>
      <c r="AG699" s="8"/>
      <c r="AI699" s="30"/>
      <c r="AK699" s="30"/>
      <c r="AL699" s="21"/>
      <c r="AM699" s="23" t="e">
        <f t="shared" si="476"/>
        <v>#NUM!</v>
      </c>
      <c r="AW699" s="40"/>
      <c r="AY699" s="40"/>
      <c r="BA699" s="18"/>
      <c r="BC699" s="18"/>
      <c r="BD699" s="18"/>
      <c r="BK699" s="18"/>
      <c r="BN699" s="18"/>
      <c r="BY699" s="18"/>
      <c r="CC699" s="18"/>
      <c r="CH699" s="18"/>
      <c r="CS699" s="18"/>
      <c r="CY699" s="34" t="s">
        <v>86</v>
      </c>
    </row>
    <row r="700" spans="1:103" x14ac:dyDescent="0.25">
      <c r="A700">
        <v>699</v>
      </c>
      <c r="D700" s="12"/>
      <c r="E700" s="14"/>
      <c r="H700" s="16"/>
      <c r="I700" s="11"/>
      <c r="J700" s="33"/>
      <c r="K700" s="33"/>
      <c r="L700" s="33"/>
      <c r="M700" s="33"/>
      <c r="N700" s="8"/>
      <c r="X700" s="9">
        <f t="shared" si="475"/>
        <v>0</v>
      </c>
      <c r="AG700" s="8"/>
      <c r="AI700" s="30"/>
      <c r="AK700" s="30"/>
      <c r="AL700" s="21"/>
      <c r="AM700" s="23" t="e">
        <f t="shared" si="476"/>
        <v>#NUM!</v>
      </c>
      <c r="AW700" s="40"/>
      <c r="AY700" s="40"/>
      <c r="BA700" s="18"/>
      <c r="BC700" s="18"/>
      <c r="BD700" s="18"/>
      <c r="BK700" s="18"/>
      <c r="BN700" s="18"/>
      <c r="BY700" s="18"/>
      <c r="CC700" s="18"/>
      <c r="CH700" s="18"/>
      <c r="CS700" s="18"/>
      <c r="CY700" s="34" t="s">
        <v>86</v>
      </c>
    </row>
    <row r="701" spans="1:103" x14ac:dyDescent="0.25">
      <c r="A701">
        <v>700</v>
      </c>
      <c r="D701" s="12"/>
      <c r="E701" s="14"/>
      <c r="H701" s="16"/>
      <c r="I701" s="11"/>
      <c r="J701" s="33"/>
      <c r="K701" s="33"/>
      <c r="L701" s="33"/>
      <c r="M701" s="33"/>
      <c r="N701" s="8"/>
      <c r="X701" s="9">
        <f t="shared" si="475"/>
        <v>0</v>
      </c>
      <c r="AG701" s="8"/>
      <c r="AI701" s="30"/>
      <c r="AK701" s="30"/>
      <c r="AL701" s="21"/>
      <c r="AM701" s="23" t="e">
        <f t="shared" si="476"/>
        <v>#NUM!</v>
      </c>
      <c r="AW701" s="40"/>
      <c r="AY701" s="40"/>
      <c r="BA701" s="18"/>
      <c r="BC701" s="18"/>
      <c r="BD701" s="18"/>
      <c r="BK701" s="18"/>
      <c r="BN701" s="18"/>
      <c r="BY701" s="18"/>
      <c r="CC701" s="18"/>
      <c r="CH701" s="18"/>
      <c r="CS701" s="18"/>
      <c r="CY701" s="34" t="s">
        <v>86</v>
      </c>
    </row>
    <row r="702" spans="1:103" x14ac:dyDescent="0.25">
      <c r="A702">
        <v>701</v>
      </c>
      <c r="D702" s="12"/>
      <c r="E702" s="14"/>
      <c r="H702" s="16"/>
      <c r="I702" s="11"/>
      <c r="J702" s="33"/>
      <c r="K702" s="33"/>
      <c r="L702" s="33"/>
      <c r="M702" s="33"/>
      <c r="N702" s="8"/>
      <c r="X702" s="9">
        <f t="shared" si="475"/>
        <v>0</v>
      </c>
      <c r="AG702" s="8"/>
      <c r="AI702" s="30"/>
      <c r="AK702" s="30"/>
      <c r="AL702" s="21"/>
      <c r="AM702" s="23" t="e">
        <f t="shared" si="476"/>
        <v>#NUM!</v>
      </c>
      <c r="AW702" s="40"/>
      <c r="AY702" s="40"/>
      <c r="BA702" s="18"/>
      <c r="BC702" s="18"/>
      <c r="BD702" s="18"/>
      <c r="BK702" s="18"/>
      <c r="BN702" s="18"/>
      <c r="BY702" s="18"/>
      <c r="CC702" s="18"/>
      <c r="CH702" s="18"/>
      <c r="CS702" s="18"/>
      <c r="CY702" s="34" t="s">
        <v>86</v>
      </c>
    </row>
    <row r="703" spans="1:103" x14ac:dyDescent="0.25">
      <c r="A703">
        <v>702</v>
      </c>
      <c r="D703" s="12"/>
      <c r="E703" s="14"/>
      <c r="H703" s="16"/>
      <c r="I703" s="11"/>
      <c r="J703" s="33"/>
      <c r="K703" s="33"/>
      <c r="L703" s="33"/>
      <c r="M703" s="33"/>
      <c r="N703" s="8"/>
      <c r="X703" s="9">
        <f t="shared" si="475"/>
        <v>0</v>
      </c>
      <c r="AG703" s="8"/>
      <c r="AI703" s="30"/>
      <c r="AK703" s="30"/>
      <c r="AL703" s="21"/>
      <c r="AM703" s="23" t="e">
        <f t="shared" si="476"/>
        <v>#NUM!</v>
      </c>
      <c r="AW703" s="40"/>
      <c r="AY703" s="40"/>
      <c r="BA703" s="18"/>
      <c r="BC703" s="18"/>
      <c r="BD703" s="18"/>
      <c r="BK703" s="18"/>
      <c r="BN703" s="18"/>
      <c r="BY703" s="18"/>
      <c r="CC703" s="18"/>
      <c r="CH703" s="18"/>
      <c r="CS703" s="18"/>
      <c r="CY703" s="34" t="s">
        <v>86</v>
      </c>
    </row>
    <row r="704" spans="1:103" x14ac:dyDescent="0.25">
      <c r="A704">
        <v>703</v>
      </c>
      <c r="D704" s="12"/>
      <c r="E704" s="14"/>
      <c r="H704" s="16"/>
      <c r="I704" s="11"/>
      <c r="J704" s="33"/>
      <c r="K704" s="33"/>
      <c r="L704" s="33"/>
      <c r="M704" s="33"/>
      <c r="N704" s="8"/>
      <c r="X704" s="9">
        <f t="shared" si="475"/>
        <v>0</v>
      </c>
      <c r="AG704" s="8"/>
      <c r="AI704" s="30"/>
      <c r="AK704" s="30"/>
      <c r="AL704" s="21"/>
      <c r="AM704" s="23" t="e">
        <f t="shared" si="476"/>
        <v>#NUM!</v>
      </c>
      <c r="AW704" s="40"/>
      <c r="AY704" s="40"/>
      <c r="BA704" s="18"/>
      <c r="BC704" s="18"/>
      <c r="BD704" s="18"/>
      <c r="BK704" s="18"/>
      <c r="BN704" s="18"/>
      <c r="BY704" s="18"/>
      <c r="CC704" s="18"/>
      <c r="CH704" s="18"/>
      <c r="CS704" s="18"/>
      <c r="CY704" s="34" t="s">
        <v>86</v>
      </c>
    </row>
    <row r="705" spans="1:103" x14ac:dyDescent="0.25">
      <c r="A705">
        <v>704</v>
      </c>
      <c r="D705" s="12"/>
      <c r="E705" s="14"/>
      <c r="H705" s="16"/>
      <c r="I705" s="11"/>
      <c r="J705" s="33"/>
      <c r="K705" s="33"/>
      <c r="L705" s="33"/>
      <c r="M705" s="33"/>
      <c r="N705" s="8"/>
      <c r="X705" s="9">
        <f t="shared" si="475"/>
        <v>0</v>
      </c>
      <c r="AG705" s="8"/>
      <c r="AI705" s="30"/>
      <c r="AK705" s="30"/>
      <c r="AL705" s="21"/>
      <c r="AM705" s="23" t="e">
        <f t="shared" si="476"/>
        <v>#NUM!</v>
      </c>
      <c r="AW705" s="40"/>
      <c r="AY705" s="40"/>
      <c r="BA705" s="18"/>
      <c r="BC705" s="18"/>
      <c r="BD705" s="18"/>
      <c r="BK705" s="18"/>
      <c r="BN705" s="18"/>
      <c r="BY705" s="18"/>
      <c r="CC705" s="18"/>
      <c r="CH705" s="18"/>
      <c r="CS705" s="18"/>
      <c r="CY705" s="34" t="s">
        <v>86</v>
      </c>
    </row>
    <row r="706" spans="1:103" x14ac:dyDescent="0.25">
      <c r="A706">
        <v>705</v>
      </c>
      <c r="D706" s="12"/>
      <c r="E706" s="14"/>
      <c r="H706" s="16"/>
      <c r="I706" s="11"/>
      <c r="J706" s="33"/>
      <c r="K706" s="33"/>
      <c r="L706" s="33"/>
      <c r="M706" s="33"/>
      <c r="N706" s="8"/>
      <c r="X706" s="9">
        <f t="shared" si="475"/>
        <v>0</v>
      </c>
      <c r="AG706" s="8"/>
      <c r="AI706" s="30"/>
      <c r="AK706" s="30"/>
      <c r="AL706" s="21"/>
      <c r="AM706" s="23" t="e">
        <f t="shared" si="476"/>
        <v>#NUM!</v>
      </c>
      <c r="AW706" s="40"/>
      <c r="AY706" s="40"/>
      <c r="BA706" s="18"/>
      <c r="BC706" s="18"/>
      <c r="BD706" s="18"/>
      <c r="BK706" s="18"/>
      <c r="BN706" s="18"/>
      <c r="BY706" s="18"/>
      <c r="CC706" s="18"/>
      <c r="CH706" s="18"/>
      <c r="CS706" s="18"/>
      <c r="CY706" s="34" t="s">
        <v>86</v>
      </c>
    </row>
    <row r="707" spans="1:103" x14ac:dyDescent="0.25">
      <c r="A707">
        <v>706</v>
      </c>
      <c r="D707" s="12"/>
      <c r="E707" s="14"/>
      <c r="H707" s="16"/>
      <c r="I707" s="11"/>
      <c r="J707" s="33"/>
      <c r="K707" s="33"/>
      <c r="L707" s="33"/>
      <c r="M707" s="33"/>
      <c r="N707" s="8"/>
      <c r="X707" s="9">
        <f t="shared" ref="X707:X770" si="502">COUNTIF(B:B,B707)</f>
        <v>0</v>
      </c>
      <c r="AG707" s="8"/>
      <c r="AI707" s="30"/>
      <c r="AK707" s="30"/>
      <c r="AL707" s="21"/>
      <c r="AM707" s="23" t="e">
        <f t="shared" ref="AM707:AM770" si="503">LN(AL707)</f>
        <v>#NUM!</v>
      </c>
      <c r="AW707" s="40"/>
      <c r="AY707" s="40"/>
      <c r="BA707" s="18"/>
      <c r="BC707" s="18"/>
      <c r="BD707" s="18"/>
      <c r="BK707" s="18"/>
      <c r="BN707" s="18"/>
      <c r="BY707" s="18"/>
      <c r="CC707" s="18"/>
      <c r="CH707" s="18"/>
      <c r="CS707" s="18"/>
      <c r="CY707" s="34" t="s">
        <v>86</v>
      </c>
    </row>
    <row r="708" spans="1:103" x14ac:dyDescent="0.25">
      <c r="A708">
        <v>707</v>
      </c>
      <c r="D708" s="12"/>
      <c r="E708" s="14"/>
      <c r="H708" s="16"/>
      <c r="I708" s="11"/>
      <c r="J708" s="33"/>
      <c r="K708" s="33"/>
      <c r="L708" s="33"/>
      <c r="M708" s="33"/>
      <c r="N708" s="8"/>
      <c r="X708" s="9">
        <f t="shared" si="502"/>
        <v>0</v>
      </c>
      <c r="AG708" s="8"/>
      <c r="AI708" s="30"/>
      <c r="AK708" s="30"/>
      <c r="AL708" s="21"/>
      <c r="AM708" s="23" t="e">
        <f t="shared" si="503"/>
        <v>#NUM!</v>
      </c>
      <c r="AW708" s="40"/>
      <c r="AY708" s="40"/>
      <c r="BA708" s="18"/>
      <c r="BC708" s="18"/>
      <c r="BD708" s="18"/>
      <c r="BK708" s="18"/>
      <c r="BN708" s="18"/>
      <c r="BY708" s="18"/>
      <c r="CC708" s="18"/>
      <c r="CH708" s="18"/>
      <c r="CS708" s="18"/>
      <c r="CY708" s="34" t="s">
        <v>86</v>
      </c>
    </row>
    <row r="709" spans="1:103" x14ac:dyDescent="0.25">
      <c r="A709">
        <v>708</v>
      </c>
      <c r="D709" s="12"/>
      <c r="E709" s="14"/>
      <c r="H709" s="16"/>
      <c r="I709" s="11"/>
      <c r="J709" s="33"/>
      <c r="K709" s="33"/>
      <c r="L709" s="33"/>
      <c r="M709" s="33"/>
      <c r="N709" s="8"/>
      <c r="X709" s="9">
        <f t="shared" si="502"/>
        <v>0</v>
      </c>
      <c r="AG709" s="8"/>
      <c r="AI709" s="30"/>
      <c r="AK709" s="30"/>
      <c r="AL709" s="21"/>
      <c r="AM709" s="23" t="e">
        <f t="shared" si="503"/>
        <v>#NUM!</v>
      </c>
      <c r="AW709" s="40"/>
      <c r="AY709" s="40"/>
      <c r="BA709" s="18"/>
      <c r="BC709" s="18"/>
      <c r="BD709" s="18"/>
      <c r="BK709" s="18"/>
      <c r="BN709" s="18"/>
      <c r="BY709" s="18"/>
      <c r="CC709" s="18"/>
      <c r="CH709" s="18"/>
      <c r="CS709" s="18"/>
      <c r="CY709" s="34" t="s">
        <v>86</v>
      </c>
    </row>
    <row r="710" spans="1:103" x14ac:dyDescent="0.25">
      <c r="A710">
        <v>709</v>
      </c>
      <c r="D710" s="12"/>
      <c r="E710" s="14"/>
      <c r="H710" s="16"/>
      <c r="I710" s="11"/>
      <c r="J710" s="33"/>
      <c r="K710" s="33"/>
      <c r="L710" s="33"/>
      <c r="M710" s="33"/>
      <c r="N710" s="8"/>
      <c r="X710" s="9">
        <f t="shared" si="502"/>
        <v>0</v>
      </c>
      <c r="AG710" s="8"/>
      <c r="AI710" s="30"/>
      <c r="AK710" s="30"/>
      <c r="AL710" s="21"/>
      <c r="AM710" s="23" t="e">
        <f t="shared" si="503"/>
        <v>#NUM!</v>
      </c>
      <c r="AW710" s="40"/>
      <c r="AY710" s="40"/>
      <c r="BA710" s="18"/>
      <c r="BC710" s="18"/>
      <c r="BD710" s="18"/>
      <c r="BK710" s="18"/>
      <c r="BN710" s="18"/>
      <c r="BY710" s="18"/>
      <c r="CC710" s="18"/>
      <c r="CH710" s="18"/>
      <c r="CS710" s="18"/>
      <c r="CY710" s="34" t="s">
        <v>86</v>
      </c>
    </row>
    <row r="711" spans="1:103" x14ac:dyDescent="0.25">
      <c r="A711">
        <v>710</v>
      </c>
      <c r="D711" s="12"/>
      <c r="E711" s="14"/>
      <c r="H711" s="16"/>
      <c r="I711" s="11"/>
      <c r="J711" s="33"/>
      <c r="K711" s="33"/>
      <c r="L711" s="33"/>
      <c r="M711" s="33"/>
      <c r="N711" s="8"/>
      <c r="X711" s="9">
        <f t="shared" si="502"/>
        <v>0</v>
      </c>
      <c r="AG711" s="8"/>
      <c r="AI711" s="30"/>
      <c r="AK711" s="30"/>
      <c r="AL711" s="21"/>
      <c r="AM711" s="23" t="e">
        <f t="shared" si="503"/>
        <v>#NUM!</v>
      </c>
      <c r="AW711" s="40"/>
      <c r="AY711" s="40"/>
      <c r="BA711" s="18"/>
      <c r="BC711" s="18"/>
      <c r="BD711" s="18"/>
      <c r="BK711" s="18"/>
      <c r="BN711" s="18"/>
      <c r="BY711" s="18"/>
      <c r="CC711" s="18"/>
      <c r="CH711" s="18"/>
      <c r="CS711" s="18"/>
      <c r="CY711" s="34" t="s">
        <v>86</v>
      </c>
    </row>
    <row r="712" spans="1:103" x14ac:dyDescent="0.25">
      <c r="A712">
        <v>711</v>
      </c>
      <c r="D712" s="12"/>
      <c r="E712" s="14"/>
      <c r="H712" s="16"/>
      <c r="I712" s="11"/>
      <c r="J712" s="33"/>
      <c r="K712" s="33"/>
      <c r="L712" s="33"/>
      <c r="M712" s="33"/>
      <c r="N712" s="8"/>
      <c r="X712" s="9">
        <f t="shared" si="502"/>
        <v>0</v>
      </c>
      <c r="AG712" s="8"/>
      <c r="AI712" s="30"/>
      <c r="AK712" s="30"/>
      <c r="AL712" s="21"/>
      <c r="AM712" s="23" t="e">
        <f t="shared" si="503"/>
        <v>#NUM!</v>
      </c>
      <c r="AW712" s="40"/>
      <c r="AY712" s="40"/>
      <c r="BA712" s="18"/>
      <c r="BC712" s="18"/>
      <c r="BD712" s="18"/>
      <c r="BK712" s="18"/>
      <c r="BN712" s="18"/>
      <c r="BY712" s="18"/>
      <c r="CC712" s="18"/>
      <c r="CH712" s="18"/>
      <c r="CS712" s="18"/>
      <c r="CY712" s="34" t="s">
        <v>86</v>
      </c>
    </row>
    <row r="713" spans="1:103" x14ac:dyDescent="0.25">
      <c r="A713">
        <v>712</v>
      </c>
      <c r="D713" s="12"/>
      <c r="E713" s="14"/>
      <c r="H713" s="16"/>
      <c r="I713" s="11"/>
      <c r="J713" s="33"/>
      <c r="K713" s="33"/>
      <c r="L713" s="33"/>
      <c r="M713" s="33"/>
      <c r="N713" s="8"/>
      <c r="X713" s="9">
        <f t="shared" si="502"/>
        <v>0</v>
      </c>
      <c r="AG713" s="8"/>
      <c r="AI713" s="30"/>
      <c r="AK713" s="30"/>
      <c r="AL713" s="21"/>
      <c r="AM713" s="23" t="e">
        <f t="shared" si="503"/>
        <v>#NUM!</v>
      </c>
      <c r="AW713" s="40"/>
      <c r="AY713" s="40"/>
      <c r="BA713" s="18"/>
      <c r="BC713" s="18"/>
      <c r="BD713" s="18"/>
      <c r="BK713" s="18"/>
      <c r="BN713" s="18"/>
      <c r="BY713" s="18"/>
      <c r="CC713" s="18"/>
      <c r="CH713" s="18"/>
      <c r="CS713" s="18"/>
      <c r="CY713" s="34" t="s">
        <v>86</v>
      </c>
    </row>
    <row r="714" spans="1:103" x14ac:dyDescent="0.25">
      <c r="A714">
        <v>713</v>
      </c>
      <c r="D714" s="12"/>
      <c r="E714" s="14"/>
      <c r="H714" s="16"/>
      <c r="I714" s="11"/>
      <c r="J714" s="33"/>
      <c r="K714" s="33"/>
      <c r="L714" s="33"/>
      <c r="M714" s="33"/>
      <c r="N714" s="8"/>
      <c r="X714" s="9">
        <f t="shared" si="502"/>
        <v>0</v>
      </c>
      <c r="AG714" s="8"/>
      <c r="AI714" s="30"/>
      <c r="AK714" s="30"/>
      <c r="AL714" s="21"/>
      <c r="AM714" s="23" t="e">
        <f t="shared" si="503"/>
        <v>#NUM!</v>
      </c>
      <c r="AW714" s="40"/>
      <c r="AY714" s="40"/>
      <c r="BA714" s="18"/>
      <c r="BC714" s="18"/>
      <c r="BD714" s="18"/>
      <c r="BK714" s="18"/>
      <c r="BN714" s="18"/>
      <c r="BY714" s="18"/>
      <c r="CC714" s="18"/>
      <c r="CH714" s="18"/>
      <c r="CS714" s="18"/>
      <c r="CY714" s="34" t="s">
        <v>86</v>
      </c>
    </row>
    <row r="715" spans="1:103" x14ac:dyDescent="0.25">
      <c r="A715">
        <v>714</v>
      </c>
      <c r="D715" s="12"/>
      <c r="E715" s="14"/>
      <c r="H715" s="16"/>
      <c r="I715" s="11"/>
      <c r="J715" s="33"/>
      <c r="K715" s="33"/>
      <c r="L715" s="33"/>
      <c r="M715" s="33"/>
      <c r="N715" s="8"/>
      <c r="X715" s="9">
        <f t="shared" si="502"/>
        <v>0</v>
      </c>
      <c r="AG715" s="8"/>
      <c r="AI715" s="30"/>
      <c r="AK715" s="30"/>
      <c r="AL715" s="21"/>
      <c r="AM715" s="23" t="e">
        <f t="shared" si="503"/>
        <v>#NUM!</v>
      </c>
      <c r="AW715" s="40"/>
      <c r="AY715" s="40"/>
      <c r="BA715" s="18"/>
      <c r="BC715" s="18"/>
      <c r="BD715" s="18"/>
      <c r="BK715" s="18"/>
      <c r="BN715" s="18"/>
      <c r="BY715" s="18"/>
      <c r="CC715" s="18"/>
      <c r="CH715" s="18"/>
      <c r="CS715" s="18"/>
      <c r="CY715" s="34" t="s">
        <v>86</v>
      </c>
    </row>
    <row r="716" spans="1:103" x14ac:dyDescent="0.25">
      <c r="A716">
        <v>715</v>
      </c>
      <c r="D716" s="12"/>
      <c r="E716" s="14"/>
      <c r="H716" s="16"/>
      <c r="I716" s="11"/>
      <c r="J716" s="33"/>
      <c r="K716" s="33"/>
      <c r="L716" s="33"/>
      <c r="M716" s="33"/>
      <c r="N716" s="8"/>
      <c r="X716" s="9">
        <f t="shared" si="502"/>
        <v>0</v>
      </c>
      <c r="AG716" s="8"/>
      <c r="AI716" s="30"/>
      <c r="AK716" s="30"/>
      <c r="AL716" s="21"/>
      <c r="AM716" s="23" t="e">
        <f t="shared" si="503"/>
        <v>#NUM!</v>
      </c>
      <c r="AW716" s="40"/>
      <c r="AY716" s="40"/>
      <c r="BA716" s="18"/>
      <c r="BC716" s="18"/>
      <c r="BD716" s="18"/>
      <c r="BK716" s="18"/>
      <c r="BN716" s="18"/>
      <c r="BY716" s="18"/>
      <c r="CC716" s="18"/>
      <c r="CH716" s="18"/>
      <c r="CS716" s="18"/>
      <c r="CY716" s="34" t="s">
        <v>86</v>
      </c>
    </row>
    <row r="717" spans="1:103" x14ac:dyDescent="0.25">
      <c r="A717">
        <v>716</v>
      </c>
      <c r="D717" s="12"/>
      <c r="E717" s="14"/>
      <c r="H717" s="16"/>
      <c r="I717" s="11"/>
      <c r="J717" s="33"/>
      <c r="K717" s="33"/>
      <c r="L717" s="33"/>
      <c r="M717" s="33"/>
      <c r="N717" s="8"/>
      <c r="X717" s="9">
        <f t="shared" si="502"/>
        <v>0</v>
      </c>
      <c r="AG717" s="8"/>
      <c r="AI717" s="30"/>
      <c r="AK717" s="30"/>
      <c r="AL717" s="21"/>
      <c r="AM717" s="23" t="e">
        <f t="shared" si="503"/>
        <v>#NUM!</v>
      </c>
      <c r="AW717" s="40"/>
      <c r="AY717" s="40"/>
      <c r="BA717" s="18"/>
      <c r="BC717" s="18"/>
      <c r="BD717" s="18"/>
      <c r="BK717" s="18"/>
      <c r="BN717" s="18"/>
      <c r="BY717" s="18"/>
      <c r="CC717" s="18"/>
      <c r="CH717" s="18"/>
      <c r="CS717" s="18"/>
      <c r="CY717" s="34" t="s">
        <v>86</v>
      </c>
    </row>
    <row r="718" spans="1:103" x14ac:dyDescent="0.25">
      <c r="A718">
        <v>717</v>
      </c>
      <c r="D718" s="12"/>
      <c r="E718" s="14"/>
      <c r="H718" s="16"/>
      <c r="I718" s="11"/>
      <c r="J718" s="33"/>
      <c r="K718" s="33"/>
      <c r="L718" s="33"/>
      <c r="M718" s="33"/>
      <c r="N718" s="8"/>
      <c r="X718" s="9">
        <f t="shared" si="502"/>
        <v>0</v>
      </c>
      <c r="AG718" s="8"/>
      <c r="AI718" s="30"/>
      <c r="AK718" s="30"/>
      <c r="AL718" s="21"/>
      <c r="AM718" s="23" t="e">
        <f t="shared" si="503"/>
        <v>#NUM!</v>
      </c>
      <c r="AW718" s="40"/>
      <c r="AY718" s="40"/>
      <c r="BA718" s="18"/>
      <c r="BC718" s="18"/>
      <c r="BD718" s="18"/>
      <c r="BK718" s="18"/>
      <c r="BN718" s="18"/>
      <c r="BY718" s="18"/>
      <c r="CC718" s="18"/>
      <c r="CH718" s="18"/>
      <c r="CS718" s="18"/>
      <c r="CY718" s="34" t="s">
        <v>86</v>
      </c>
    </row>
    <row r="719" spans="1:103" x14ac:dyDescent="0.25">
      <c r="A719">
        <v>718</v>
      </c>
      <c r="D719" s="12"/>
      <c r="E719" s="14"/>
      <c r="H719" s="16"/>
      <c r="I719" s="11"/>
      <c r="J719" s="33"/>
      <c r="K719" s="33"/>
      <c r="L719" s="33"/>
      <c r="M719" s="33"/>
      <c r="N719" s="8"/>
      <c r="X719" s="9">
        <f t="shared" si="502"/>
        <v>0</v>
      </c>
      <c r="AG719" s="8"/>
      <c r="AI719" s="30"/>
      <c r="AK719" s="30"/>
      <c r="AL719" s="21"/>
      <c r="AM719" s="23" t="e">
        <f t="shared" si="503"/>
        <v>#NUM!</v>
      </c>
      <c r="AW719" s="40"/>
      <c r="AY719" s="40"/>
      <c r="BA719" s="18"/>
      <c r="BC719" s="18"/>
      <c r="BD719" s="18"/>
      <c r="BK719" s="18"/>
      <c r="BN719" s="18"/>
      <c r="BY719" s="18"/>
      <c r="CC719" s="18"/>
      <c r="CH719" s="18"/>
      <c r="CS719" s="18"/>
      <c r="CY719" s="34" t="s">
        <v>86</v>
      </c>
    </row>
    <row r="720" spans="1:103" x14ac:dyDescent="0.25">
      <c r="A720">
        <v>719</v>
      </c>
      <c r="D720" s="12"/>
      <c r="E720" s="14"/>
      <c r="H720" s="16"/>
      <c r="I720" s="11"/>
      <c r="J720" s="33"/>
      <c r="K720" s="33"/>
      <c r="L720" s="33"/>
      <c r="M720" s="33"/>
      <c r="N720" s="8"/>
      <c r="X720" s="9">
        <f t="shared" si="502"/>
        <v>0</v>
      </c>
      <c r="AG720" s="8"/>
      <c r="AI720" s="30"/>
      <c r="AK720" s="30"/>
      <c r="AL720" s="21"/>
      <c r="AM720" s="23" t="e">
        <f t="shared" si="503"/>
        <v>#NUM!</v>
      </c>
      <c r="AW720" s="40"/>
      <c r="AY720" s="40"/>
      <c r="BA720" s="18"/>
      <c r="BC720" s="18"/>
      <c r="BD720" s="18"/>
      <c r="BK720" s="18"/>
      <c r="BN720" s="18"/>
      <c r="BY720" s="18"/>
      <c r="CC720" s="18"/>
      <c r="CH720" s="18"/>
      <c r="CS720" s="18"/>
      <c r="CY720" s="34" t="s">
        <v>86</v>
      </c>
    </row>
    <row r="721" spans="1:103" x14ac:dyDescent="0.25">
      <c r="A721">
        <v>720</v>
      </c>
      <c r="D721" s="12"/>
      <c r="E721" s="14"/>
      <c r="H721" s="16"/>
      <c r="I721" s="11"/>
      <c r="J721" s="33"/>
      <c r="K721" s="33"/>
      <c r="L721" s="33"/>
      <c r="M721" s="33"/>
      <c r="N721" s="8"/>
      <c r="X721" s="9">
        <f t="shared" si="502"/>
        <v>0</v>
      </c>
      <c r="AG721" s="8"/>
      <c r="AI721" s="30"/>
      <c r="AK721" s="30"/>
      <c r="AL721" s="21"/>
      <c r="AM721" s="23" t="e">
        <f t="shared" si="503"/>
        <v>#NUM!</v>
      </c>
      <c r="AW721" s="40"/>
      <c r="AY721" s="40"/>
      <c r="BA721" s="18"/>
      <c r="BC721" s="18"/>
      <c r="BD721" s="18"/>
      <c r="BK721" s="18"/>
      <c r="BN721" s="18"/>
      <c r="BY721" s="18"/>
      <c r="CC721" s="18"/>
      <c r="CH721" s="18"/>
      <c r="CS721" s="18"/>
      <c r="CY721" s="34" t="s">
        <v>86</v>
      </c>
    </row>
    <row r="722" spans="1:103" x14ac:dyDescent="0.25">
      <c r="A722">
        <v>721</v>
      </c>
      <c r="D722" s="12"/>
      <c r="E722" s="14"/>
      <c r="H722" s="16"/>
      <c r="I722" s="11"/>
      <c r="J722" s="33"/>
      <c r="K722" s="33"/>
      <c r="L722" s="33"/>
      <c r="M722" s="33"/>
      <c r="N722" s="8"/>
      <c r="X722" s="9">
        <f t="shared" si="502"/>
        <v>0</v>
      </c>
      <c r="AG722" s="8"/>
      <c r="AI722" s="30"/>
      <c r="AK722" s="30"/>
      <c r="AL722" s="21"/>
      <c r="AM722" s="23" t="e">
        <f t="shared" si="503"/>
        <v>#NUM!</v>
      </c>
      <c r="AW722" s="40"/>
      <c r="AY722" s="40"/>
      <c r="BA722" s="18"/>
      <c r="BC722" s="18"/>
      <c r="BD722" s="18"/>
      <c r="BK722" s="18"/>
      <c r="BN722" s="18"/>
      <c r="BY722" s="18"/>
      <c r="CC722" s="18"/>
      <c r="CH722" s="18"/>
      <c r="CS722" s="18"/>
      <c r="CY722" s="34" t="s">
        <v>86</v>
      </c>
    </row>
    <row r="723" spans="1:103" x14ac:dyDescent="0.25">
      <c r="A723">
        <v>722</v>
      </c>
      <c r="D723" s="12"/>
      <c r="E723" s="14"/>
      <c r="H723" s="16"/>
      <c r="I723" s="11"/>
      <c r="J723" s="33"/>
      <c r="K723" s="33"/>
      <c r="L723" s="33"/>
      <c r="M723" s="33"/>
      <c r="N723" s="8"/>
      <c r="X723" s="9">
        <f t="shared" si="502"/>
        <v>0</v>
      </c>
      <c r="AG723" s="8"/>
      <c r="AI723" s="30"/>
      <c r="AK723" s="30"/>
      <c r="AL723" s="21"/>
      <c r="AM723" s="23" t="e">
        <f t="shared" si="503"/>
        <v>#NUM!</v>
      </c>
      <c r="AW723" s="40"/>
      <c r="AY723" s="40"/>
      <c r="BA723" s="18"/>
      <c r="BC723" s="18"/>
      <c r="BD723" s="18"/>
      <c r="BK723" s="18"/>
      <c r="BN723" s="18"/>
      <c r="BY723" s="18"/>
      <c r="CC723" s="18"/>
      <c r="CH723" s="18"/>
      <c r="CS723" s="18"/>
      <c r="CY723" s="34" t="s">
        <v>86</v>
      </c>
    </row>
    <row r="724" spans="1:103" x14ac:dyDescent="0.25">
      <c r="A724">
        <v>723</v>
      </c>
      <c r="D724" s="12"/>
      <c r="E724" s="14"/>
      <c r="H724" s="16"/>
      <c r="I724" s="11"/>
      <c r="J724" s="33"/>
      <c r="K724" s="33"/>
      <c r="L724" s="33"/>
      <c r="M724" s="33"/>
      <c r="N724" s="8"/>
      <c r="X724" s="9">
        <f t="shared" si="502"/>
        <v>0</v>
      </c>
      <c r="AG724" s="8"/>
      <c r="AI724" s="30"/>
      <c r="AK724" s="30"/>
      <c r="AL724" s="21"/>
      <c r="AM724" s="23" t="e">
        <f t="shared" si="503"/>
        <v>#NUM!</v>
      </c>
      <c r="AW724" s="40"/>
      <c r="AY724" s="40"/>
      <c r="BA724" s="18"/>
      <c r="BC724" s="18"/>
      <c r="BD724" s="18"/>
      <c r="BK724" s="18"/>
      <c r="BN724" s="18"/>
      <c r="BY724" s="18"/>
      <c r="CC724" s="18"/>
      <c r="CH724" s="18"/>
      <c r="CS724" s="18"/>
      <c r="CY724" s="34" t="s">
        <v>86</v>
      </c>
    </row>
    <row r="725" spans="1:103" x14ac:dyDescent="0.25">
      <c r="A725">
        <v>724</v>
      </c>
      <c r="D725" s="12"/>
      <c r="E725" s="14"/>
      <c r="H725" s="16"/>
      <c r="I725" s="11"/>
      <c r="J725" s="33"/>
      <c r="K725" s="33"/>
      <c r="L725" s="33"/>
      <c r="M725" s="33"/>
      <c r="N725" s="8"/>
      <c r="X725" s="9">
        <f t="shared" si="502"/>
        <v>0</v>
      </c>
      <c r="AG725" s="8"/>
      <c r="AI725" s="30"/>
      <c r="AK725" s="30"/>
      <c r="AL725" s="21"/>
      <c r="AM725" s="23" t="e">
        <f t="shared" si="503"/>
        <v>#NUM!</v>
      </c>
      <c r="AW725" s="40"/>
      <c r="AY725" s="40"/>
      <c r="BA725" s="18"/>
      <c r="BC725" s="18"/>
      <c r="BD725" s="18"/>
      <c r="BK725" s="18"/>
      <c r="BN725" s="18"/>
      <c r="BY725" s="18"/>
      <c r="CC725" s="18"/>
      <c r="CH725" s="18"/>
      <c r="CS725" s="18"/>
      <c r="CY725" s="34" t="s">
        <v>86</v>
      </c>
    </row>
    <row r="726" spans="1:103" x14ac:dyDescent="0.25">
      <c r="A726">
        <v>725</v>
      </c>
      <c r="D726" s="12"/>
      <c r="E726" s="14"/>
      <c r="H726" s="16"/>
      <c r="I726" s="11"/>
      <c r="J726" s="33"/>
      <c r="K726" s="33"/>
      <c r="L726" s="33"/>
      <c r="M726" s="33"/>
      <c r="N726" s="8"/>
      <c r="X726" s="9">
        <f t="shared" si="502"/>
        <v>0</v>
      </c>
      <c r="AG726" s="8"/>
      <c r="AI726" s="30"/>
      <c r="AK726" s="30"/>
      <c r="AL726" s="21"/>
      <c r="AM726" s="23" t="e">
        <f t="shared" si="503"/>
        <v>#NUM!</v>
      </c>
      <c r="AW726" s="40"/>
      <c r="AY726" s="40"/>
      <c r="BA726" s="18"/>
      <c r="BC726" s="18"/>
      <c r="BD726" s="18"/>
      <c r="BK726" s="18"/>
      <c r="BN726" s="18"/>
      <c r="BY726" s="18"/>
      <c r="CC726" s="18"/>
      <c r="CH726" s="18"/>
      <c r="CS726" s="18"/>
      <c r="CY726" s="34" t="s">
        <v>86</v>
      </c>
    </row>
    <row r="727" spans="1:103" x14ac:dyDescent="0.25">
      <c r="A727">
        <v>726</v>
      </c>
      <c r="D727" s="12"/>
      <c r="E727" s="14"/>
      <c r="H727" s="16"/>
      <c r="I727" s="11"/>
      <c r="J727" s="33"/>
      <c r="K727" s="33"/>
      <c r="L727" s="33"/>
      <c r="M727" s="33"/>
      <c r="N727" s="8"/>
      <c r="X727" s="9">
        <f t="shared" si="502"/>
        <v>0</v>
      </c>
      <c r="AG727" s="8"/>
      <c r="AI727" s="30"/>
      <c r="AK727" s="30"/>
      <c r="AL727" s="21"/>
      <c r="AM727" s="23" t="e">
        <f t="shared" si="503"/>
        <v>#NUM!</v>
      </c>
      <c r="AW727" s="40"/>
      <c r="AY727" s="40"/>
      <c r="BA727" s="18"/>
      <c r="BC727" s="18"/>
      <c r="BD727" s="18"/>
      <c r="BK727" s="18"/>
      <c r="BN727" s="18"/>
      <c r="BY727" s="18"/>
      <c r="CC727" s="18"/>
      <c r="CH727" s="18"/>
      <c r="CS727" s="18"/>
      <c r="CY727" s="34" t="s">
        <v>86</v>
      </c>
    </row>
    <row r="728" spans="1:103" x14ac:dyDescent="0.25">
      <c r="A728">
        <v>727</v>
      </c>
      <c r="D728" s="12"/>
      <c r="E728" s="14"/>
      <c r="H728" s="16"/>
      <c r="I728" s="11"/>
      <c r="J728" s="33"/>
      <c r="K728" s="33"/>
      <c r="L728" s="33"/>
      <c r="M728" s="33"/>
      <c r="N728" s="8"/>
      <c r="X728" s="9">
        <f t="shared" si="502"/>
        <v>0</v>
      </c>
      <c r="AG728" s="8"/>
      <c r="AI728" s="30"/>
      <c r="AK728" s="30"/>
      <c r="AL728" s="21"/>
      <c r="AM728" s="23" t="e">
        <f t="shared" si="503"/>
        <v>#NUM!</v>
      </c>
      <c r="AW728" s="40"/>
      <c r="AY728" s="40"/>
      <c r="BA728" s="18"/>
      <c r="BC728" s="18"/>
      <c r="BD728" s="18"/>
      <c r="BK728" s="18"/>
      <c r="BN728" s="18"/>
      <c r="BY728" s="18"/>
      <c r="CC728" s="18"/>
      <c r="CH728" s="18"/>
      <c r="CS728" s="18"/>
      <c r="CY728" s="34" t="s">
        <v>86</v>
      </c>
    </row>
    <row r="729" spans="1:103" x14ac:dyDescent="0.25">
      <c r="A729">
        <v>728</v>
      </c>
      <c r="D729" s="12"/>
      <c r="E729" s="14"/>
      <c r="H729" s="16"/>
      <c r="I729" s="11"/>
      <c r="J729" s="33"/>
      <c r="K729" s="33"/>
      <c r="L729" s="33"/>
      <c r="M729" s="33"/>
      <c r="N729" s="8"/>
      <c r="X729" s="9">
        <f t="shared" si="502"/>
        <v>0</v>
      </c>
      <c r="AG729" s="8"/>
      <c r="AI729" s="30"/>
      <c r="AK729" s="30"/>
      <c r="AL729" s="21"/>
      <c r="AM729" s="23" t="e">
        <f t="shared" si="503"/>
        <v>#NUM!</v>
      </c>
      <c r="AW729" s="40"/>
      <c r="AY729" s="40"/>
      <c r="BA729" s="18"/>
      <c r="BC729" s="18"/>
      <c r="BD729" s="18"/>
      <c r="BK729" s="18"/>
      <c r="BN729" s="18"/>
      <c r="BY729" s="18"/>
      <c r="CC729" s="18"/>
      <c r="CH729" s="18"/>
      <c r="CS729" s="18"/>
      <c r="CY729" s="34" t="s">
        <v>86</v>
      </c>
    </row>
    <row r="730" spans="1:103" x14ac:dyDescent="0.25">
      <c r="A730">
        <v>729</v>
      </c>
      <c r="D730" s="12"/>
      <c r="E730" s="14"/>
      <c r="H730" s="16"/>
      <c r="I730" s="11"/>
      <c r="J730" s="33"/>
      <c r="K730" s="33"/>
      <c r="L730" s="33"/>
      <c r="M730" s="33"/>
      <c r="N730" s="8"/>
      <c r="X730" s="9">
        <f t="shared" si="502"/>
        <v>0</v>
      </c>
      <c r="AG730" s="8"/>
      <c r="AI730" s="30"/>
      <c r="AK730" s="30"/>
      <c r="AL730" s="21"/>
      <c r="AM730" s="23" t="e">
        <f t="shared" si="503"/>
        <v>#NUM!</v>
      </c>
      <c r="AW730" s="40"/>
      <c r="AY730" s="40"/>
      <c r="BA730" s="18"/>
      <c r="BC730" s="18"/>
      <c r="BD730" s="18"/>
      <c r="BK730" s="18"/>
      <c r="BN730" s="18"/>
      <c r="BY730" s="18"/>
      <c r="CC730" s="18"/>
      <c r="CH730" s="18"/>
      <c r="CS730" s="18"/>
      <c r="CY730" s="34" t="s">
        <v>86</v>
      </c>
    </row>
    <row r="731" spans="1:103" x14ac:dyDescent="0.25">
      <c r="A731">
        <v>730</v>
      </c>
      <c r="D731" s="12"/>
      <c r="E731" s="14"/>
      <c r="H731" s="16"/>
      <c r="I731" s="11"/>
      <c r="J731" s="33"/>
      <c r="K731" s="33"/>
      <c r="L731" s="33"/>
      <c r="M731" s="33"/>
      <c r="N731" s="8"/>
      <c r="X731" s="9">
        <f t="shared" si="502"/>
        <v>0</v>
      </c>
      <c r="AG731" s="8"/>
      <c r="AI731" s="30"/>
      <c r="AK731" s="30"/>
      <c r="AL731" s="21"/>
      <c r="AM731" s="23" t="e">
        <f t="shared" si="503"/>
        <v>#NUM!</v>
      </c>
      <c r="AW731" s="40"/>
      <c r="AY731" s="40"/>
      <c r="BA731" s="18"/>
      <c r="BC731" s="18"/>
      <c r="BD731" s="18"/>
      <c r="BK731" s="18"/>
      <c r="BN731" s="18"/>
      <c r="BY731" s="18"/>
      <c r="CC731" s="18"/>
      <c r="CH731" s="18"/>
      <c r="CS731" s="18"/>
      <c r="CY731" s="34" t="s">
        <v>86</v>
      </c>
    </row>
    <row r="732" spans="1:103" x14ac:dyDescent="0.25">
      <c r="A732">
        <v>731</v>
      </c>
      <c r="D732" s="12"/>
      <c r="E732" s="14"/>
      <c r="H732" s="16"/>
      <c r="I732" s="11"/>
      <c r="J732" s="33"/>
      <c r="K732" s="33"/>
      <c r="L732" s="33"/>
      <c r="M732" s="33"/>
      <c r="N732" s="8"/>
      <c r="X732" s="9">
        <f t="shared" si="502"/>
        <v>0</v>
      </c>
      <c r="AG732" s="8"/>
      <c r="AI732" s="30"/>
      <c r="AK732" s="30"/>
      <c r="AL732" s="21"/>
      <c r="AM732" s="23" t="e">
        <f t="shared" si="503"/>
        <v>#NUM!</v>
      </c>
      <c r="AW732" s="40"/>
      <c r="AY732" s="40"/>
      <c r="BA732" s="18"/>
      <c r="BC732" s="18"/>
      <c r="BD732" s="18"/>
      <c r="BK732" s="18"/>
      <c r="BN732" s="18"/>
      <c r="BY732" s="18"/>
      <c r="CC732" s="18"/>
      <c r="CH732" s="18"/>
      <c r="CS732" s="18"/>
      <c r="CY732" s="34" t="s">
        <v>86</v>
      </c>
    </row>
    <row r="733" spans="1:103" x14ac:dyDescent="0.25">
      <c r="A733">
        <v>732</v>
      </c>
      <c r="D733" s="12"/>
      <c r="E733" s="14"/>
      <c r="H733" s="16"/>
      <c r="I733" s="11"/>
      <c r="J733" s="33"/>
      <c r="K733" s="33"/>
      <c r="L733" s="33"/>
      <c r="M733" s="33"/>
      <c r="N733" s="8"/>
      <c r="X733" s="9">
        <f t="shared" si="502"/>
        <v>0</v>
      </c>
      <c r="AG733" s="8"/>
      <c r="AI733" s="30"/>
      <c r="AK733" s="30"/>
      <c r="AL733" s="21"/>
      <c r="AM733" s="23" t="e">
        <f t="shared" si="503"/>
        <v>#NUM!</v>
      </c>
      <c r="AW733" s="40"/>
      <c r="AY733" s="40"/>
      <c r="BA733" s="18"/>
      <c r="BC733" s="18"/>
      <c r="BD733" s="18"/>
      <c r="BK733" s="18"/>
      <c r="BN733" s="18"/>
      <c r="BY733" s="18"/>
      <c r="CC733" s="18"/>
      <c r="CH733" s="18"/>
      <c r="CS733" s="18"/>
      <c r="CY733" s="34" t="s">
        <v>86</v>
      </c>
    </row>
    <row r="734" spans="1:103" x14ac:dyDescent="0.25">
      <c r="A734">
        <v>733</v>
      </c>
      <c r="D734" s="12"/>
      <c r="E734" s="14"/>
      <c r="H734" s="16"/>
      <c r="I734" s="11"/>
      <c r="J734" s="33"/>
      <c r="K734" s="33"/>
      <c r="L734" s="33"/>
      <c r="M734" s="33"/>
      <c r="N734" s="8"/>
      <c r="X734" s="9">
        <f t="shared" si="502"/>
        <v>0</v>
      </c>
      <c r="AG734" s="8"/>
      <c r="AI734" s="30"/>
      <c r="AK734" s="30"/>
      <c r="AL734" s="21"/>
      <c r="AM734" s="23" t="e">
        <f t="shared" si="503"/>
        <v>#NUM!</v>
      </c>
      <c r="AW734" s="40"/>
      <c r="AY734" s="40"/>
      <c r="BA734" s="18"/>
      <c r="BC734" s="18"/>
      <c r="BD734" s="18"/>
      <c r="BK734" s="18"/>
      <c r="BN734" s="18"/>
      <c r="BY734" s="18"/>
      <c r="CC734" s="18"/>
      <c r="CH734" s="18"/>
      <c r="CS734" s="18"/>
      <c r="CY734" s="34" t="s">
        <v>86</v>
      </c>
    </row>
    <row r="735" spans="1:103" x14ac:dyDescent="0.25">
      <c r="A735">
        <v>734</v>
      </c>
      <c r="D735" s="12"/>
      <c r="E735" s="14"/>
      <c r="H735" s="16"/>
      <c r="I735" s="11"/>
      <c r="J735" s="33"/>
      <c r="K735" s="33"/>
      <c r="L735" s="33"/>
      <c r="M735" s="33"/>
      <c r="N735" s="8"/>
      <c r="X735" s="9">
        <f t="shared" si="502"/>
        <v>0</v>
      </c>
      <c r="AG735" s="8"/>
      <c r="AI735" s="30"/>
      <c r="AK735" s="30"/>
      <c r="AL735" s="21"/>
      <c r="AM735" s="23" t="e">
        <f t="shared" si="503"/>
        <v>#NUM!</v>
      </c>
      <c r="AW735" s="40"/>
      <c r="AY735" s="40"/>
      <c r="BA735" s="18"/>
      <c r="BC735" s="18"/>
      <c r="BD735" s="18"/>
      <c r="BK735" s="18"/>
      <c r="BN735" s="18"/>
      <c r="BY735" s="18"/>
      <c r="CC735" s="18"/>
      <c r="CH735" s="18"/>
      <c r="CS735" s="18"/>
      <c r="CY735" s="34" t="s">
        <v>86</v>
      </c>
    </row>
    <row r="736" spans="1:103" x14ac:dyDescent="0.25">
      <c r="A736">
        <v>735</v>
      </c>
      <c r="D736" s="12"/>
      <c r="E736" s="14"/>
      <c r="H736" s="16"/>
      <c r="I736" s="11"/>
      <c r="J736" s="33"/>
      <c r="K736" s="33"/>
      <c r="L736" s="33"/>
      <c r="M736" s="33"/>
      <c r="N736" s="8"/>
      <c r="X736" s="9">
        <f t="shared" si="502"/>
        <v>0</v>
      </c>
      <c r="AG736" s="8"/>
      <c r="AI736" s="30"/>
      <c r="AK736" s="30"/>
      <c r="AL736" s="21"/>
      <c r="AM736" s="23" t="e">
        <f t="shared" si="503"/>
        <v>#NUM!</v>
      </c>
      <c r="AW736" s="40"/>
      <c r="AY736" s="40"/>
      <c r="BA736" s="18"/>
      <c r="BC736" s="18"/>
      <c r="BD736" s="18"/>
      <c r="BK736" s="18"/>
      <c r="BN736" s="18"/>
      <c r="BY736" s="18"/>
      <c r="CC736" s="18"/>
      <c r="CH736" s="18"/>
      <c r="CS736" s="18"/>
      <c r="CY736" s="34" t="s">
        <v>86</v>
      </c>
    </row>
    <row r="737" spans="1:103" x14ac:dyDescent="0.25">
      <c r="A737">
        <v>736</v>
      </c>
      <c r="D737" s="12"/>
      <c r="E737" s="14"/>
      <c r="H737" s="16"/>
      <c r="I737" s="11"/>
      <c r="J737" s="33"/>
      <c r="K737" s="33"/>
      <c r="L737" s="33"/>
      <c r="M737" s="33"/>
      <c r="N737" s="8"/>
      <c r="X737" s="9">
        <f t="shared" si="502"/>
        <v>0</v>
      </c>
      <c r="AG737" s="8"/>
      <c r="AI737" s="30"/>
      <c r="AK737" s="30"/>
      <c r="AL737" s="21"/>
      <c r="AM737" s="23" t="e">
        <f t="shared" si="503"/>
        <v>#NUM!</v>
      </c>
      <c r="AW737" s="40"/>
      <c r="AY737" s="40"/>
      <c r="BA737" s="18"/>
      <c r="BC737" s="18"/>
      <c r="BD737" s="18"/>
      <c r="BK737" s="18"/>
      <c r="BN737" s="18"/>
      <c r="BY737" s="18"/>
      <c r="CC737" s="18"/>
      <c r="CH737" s="18"/>
      <c r="CS737" s="18"/>
      <c r="CY737" s="34" t="s">
        <v>86</v>
      </c>
    </row>
    <row r="738" spans="1:103" x14ac:dyDescent="0.25">
      <c r="A738">
        <v>737</v>
      </c>
      <c r="D738" s="12"/>
      <c r="E738" s="14"/>
      <c r="H738" s="16"/>
      <c r="I738" s="11"/>
      <c r="J738" s="33"/>
      <c r="K738" s="33"/>
      <c r="L738" s="33"/>
      <c r="M738" s="33"/>
      <c r="N738" s="8"/>
      <c r="X738" s="9">
        <f t="shared" si="502"/>
        <v>0</v>
      </c>
      <c r="AG738" s="8"/>
      <c r="AI738" s="30"/>
      <c r="AK738" s="30"/>
      <c r="AL738" s="21"/>
      <c r="AM738" s="23" t="e">
        <f t="shared" si="503"/>
        <v>#NUM!</v>
      </c>
      <c r="AW738" s="40"/>
      <c r="AY738" s="40"/>
      <c r="BA738" s="18"/>
      <c r="BC738" s="18"/>
      <c r="BD738" s="18"/>
      <c r="BK738" s="18"/>
      <c r="BN738" s="18"/>
      <c r="BY738" s="18"/>
      <c r="CC738" s="18"/>
      <c r="CH738" s="18"/>
      <c r="CS738" s="18"/>
      <c r="CY738" s="34" t="s">
        <v>86</v>
      </c>
    </row>
    <row r="739" spans="1:103" x14ac:dyDescent="0.25">
      <c r="A739">
        <v>738</v>
      </c>
      <c r="D739" s="12"/>
      <c r="E739" s="14"/>
      <c r="H739" s="16"/>
      <c r="I739" s="11"/>
      <c r="J739" s="33"/>
      <c r="K739" s="33"/>
      <c r="L739" s="33"/>
      <c r="M739" s="33"/>
      <c r="N739" s="8"/>
      <c r="X739" s="9">
        <f t="shared" si="502"/>
        <v>0</v>
      </c>
      <c r="AG739" s="8"/>
      <c r="AI739" s="30"/>
      <c r="AK739" s="30"/>
      <c r="AL739" s="21"/>
      <c r="AM739" s="23" t="e">
        <f t="shared" si="503"/>
        <v>#NUM!</v>
      </c>
      <c r="AW739" s="40"/>
      <c r="AY739" s="40"/>
      <c r="BA739" s="18"/>
      <c r="BC739" s="18"/>
      <c r="BD739" s="18"/>
      <c r="BK739" s="18"/>
      <c r="BN739" s="18"/>
      <c r="BY739" s="18"/>
      <c r="CC739" s="18"/>
      <c r="CH739" s="18"/>
      <c r="CS739" s="18"/>
      <c r="CY739" s="34" t="s">
        <v>86</v>
      </c>
    </row>
    <row r="740" spans="1:103" x14ac:dyDescent="0.25">
      <c r="A740">
        <v>739</v>
      </c>
      <c r="D740" s="12"/>
      <c r="E740" s="14"/>
      <c r="H740" s="16"/>
      <c r="I740" s="11"/>
      <c r="J740" s="33"/>
      <c r="K740" s="33"/>
      <c r="L740" s="33"/>
      <c r="M740" s="33"/>
      <c r="N740" s="8"/>
      <c r="X740" s="9">
        <f t="shared" si="502"/>
        <v>0</v>
      </c>
      <c r="AG740" s="8"/>
      <c r="AI740" s="30"/>
      <c r="AK740" s="30"/>
      <c r="AL740" s="21"/>
      <c r="AM740" s="23" t="e">
        <f t="shared" si="503"/>
        <v>#NUM!</v>
      </c>
      <c r="AW740" s="40"/>
      <c r="AY740" s="40"/>
      <c r="BA740" s="18"/>
      <c r="BC740" s="18"/>
      <c r="BD740" s="18"/>
      <c r="BK740" s="18"/>
      <c r="BN740" s="18"/>
      <c r="BY740" s="18"/>
      <c r="CC740" s="18"/>
      <c r="CH740" s="18"/>
      <c r="CS740" s="18"/>
      <c r="CY740" s="34" t="s">
        <v>86</v>
      </c>
    </row>
    <row r="741" spans="1:103" x14ac:dyDescent="0.25">
      <c r="A741">
        <v>740</v>
      </c>
      <c r="D741" s="12"/>
      <c r="E741" s="14"/>
      <c r="H741" s="16"/>
      <c r="I741" s="11"/>
      <c r="J741" s="33"/>
      <c r="K741" s="33"/>
      <c r="L741" s="33"/>
      <c r="M741" s="33"/>
      <c r="N741" s="8"/>
      <c r="X741" s="9">
        <f t="shared" si="502"/>
        <v>0</v>
      </c>
      <c r="AG741" s="8"/>
      <c r="AI741" s="30"/>
      <c r="AK741" s="30"/>
      <c r="AL741" s="21"/>
      <c r="AM741" s="23" t="e">
        <f t="shared" si="503"/>
        <v>#NUM!</v>
      </c>
      <c r="AW741" s="40"/>
      <c r="AY741" s="40"/>
      <c r="BA741" s="18"/>
      <c r="BC741" s="18"/>
      <c r="BD741" s="18"/>
      <c r="BK741" s="18"/>
      <c r="BN741" s="18"/>
      <c r="BY741" s="18"/>
      <c r="CC741" s="18"/>
      <c r="CH741" s="18"/>
      <c r="CS741" s="18"/>
      <c r="CY741" s="34" t="s">
        <v>86</v>
      </c>
    </row>
    <row r="742" spans="1:103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X742" s="9">
        <f t="shared" si="502"/>
        <v>0</v>
      </c>
      <c r="AG742" s="8"/>
      <c r="AI742" s="30"/>
      <c r="AK742" s="30"/>
      <c r="AL742" s="21"/>
      <c r="AM742" s="23" t="e">
        <f t="shared" si="503"/>
        <v>#NUM!</v>
      </c>
      <c r="AW742" s="40"/>
      <c r="AY742" s="40"/>
      <c r="BA742" s="18"/>
      <c r="BC742" s="18"/>
      <c r="BD742" s="18"/>
      <c r="BK742" s="18"/>
      <c r="BN742" s="18"/>
      <c r="BY742" s="18"/>
      <c r="CC742" s="18"/>
      <c r="CH742" s="18"/>
      <c r="CS742" s="18"/>
      <c r="CY742" s="34" t="s">
        <v>86</v>
      </c>
    </row>
    <row r="743" spans="1:103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X743" s="9">
        <f t="shared" si="502"/>
        <v>0</v>
      </c>
      <c r="AG743" s="8"/>
      <c r="AI743" s="30"/>
      <c r="AK743" s="30"/>
      <c r="AL743" s="21"/>
      <c r="AM743" s="23" t="e">
        <f t="shared" si="503"/>
        <v>#NUM!</v>
      </c>
      <c r="AW743" s="40"/>
      <c r="AY743" s="40"/>
      <c r="BA743" s="18"/>
      <c r="BC743" s="18"/>
      <c r="BD743" s="18"/>
      <c r="BK743" s="18"/>
      <c r="BN743" s="18"/>
      <c r="BY743" s="18"/>
      <c r="CC743" s="18"/>
      <c r="CH743" s="18"/>
      <c r="CS743" s="18"/>
      <c r="CY743" s="34" t="s">
        <v>86</v>
      </c>
    </row>
    <row r="744" spans="1:103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X744" s="9">
        <f t="shared" si="502"/>
        <v>0</v>
      </c>
      <c r="AG744" s="8"/>
      <c r="AI744" s="30"/>
      <c r="AK744" s="30"/>
      <c r="AL744" s="21"/>
      <c r="AM744" s="23" t="e">
        <f t="shared" si="503"/>
        <v>#NUM!</v>
      </c>
      <c r="AW744" s="40"/>
      <c r="AY744" s="40"/>
      <c r="BA744" s="18"/>
      <c r="BC744" s="18"/>
      <c r="BD744" s="18"/>
      <c r="BK744" s="18"/>
      <c r="BN744" s="18"/>
      <c r="BY744" s="18"/>
      <c r="CC744" s="18"/>
      <c r="CH744" s="18"/>
      <c r="CS744" s="18"/>
      <c r="CY744" s="34" t="s">
        <v>86</v>
      </c>
    </row>
    <row r="745" spans="1:103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X745" s="9">
        <f t="shared" si="502"/>
        <v>0</v>
      </c>
      <c r="AG745" s="8"/>
      <c r="AI745" s="30"/>
      <c r="AK745" s="30"/>
      <c r="AL745" s="21"/>
      <c r="AM745" s="23" t="e">
        <f t="shared" si="503"/>
        <v>#NUM!</v>
      </c>
      <c r="AW745" s="40"/>
      <c r="AY745" s="40"/>
      <c r="BA745" s="18"/>
      <c r="BC745" s="18"/>
      <c r="BD745" s="18"/>
      <c r="BK745" s="18"/>
      <c r="BN745" s="18"/>
      <c r="BY745" s="18"/>
      <c r="CC745" s="18"/>
      <c r="CH745" s="18"/>
      <c r="CS745" s="18"/>
      <c r="CY745" s="34" t="s">
        <v>86</v>
      </c>
    </row>
    <row r="746" spans="1:103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X746" s="9">
        <f t="shared" si="502"/>
        <v>0</v>
      </c>
      <c r="AG746" s="8"/>
      <c r="AI746" s="30"/>
      <c r="AK746" s="30"/>
      <c r="AL746" s="21"/>
      <c r="AM746" s="23" t="e">
        <f t="shared" si="503"/>
        <v>#NUM!</v>
      </c>
      <c r="AW746" s="40"/>
      <c r="AY746" s="40"/>
      <c r="BA746" s="18"/>
      <c r="BC746" s="18"/>
      <c r="BD746" s="18"/>
      <c r="BK746" s="18"/>
      <c r="BN746" s="18"/>
      <c r="BY746" s="18"/>
      <c r="CC746" s="18"/>
      <c r="CH746" s="18"/>
      <c r="CS746" s="18"/>
      <c r="CY746" s="34" t="s">
        <v>86</v>
      </c>
    </row>
    <row r="747" spans="1:103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X747" s="9">
        <f t="shared" si="502"/>
        <v>0</v>
      </c>
      <c r="AG747" s="8"/>
      <c r="AI747" s="30"/>
      <c r="AK747" s="30"/>
      <c r="AL747" s="21"/>
      <c r="AM747" s="23" t="e">
        <f t="shared" si="503"/>
        <v>#NUM!</v>
      </c>
      <c r="AW747" s="40"/>
      <c r="AY747" s="40"/>
      <c r="BA747" s="18"/>
      <c r="BC747" s="18"/>
      <c r="BD747" s="18"/>
      <c r="BK747" s="18"/>
      <c r="BN747" s="18"/>
      <c r="BY747" s="18"/>
      <c r="CC747" s="18"/>
      <c r="CH747" s="18"/>
      <c r="CS747" s="18"/>
      <c r="CY747" s="34" t="s">
        <v>86</v>
      </c>
    </row>
    <row r="748" spans="1:103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X748" s="9">
        <f t="shared" si="502"/>
        <v>0</v>
      </c>
      <c r="AG748" s="8"/>
      <c r="AI748" s="30"/>
      <c r="AK748" s="30"/>
      <c r="AL748" s="21"/>
      <c r="AM748" s="23" t="e">
        <f t="shared" si="503"/>
        <v>#NUM!</v>
      </c>
      <c r="AW748" s="40"/>
      <c r="AY748" s="40"/>
      <c r="BA748" s="18"/>
      <c r="BC748" s="18"/>
      <c r="BD748" s="18"/>
      <c r="BK748" s="18"/>
      <c r="BN748" s="18"/>
      <c r="BY748" s="18"/>
      <c r="CC748" s="18"/>
      <c r="CH748" s="18"/>
      <c r="CS748" s="18"/>
      <c r="CY748" s="34" t="s">
        <v>86</v>
      </c>
    </row>
    <row r="749" spans="1:103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X749" s="9">
        <f t="shared" si="502"/>
        <v>0</v>
      </c>
      <c r="AG749" s="8"/>
      <c r="AI749" s="30"/>
      <c r="AK749" s="30"/>
      <c r="AL749" s="21"/>
      <c r="AM749" s="23" t="e">
        <f t="shared" si="503"/>
        <v>#NUM!</v>
      </c>
      <c r="AW749" s="40"/>
      <c r="AY749" s="40"/>
      <c r="BA749" s="18"/>
      <c r="BC749" s="18"/>
      <c r="BD749" s="18"/>
      <c r="BK749" s="18"/>
      <c r="BN749" s="18"/>
      <c r="BY749" s="18"/>
      <c r="CC749" s="18"/>
      <c r="CH749" s="18"/>
      <c r="CS749" s="18"/>
      <c r="CY749" s="34" t="s">
        <v>86</v>
      </c>
    </row>
    <row r="750" spans="1:103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X750" s="9">
        <f t="shared" si="502"/>
        <v>0</v>
      </c>
      <c r="AG750" s="8"/>
      <c r="AI750" s="30"/>
      <c r="AK750" s="30"/>
      <c r="AL750" s="21"/>
      <c r="AM750" s="23" t="e">
        <f t="shared" si="503"/>
        <v>#NUM!</v>
      </c>
      <c r="AW750" s="40"/>
      <c r="AY750" s="40"/>
      <c r="BA750" s="18"/>
      <c r="BC750" s="18"/>
      <c r="BD750" s="18"/>
      <c r="BK750" s="18"/>
      <c r="BN750" s="18"/>
      <c r="BY750" s="18"/>
      <c r="CC750" s="18"/>
      <c r="CH750" s="18"/>
      <c r="CS750" s="18"/>
      <c r="CY750" s="34" t="s">
        <v>86</v>
      </c>
    </row>
    <row r="751" spans="1:103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X751" s="9">
        <f t="shared" si="502"/>
        <v>0</v>
      </c>
      <c r="AG751" s="8"/>
      <c r="AI751" s="30"/>
      <c r="AK751" s="30"/>
      <c r="AL751" s="21"/>
      <c r="AM751" s="23" t="e">
        <f t="shared" si="503"/>
        <v>#NUM!</v>
      </c>
      <c r="AW751" s="40"/>
      <c r="AY751" s="40"/>
      <c r="BA751" s="18"/>
      <c r="BC751" s="18"/>
      <c r="BD751" s="18"/>
      <c r="BK751" s="18"/>
      <c r="BN751" s="18"/>
      <c r="BY751" s="18"/>
      <c r="CC751" s="18"/>
      <c r="CH751" s="18"/>
      <c r="CS751" s="18"/>
      <c r="CY751" s="34" t="s">
        <v>86</v>
      </c>
    </row>
    <row r="752" spans="1:103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X752" s="9">
        <f t="shared" si="502"/>
        <v>0</v>
      </c>
      <c r="AG752" s="8"/>
      <c r="AI752" s="30"/>
      <c r="AK752" s="30"/>
      <c r="AL752" s="21"/>
      <c r="AM752" s="23" t="e">
        <f t="shared" si="503"/>
        <v>#NUM!</v>
      </c>
      <c r="AW752" s="40"/>
      <c r="AY752" s="40"/>
      <c r="BA752" s="18"/>
      <c r="BC752" s="18"/>
      <c r="BD752" s="18"/>
      <c r="BK752" s="18"/>
      <c r="BN752" s="18"/>
      <c r="BY752" s="18"/>
      <c r="CC752" s="18"/>
      <c r="CH752" s="18"/>
      <c r="CS752" s="18"/>
      <c r="CY752" s="34" t="s">
        <v>86</v>
      </c>
    </row>
    <row r="753" spans="1:103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X753" s="9">
        <f t="shared" si="502"/>
        <v>0</v>
      </c>
      <c r="AG753" s="8"/>
      <c r="AI753" s="30"/>
      <c r="AK753" s="30"/>
      <c r="AL753" s="21"/>
      <c r="AM753" s="23" t="e">
        <f t="shared" si="503"/>
        <v>#NUM!</v>
      </c>
      <c r="AW753" s="40"/>
      <c r="AY753" s="40"/>
      <c r="BA753" s="18"/>
      <c r="BC753" s="18"/>
      <c r="BD753" s="18"/>
      <c r="BK753" s="18"/>
      <c r="BN753" s="18"/>
      <c r="BY753" s="18"/>
      <c r="CC753" s="18"/>
      <c r="CH753" s="18"/>
      <c r="CS753" s="18"/>
      <c r="CY753" s="34" t="s">
        <v>86</v>
      </c>
    </row>
    <row r="754" spans="1:103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X754" s="9">
        <f t="shared" si="502"/>
        <v>0</v>
      </c>
      <c r="AG754" s="8"/>
      <c r="AI754" s="30"/>
      <c r="AK754" s="30"/>
      <c r="AL754" s="21"/>
      <c r="AM754" s="23" t="e">
        <f t="shared" si="503"/>
        <v>#NUM!</v>
      </c>
      <c r="AW754" s="40"/>
      <c r="AY754" s="40"/>
      <c r="BA754" s="18"/>
      <c r="BC754" s="18"/>
      <c r="BD754" s="18"/>
      <c r="BK754" s="18"/>
      <c r="BN754" s="18"/>
      <c r="BY754" s="18"/>
      <c r="CC754" s="18"/>
      <c r="CH754" s="18"/>
      <c r="CS754" s="18"/>
      <c r="CY754" s="34" t="s">
        <v>86</v>
      </c>
    </row>
    <row r="755" spans="1:103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X755" s="9">
        <f t="shared" si="502"/>
        <v>0</v>
      </c>
      <c r="AG755" s="8"/>
      <c r="AI755" s="30"/>
      <c r="AK755" s="30"/>
      <c r="AL755" s="21"/>
      <c r="AM755" s="23" t="e">
        <f t="shared" si="503"/>
        <v>#NUM!</v>
      </c>
      <c r="AW755" s="40"/>
      <c r="AY755" s="40"/>
      <c r="BA755" s="18"/>
      <c r="BC755" s="18"/>
      <c r="BD755" s="18"/>
      <c r="BK755" s="18"/>
      <c r="BN755" s="18"/>
      <c r="BY755" s="18"/>
      <c r="CC755" s="18"/>
      <c r="CH755" s="18"/>
      <c r="CS755" s="18"/>
      <c r="CY755" s="34" t="s">
        <v>86</v>
      </c>
    </row>
    <row r="756" spans="1:103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X756" s="9">
        <f t="shared" si="502"/>
        <v>0</v>
      </c>
      <c r="AG756" s="8"/>
      <c r="AI756" s="30"/>
      <c r="AK756" s="30"/>
      <c r="AL756" s="21"/>
      <c r="AM756" s="23" t="e">
        <f t="shared" si="503"/>
        <v>#NUM!</v>
      </c>
      <c r="AW756" s="40"/>
      <c r="AY756" s="40"/>
      <c r="BA756" s="18"/>
      <c r="BC756" s="18"/>
      <c r="BD756" s="18"/>
      <c r="BK756" s="18"/>
      <c r="BN756" s="18"/>
      <c r="BY756" s="18"/>
      <c r="CC756" s="18"/>
      <c r="CH756" s="18"/>
      <c r="CS756" s="18"/>
      <c r="CY756" s="34" t="s">
        <v>86</v>
      </c>
    </row>
    <row r="757" spans="1:103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X757" s="9">
        <f t="shared" si="502"/>
        <v>0</v>
      </c>
      <c r="AG757" s="8"/>
      <c r="AI757" s="30"/>
      <c r="AK757" s="30"/>
      <c r="AL757" s="21"/>
      <c r="AM757" s="23" t="e">
        <f t="shared" si="503"/>
        <v>#NUM!</v>
      </c>
      <c r="AW757" s="40"/>
      <c r="AY757" s="40"/>
      <c r="BA757" s="18"/>
      <c r="BC757" s="18"/>
      <c r="BD757" s="18"/>
      <c r="BK757" s="18"/>
      <c r="BN757" s="18"/>
      <c r="BY757" s="18"/>
      <c r="CC757" s="18"/>
      <c r="CH757" s="18"/>
      <c r="CS757" s="18"/>
      <c r="CY757" s="34" t="s">
        <v>86</v>
      </c>
    </row>
    <row r="758" spans="1:103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X758" s="9">
        <f t="shared" si="502"/>
        <v>0</v>
      </c>
      <c r="AG758" s="8"/>
      <c r="AI758" s="30"/>
      <c r="AK758" s="30"/>
      <c r="AL758" s="21"/>
      <c r="AM758" s="23" t="e">
        <f t="shared" si="503"/>
        <v>#NUM!</v>
      </c>
      <c r="AW758" s="40"/>
      <c r="AY758" s="40"/>
      <c r="BA758" s="18"/>
      <c r="BC758" s="18"/>
      <c r="BD758" s="18"/>
      <c r="BK758" s="18"/>
      <c r="BN758" s="18"/>
      <c r="BY758" s="18"/>
      <c r="CC758" s="18"/>
      <c r="CH758" s="18"/>
      <c r="CS758" s="18"/>
      <c r="CY758" s="34" t="s">
        <v>86</v>
      </c>
    </row>
    <row r="759" spans="1:103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X759" s="9">
        <f t="shared" si="502"/>
        <v>0</v>
      </c>
      <c r="AG759" s="8"/>
      <c r="AI759" s="30"/>
      <c r="AK759" s="30"/>
      <c r="AL759" s="21"/>
      <c r="AM759" s="23" t="e">
        <f t="shared" si="503"/>
        <v>#NUM!</v>
      </c>
      <c r="AW759" s="40"/>
      <c r="AY759" s="40"/>
      <c r="BA759" s="18"/>
      <c r="BC759" s="18"/>
      <c r="BD759" s="18"/>
      <c r="BK759" s="18"/>
      <c r="BN759" s="18"/>
      <c r="BY759" s="18"/>
      <c r="CC759" s="18"/>
      <c r="CH759" s="18"/>
      <c r="CS759" s="18"/>
      <c r="CY759" s="34" t="s">
        <v>86</v>
      </c>
    </row>
    <row r="760" spans="1:103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X760" s="9">
        <f t="shared" si="502"/>
        <v>0</v>
      </c>
      <c r="AG760" s="8"/>
      <c r="AI760" s="30"/>
      <c r="AK760" s="30"/>
      <c r="AL760" s="21"/>
      <c r="AM760" s="23" t="e">
        <f t="shared" si="503"/>
        <v>#NUM!</v>
      </c>
      <c r="AW760" s="40"/>
      <c r="AY760" s="40"/>
      <c r="BA760" s="18"/>
      <c r="BC760" s="18"/>
      <c r="BD760" s="18"/>
      <c r="BK760" s="18"/>
      <c r="BN760" s="18"/>
      <c r="BY760" s="18"/>
      <c r="CC760" s="18"/>
      <c r="CH760" s="18"/>
      <c r="CS760" s="18"/>
      <c r="CY760" s="34" t="s">
        <v>86</v>
      </c>
    </row>
    <row r="761" spans="1:103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X761" s="9">
        <f t="shared" si="502"/>
        <v>0</v>
      </c>
      <c r="AG761" s="8"/>
      <c r="AI761" s="30"/>
      <c r="AK761" s="30"/>
      <c r="AL761" s="21"/>
      <c r="AM761" s="23" t="e">
        <f t="shared" si="503"/>
        <v>#NUM!</v>
      </c>
      <c r="AW761" s="40"/>
      <c r="AY761" s="40"/>
      <c r="BA761" s="18"/>
      <c r="BC761" s="18"/>
      <c r="BD761" s="18"/>
      <c r="BK761" s="18"/>
      <c r="BN761" s="18"/>
      <c r="BY761" s="18"/>
      <c r="CC761" s="18"/>
      <c r="CH761" s="18"/>
      <c r="CS761" s="18"/>
      <c r="CY761" s="34" t="s">
        <v>86</v>
      </c>
    </row>
    <row r="762" spans="1:103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X762" s="9">
        <f t="shared" si="502"/>
        <v>0</v>
      </c>
      <c r="AG762" s="8"/>
      <c r="AI762" s="30"/>
      <c r="AK762" s="30"/>
      <c r="AL762" s="21"/>
      <c r="AM762" s="23" t="e">
        <f t="shared" si="503"/>
        <v>#NUM!</v>
      </c>
      <c r="AW762" s="40"/>
      <c r="AY762" s="40"/>
      <c r="BA762" s="18"/>
      <c r="BC762" s="18"/>
      <c r="BD762" s="18"/>
      <c r="BK762" s="18"/>
      <c r="BN762" s="18"/>
      <c r="BY762" s="18"/>
      <c r="CC762" s="18"/>
      <c r="CH762" s="18"/>
      <c r="CS762" s="18"/>
      <c r="CY762" s="34" t="s">
        <v>86</v>
      </c>
    </row>
    <row r="763" spans="1:103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X763" s="9">
        <f t="shared" si="502"/>
        <v>0</v>
      </c>
      <c r="AG763" s="8"/>
      <c r="AI763" s="30"/>
      <c r="AK763" s="30"/>
      <c r="AL763" s="21"/>
      <c r="AM763" s="23" t="e">
        <f t="shared" si="503"/>
        <v>#NUM!</v>
      </c>
      <c r="AW763" s="40"/>
      <c r="AY763" s="40"/>
      <c r="BA763" s="18"/>
      <c r="BC763" s="18"/>
      <c r="BD763" s="18"/>
      <c r="BK763" s="18"/>
      <c r="BN763" s="18"/>
      <c r="BY763" s="18"/>
      <c r="CC763" s="18"/>
      <c r="CH763" s="18"/>
      <c r="CS763" s="18"/>
      <c r="CY763" s="34" t="s">
        <v>86</v>
      </c>
    </row>
    <row r="764" spans="1:103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X764" s="9">
        <f t="shared" si="502"/>
        <v>0</v>
      </c>
      <c r="AG764" s="8"/>
      <c r="AI764" s="30"/>
      <c r="AK764" s="30"/>
      <c r="AL764" s="21"/>
      <c r="AM764" s="23" t="e">
        <f t="shared" si="503"/>
        <v>#NUM!</v>
      </c>
      <c r="AW764" s="40"/>
      <c r="AY764" s="40"/>
      <c r="BA764" s="18"/>
      <c r="BC764" s="18"/>
      <c r="BD764" s="18"/>
      <c r="BK764" s="18"/>
      <c r="BN764" s="18"/>
      <c r="BY764" s="18"/>
      <c r="CC764" s="18"/>
      <c r="CH764" s="18"/>
      <c r="CS764" s="18"/>
      <c r="CY764" s="34" t="s">
        <v>86</v>
      </c>
    </row>
    <row r="765" spans="1:103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X765" s="9">
        <f t="shared" si="502"/>
        <v>0</v>
      </c>
      <c r="AG765" s="8"/>
      <c r="AI765" s="30"/>
      <c r="AK765" s="30"/>
      <c r="AL765" s="21"/>
      <c r="AM765" s="23" t="e">
        <f t="shared" si="503"/>
        <v>#NUM!</v>
      </c>
      <c r="AW765" s="40"/>
      <c r="AY765" s="40"/>
      <c r="BA765" s="18"/>
      <c r="BC765" s="18"/>
      <c r="BD765" s="18"/>
      <c r="BK765" s="18"/>
      <c r="BN765" s="18"/>
      <c r="BY765" s="18"/>
      <c r="CC765" s="18"/>
      <c r="CH765" s="18"/>
      <c r="CS765" s="18"/>
      <c r="CY765" s="34" t="s">
        <v>86</v>
      </c>
    </row>
    <row r="766" spans="1:103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X766" s="9">
        <f t="shared" si="502"/>
        <v>0</v>
      </c>
      <c r="AG766" s="8"/>
      <c r="AI766" s="30"/>
      <c r="AK766" s="30"/>
      <c r="AL766" s="21"/>
      <c r="AM766" s="23" t="e">
        <f t="shared" si="503"/>
        <v>#NUM!</v>
      </c>
      <c r="AW766" s="40"/>
      <c r="AY766" s="40"/>
      <c r="BA766" s="18"/>
      <c r="BC766" s="18"/>
      <c r="BD766" s="18"/>
      <c r="BK766" s="18"/>
      <c r="BN766" s="18"/>
      <c r="BY766" s="18"/>
      <c r="CC766" s="18"/>
      <c r="CH766" s="18"/>
      <c r="CS766" s="18"/>
      <c r="CY766" s="34" t="s">
        <v>86</v>
      </c>
    </row>
    <row r="767" spans="1:103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X767" s="9">
        <f t="shared" si="502"/>
        <v>0</v>
      </c>
      <c r="AG767" s="8"/>
      <c r="AI767" s="30"/>
      <c r="AK767" s="30"/>
      <c r="AL767" s="21"/>
      <c r="AM767" s="23" t="e">
        <f t="shared" si="503"/>
        <v>#NUM!</v>
      </c>
      <c r="AW767" s="40"/>
      <c r="AY767" s="40"/>
      <c r="BA767" s="18"/>
      <c r="BC767" s="18"/>
      <c r="BD767" s="18"/>
      <c r="BK767" s="18"/>
      <c r="BN767" s="18"/>
      <c r="BY767" s="18"/>
      <c r="CC767" s="18"/>
      <c r="CH767" s="18"/>
      <c r="CS767" s="18"/>
      <c r="CY767" s="34" t="s">
        <v>86</v>
      </c>
    </row>
    <row r="768" spans="1:103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X768" s="9">
        <f t="shared" si="502"/>
        <v>0</v>
      </c>
      <c r="AG768" s="8"/>
      <c r="AI768" s="30"/>
      <c r="AK768" s="30"/>
      <c r="AL768" s="21"/>
      <c r="AM768" s="23" t="e">
        <f t="shared" si="503"/>
        <v>#NUM!</v>
      </c>
      <c r="AW768" s="40"/>
      <c r="AY768" s="40"/>
      <c r="BA768" s="18"/>
      <c r="BC768" s="18"/>
      <c r="BD768" s="18"/>
      <c r="BK768" s="18"/>
      <c r="BN768" s="18"/>
      <c r="BY768" s="18"/>
      <c r="CC768" s="18"/>
      <c r="CH768" s="18"/>
      <c r="CS768" s="18"/>
      <c r="CY768" s="34" t="s">
        <v>86</v>
      </c>
    </row>
    <row r="769" spans="1:103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X769" s="9">
        <f t="shared" si="502"/>
        <v>0</v>
      </c>
      <c r="AG769" s="8"/>
      <c r="AI769" s="30"/>
      <c r="AK769" s="30"/>
      <c r="AL769" s="21"/>
      <c r="AM769" s="23" t="e">
        <f t="shared" si="503"/>
        <v>#NUM!</v>
      </c>
      <c r="AW769" s="40"/>
      <c r="AY769" s="40"/>
      <c r="BA769" s="18"/>
      <c r="BC769" s="18"/>
      <c r="BD769" s="18"/>
      <c r="BK769" s="18"/>
      <c r="BN769" s="18"/>
      <c r="BY769" s="18"/>
      <c r="CC769" s="18"/>
      <c r="CH769" s="18"/>
      <c r="CS769" s="18"/>
      <c r="CY769" s="34" t="s">
        <v>86</v>
      </c>
    </row>
    <row r="770" spans="1:103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02"/>
        <v>0</v>
      </c>
      <c r="AG770" s="8"/>
      <c r="AI770" s="30"/>
      <c r="AK770" s="30"/>
      <c r="AL770" s="21"/>
      <c r="AM770" s="23" t="e">
        <f t="shared" si="503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CY770" s="34" t="s">
        <v>86</v>
      </c>
    </row>
    <row r="771" spans="1:103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04">COUNTIF(B:B,B771)</f>
        <v>0</v>
      </c>
      <c r="AG771" s="8"/>
      <c r="AI771" s="30"/>
      <c r="AK771" s="30"/>
      <c r="AL771" s="21"/>
      <c r="AM771" s="23" t="e">
        <f t="shared" ref="AM771:AM834" si="505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CY771" s="34" t="s">
        <v>86</v>
      </c>
    </row>
    <row r="772" spans="1:103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04"/>
        <v>0</v>
      </c>
      <c r="AG772" s="8"/>
      <c r="AI772" s="30"/>
      <c r="AK772" s="30"/>
      <c r="AL772" s="21"/>
      <c r="AM772" s="23" t="e">
        <f t="shared" si="505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CY772" s="34" t="s">
        <v>86</v>
      </c>
    </row>
    <row r="773" spans="1:103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04"/>
        <v>0</v>
      </c>
      <c r="AG773" s="8"/>
      <c r="AI773" s="30"/>
      <c r="AK773" s="30"/>
      <c r="AL773" s="21"/>
      <c r="AM773" s="23" t="e">
        <f t="shared" si="505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CY773" s="34" t="s">
        <v>86</v>
      </c>
    </row>
    <row r="774" spans="1:103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04"/>
        <v>0</v>
      </c>
      <c r="AG774" s="8"/>
      <c r="AI774" s="30"/>
      <c r="AK774" s="30"/>
      <c r="AL774" s="21"/>
      <c r="AM774" s="23" t="e">
        <f t="shared" si="505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CY774" s="34" t="s">
        <v>86</v>
      </c>
    </row>
    <row r="775" spans="1:103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04"/>
        <v>0</v>
      </c>
      <c r="AG775" s="8"/>
      <c r="AI775" s="30"/>
      <c r="AK775" s="30"/>
      <c r="AL775" s="21"/>
      <c r="AM775" s="23" t="e">
        <f t="shared" si="505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CY775" s="34" t="s">
        <v>86</v>
      </c>
    </row>
    <row r="776" spans="1:103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04"/>
        <v>0</v>
      </c>
      <c r="AG776" s="8"/>
      <c r="AI776" s="30"/>
      <c r="AK776" s="30"/>
      <c r="AL776" s="21"/>
      <c r="AM776" s="23" t="e">
        <f t="shared" si="505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CY776" s="34" t="s">
        <v>86</v>
      </c>
    </row>
    <row r="777" spans="1:103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04"/>
        <v>0</v>
      </c>
      <c r="AG777" s="8"/>
      <c r="AI777" s="30"/>
      <c r="AK777" s="30"/>
      <c r="AL777" s="21"/>
      <c r="AM777" s="23" t="e">
        <f t="shared" si="505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CY777" s="34" t="s">
        <v>86</v>
      </c>
    </row>
    <row r="778" spans="1:103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04"/>
        <v>0</v>
      </c>
      <c r="AG778" s="8"/>
      <c r="AI778" s="30"/>
      <c r="AK778" s="30"/>
      <c r="AL778" s="21"/>
      <c r="AM778" s="23" t="e">
        <f t="shared" si="505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CY778" s="34" t="s">
        <v>86</v>
      </c>
    </row>
    <row r="779" spans="1:103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04"/>
        <v>0</v>
      </c>
      <c r="AG779" s="8"/>
      <c r="AI779" s="30"/>
      <c r="AK779" s="30"/>
      <c r="AL779" s="21"/>
      <c r="AM779" s="23" t="e">
        <f t="shared" si="505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CY779" s="34" t="s">
        <v>86</v>
      </c>
    </row>
    <row r="780" spans="1:103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04"/>
        <v>0</v>
      </c>
      <c r="AG780" s="8"/>
      <c r="AI780" s="30"/>
      <c r="AK780" s="30"/>
      <c r="AL780" s="21"/>
      <c r="AM780" s="23" t="e">
        <f t="shared" si="505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CY780" s="34" t="s">
        <v>86</v>
      </c>
    </row>
    <row r="781" spans="1:103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04"/>
        <v>0</v>
      </c>
      <c r="AG781" s="8"/>
      <c r="AI781" s="30"/>
      <c r="AK781" s="30"/>
      <c r="AL781" s="21"/>
      <c r="AM781" s="23" t="e">
        <f t="shared" si="505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CY781" s="34" t="s">
        <v>86</v>
      </c>
    </row>
    <row r="782" spans="1:103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04"/>
        <v>0</v>
      </c>
      <c r="AG782" s="8"/>
      <c r="AI782" s="30"/>
      <c r="AK782" s="30"/>
      <c r="AL782" s="21"/>
      <c r="AM782" s="23" t="e">
        <f t="shared" si="505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CY782" s="34" t="s">
        <v>86</v>
      </c>
    </row>
    <row r="783" spans="1:103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04"/>
        <v>0</v>
      </c>
      <c r="AG783" s="8"/>
      <c r="AI783" s="30"/>
      <c r="AK783" s="30"/>
      <c r="AL783" s="21"/>
      <c r="AM783" s="23" t="e">
        <f t="shared" si="505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CY783" s="34" t="s">
        <v>86</v>
      </c>
    </row>
    <row r="784" spans="1:103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04"/>
        <v>0</v>
      </c>
      <c r="AG784" s="8"/>
      <c r="AI784" s="30"/>
      <c r="AK784" s="30"/>
      <c r="AL784" s="21"/>
      <c r="AM784" s="23" t="e">
        <f t="shared" si="505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CY784" s="34" t="s">
        <v>86</v>
      </c>
    </row>
    <row r="785" spans="1:103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04"/>
        <v>0</v>
      </c>
      <c r="AG785" s="8"/>
      <c r="AI785" s="30"/>
      <c r="AK785" s="30"/>
      <c r="AL785" s="21"/>
      <c r="AM785" s="23" t="e">
        <f t="shared" si="505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CY785" s="34" t="s">
        <v>86</v>
      </c>
    </row>
    <row r="786" spans="1:103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04"/>
        <v>0</v>
      </c>
      <c r="AG786" s="8"/>
      <c r="AI786" s="30"/>
      <c r="AK786" s="30"/>
      <c r="AL786" s="21"/>
      <c r="AM786" s="23" t="e">
        <f t="shared" si="505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CY786" s="34" t="s">
        <v>86</v>
      </c>
    </row>
    <row r="787" spans="1:103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04"/>
        <v>0</v>
      </c>
      <c r="AG787" s="8"/>
      <c r="AI787" s="30"/>
      <c r="AK787" s="30"/>
      <c r="AL787" s="21"/>
      <c r="AM787" s="23" t="e">
        <f t="shared" si="505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CY787" s="34" t="s">
        <v>86</v>
      </c>
    </row>
    <row r="788" spans="1:103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04"/>
        <v>0</v>
      </c>
      <c r="AG788" s="8"/>
      <c r="AI788" s="30"/>
      <c r="AK788" s="30"/>
      <c r="AL788" s="21"/>
      <c r="AM788" s="23" t="e">
        <f t="shared" si="505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CY788" s="34" t="s">
        <v>86</v>
      </c>
    </row>
    <row r="789" spans="1:103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04"/>
        <v>0</v>
      </c>
      <c r="AG789" s="8"/>
      <c r="AI789" s="30"/>
      <c r="AK789" s="30"/>
      <c r="AL789" s="21"/>
      <c r="AM789" s="23" t="e">
        <f t="shared" si="505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CY789" s="34" t="s">
        <v>86</v>
      </c>
    </row>
    <row r="790" spans="1:103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04"/>
        <v>0</v>
      </c>
      <c r="AG790" s="8"/>
      <c r="AI790" s="30"/>
      <c r="AK790" s="30"/>
      <c r="AL790" s="21"/>
      <c r="AM790" s="23" t="e">
        <f t="shared" si="505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CY790" s="34" t="s">
        <v>86</v>
      </c>
    </row>
    <row r="791" spans="1:103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04"/>
        <v>0</v>
      </c>
      <c r="AG791" s="8"/>
      <c r="AI791" s="30"/>
      <c r="AK791" s="30"/>
      <c r="AL791" s="21"/>
      <c r="AM791" s="23" t="e">
        <f t="shared" si="505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CY791" s="34" t="s">
        <v>86</v>
      </c>
    </row>
    <row r="792" spans="1:103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04"/>
        <v>0</v>
      </c>
      <c r="AG792" s="8"/>
      <c r="AI792" s="30"/>
      <c r="AK792" s="30"/>
      <c r="AL792" s="21"/>
      <c r="AM792" s="23" t="e">
        <f t="shared" si="505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CY792" s="34" t="s">
        <v>86</v>
      </c>
    </row>
    <row r="793" spans="1:103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04"/>
        <v>0</v>
      </c>
      <c r="AG793" s="8"/>
      <c r="AI793" s="30"/>
      <c r="AK793" s="30"/>
      <c r="AL793" s="21"/>
      <c r="AM793" s="23" t="e">
        <f t="shared" si="505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CY793" s="34" t="s">
        <v>86</v>
      </c>
    </row>
    <row r="794" spans="1:103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04"/>
        <v>0</v>
      </c>
      <c r="AG794" s="8"/>
      <c r="AI794" s="30"/>
      <c r="AK794" s="30"/>
      <c r="AL794" s="21"/>
      <c r="AM794" s="23" t="e">
        <f t="shared" si="505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CY794" s="34" t="s">
        <v>86</v>
      </c>
    </row>
    <row r="795" spans="1:103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04"/>
        <v>0</v>
      </c>
      <c r="AG795" s="8"/>
      <c r="AI795" s="30"/>
      <c r="AK795" s="30"/>
      <c r="AL795" s="21"/>
      <c r="AM795" s="23" t="e">
        <f t="shared" si="505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CY795" s="34" t="s">
        <v>86</v>
      </c>
    </row>
    <row r="796" spans="1:103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04"/>
        <v>0</v>
      </c>
      <c r="AG796" s="8"/>
      <c r="AI796" s="30"/>
      <c r="AK796" s="30"/>
      <c r="AL796" s="21"/>
      <c r="AM796" s="23" t="e">
        <f t="shared" si="505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CY796" s="34" t="s">
        <v>86</v>
      </c>
    </row>
    <row r="797" spans="1:103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04"/>
        <v>0</v>
      </c>
      <c r="AG797" s="8"/>
      <c r="AI797" s="30"/>
      <c r="AK797" s="30"/>
      <c r="AL797" s="21"/>
      <c r="AM797" s="23" t="e">
        <f t="shared" si="505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CY797" s="34" t="s">
        <v>86</v>
      </c>
    </row>
    <row r="798" spans="1:103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04"/>
        <v>0</v>
      </c>
      <c r="AG798" s="8"/>
      <c r="AI798" s="30"/>
      <c r="AK798" s="30"/>
      <c r="AL798" s="21"/>
      <c r="AM798" s="23" t="e">
        <f t="shared" si="505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CY798" s="34" t="s">
        <v>86</v>
      </c>
    </row>
    <row r="799" spans="1:103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04"/>
        <v>0</v>
      </c>
      <c r="AG799" s="8"/>
      <c r="AI799" s="30"/>
      <c r="AK799" s="30"/>
      <c r="AL799" s="21"/>
      <c r="AM799" s="23" t="e">
        <f t="shared" si="505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CY799" s="34" t="s">
        <v>86</v>
      </c>
    </row>
    <row r="800" spans="1:103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04"/>
        <v>0</v>
      </c>
      <c r="AG800" s="8"/>
      <c r="AI800" s="30"/>
      <c r="AK800" s="30"/>
      <c r="AL800" s="21"/>
      <c r="AM800" s="23" t="e">
        <f t="shared" si="505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CY800" s="34" t="s">
        <v>86</v>
      </c>
    </row>
    <row r="801" spans="1:103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04"/>
        <v>0</v>
      </c>
      <c r="AG801" s="8"/>
      <c r="AI801" s="30"/>
      <c r="AK801" s="30"/>
      <c r="AL801" s="21"/>
      <c r="AM801" s="23" t="e">
        <f t="shared" si="505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CY801" s="34" t="s">
        <v>86</v>
      </c>
    </row>
    <row r="802" spans="1:103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04"/>
        <v>0</v>
      </c>
      <c r="AG802" s="8"/>
      <c r="AI802" s="30"/>
      <c r="AK802" s="30"/>
      <c r="AL802" s="21"/>
      <c r="AM802" s="23" t="e">
        <f t="shared" si="505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CY802" s="34" t="s">
        <v>86</v>
      </c>
    </row>
    <row r="803" spans="1:103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04"/>
        <v>0</v>
      </c>
      <c r="AG803" s="8"/>
      <c r="AI803" s="30"/>
      <c r="AK803" s="30"/>
      <c r="AL803" s="21"/>
      <c r="AM803" s="23" t="e">
        <f t="shared" si="505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CY803" s="34" t="s">
        <v>86</v>
      </c>
    </row>
    <row r="804" spans="1:103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04"/>
        <v>0</v>
      </c>
      <c r="AG804" s="8"/>
      <c r="AI804" s="30"/>
      <c r="AK804" s="30"/>
      <c r="AL804" s="21"/>
      <c r="AM804" s="23" t="e">
        <f t="shared" si="505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CY804" s="34" t="s">
        <v>86</v>
      </c>
    </row>
    <row r="805" spans="1:103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04"/>
        <v>0</v>
      </c>
      <c r="AG805" s="8"/>
      <c r="AI805" s="30"/>
      <c r="AK805" s="30"/>
      <c r="AL805" s="21"/>
      <c r="AM805" s="23" t="e">
        <f t="shared" si="505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CY805" s="34" t="s">
        <v>86</v>
      </c>
    </row>
    <row r="806" spans="1:103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04"/>
        <v>0</v>
      </c>
      <c r="AG806" s="8"/>
      <c r="AI806" s="30"/>
      <c r="AK806" s="30"/>
      <c r="AL806" s="21"/>
      <c r="AM806" s="23" t="e">
        <f t="shared" si="505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CY806" s="34" t="s">
        <v>86</v>
      </c>
    </row>
    <row r="807" spans="1:103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04"/>
        <v>0</v>
      </c>
      <c r="AG807" s="8"/>
      <c r="AI807" s="30"/>
      <c r="AK807" s="30"/>
      <c r="AL807" s="21"/>
      <c r="AM807" s="23" t="e">
        <f t="shared" si="505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CY807" s="34" t="s">
        <v>86</v>
      </c>
    </row>
    <row r="808" spans="1:103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04"/>
        <v>0</v>
      </c>
      <c r="AG808" s="8"/>
      <c r="AI808" s="30"/>
      <c r="AK808" s="30"/>
      <c r="AL808" s="21"/>
      <c r="AM808" s="23" t="e">
        <f t="shared" si="505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CY808" s="34" t="s">
        <v>86</v>
      </c>
    </row>
    <row r="809" spans="1:103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04"/>
        <v>0</v>
      </c>
      <c r="AG809" s="8"/>
      <c r="AI809" s="30"/>
      <c r="AK809" s="30"/>
      <c r="AL809" s="21"/>
      <c r="AM809" s="23" t="e">
        <f t="shared" si="505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CY809" s="34" t="s">
        <v>86</v>
      </c>
    </row>
    <row r="810" spans="1:103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04"/>
        <v>0</v>
      </c>
      <c r="AG810" s="8"/>
      <c r="AI810" s="30"/>
      <c r="AK810" s="30"/>
      <c r="AL810" s="21"/>
      <c r="AM810" s="23" t="e">
        <f t="shared" si="505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CY810" s="34" t="s">
        <v>86</v>
      </c>
    </row>
    <row r="811" spans="1:103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04"/>
        <v>0</v>
      </c>
      <c r="AG811" s="8"/>
      <c r="AI811" s="30"/>
      <c r="AK811" s="30"/>
      <c r="AL811" s="21"/>
      <c r="AM811" s="23" t="e">
        <f t="shared" si="505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CY811" s="34" t="s">
        <v>86</v>
      </c>
    </row>
    <row r="812" spans="1:103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04"/>
        <v>0</v>
      </c>
      <c r="AG812" s="8"/>
      <c r="AI812" s="30"/>
      <c r="AK812" s="30"/>
      <c r="AL812" s="21"/>
      <c r="AM812" s="23" t="e">
        <f t="shared" si="505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CY812" s="34" t="s">
        <v>86</v>
      </c>
    </row>
    <row r="813" spans="1:103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04"/>
        <v>0</v>
      </c>
      <c r="AG813" s="8"/>
      <c r="AI813" s="30"/>
      <c r="AK813" s="30"/>
      <c r="AL813" s="21"/>
      <c r="AM813" s="23" t="e">
        <f t="shared" si="505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CY813" s="34" t="s">
        <v>86</v>
      </c>
    </row>
    <row r="814" spans="1:103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04"/>
        <v>0</v>
      </c>
      <c r="AG814" s="8"/>
      <c r="AI814" s="30"/>
      <c r="AK814" s="30"/>
      <c r="AL814" s="21"/>
      <c r="AM814" s="23" t="e">
        <f t="shared" si="505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CY814" s="34" t="s">
        <v>86</v>
      </c>
    </row>
    <row r="815" spans="1:103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04"/>
        <v>0</v>
      </c>
      <c r="AG815" s="8"/>
      <c r="AI815" s="30"/>
      <c r="AK815" s="30"/>
      <c r="AL815" s="21"/>
      <c r="AM815" s="23" t="e">
        <f t="shared" si="505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CY815" s="34" t="s">
        <v>86</v>
      </c>
    </row>
    <row r="816" spans="1:103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04"/>
        <v>0</v>
      </c>
      <c r="AG816" s="8"/>
      <c r="AI816" s="30"/>
      <c r="AK816" s="30"/>
      <c r="AL816" s="21"/>
      <c r="AM816" s="23" t="e">
        <f t="shared" si="505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CY816" s="34" t="s">
        <v>86</v>
      </c>
    </row>
    <row r="817" spans="1:103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04"/>
        <v>0</v>
      </c>
      <c r="AG817" s="8"/>
      <c r="AI817" s="30"/>
      <c r="AK817" s="30"/>
      <c r="AL817" s="21"/>
      <c r="AM817" s="23" t="e">
        <f t="shared" si="505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CY817" s="34" t="s">
        <v>86</v>
      </c>
    </row>
    <row r="818" spans="1:103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04"/>
        <v>0</v>
      </c>
      <c r="AG818" s="8"/>
      <c r="AI818" s="30"/>
      <c r="AK818" s="30"/>
      <c r="AL818" s="21"/>
      <c r="AM818" s="23" t="e">
        <f t="shared" si="505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CY818" s="34" t="s">
        <v>86</v>
      </c>
    </row>
    <row r="819" spans="1:103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04"/>
        <v>0</v>
      </c>
      <c r="AG819" s="8"/>
      <c r="AI819" s="30"/>
      <c r="AK819" s="30"/>
      <c r="AL819" s="21"/>
      <c r="AM819" s="23" t="e">
        <f t="shared" si="505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CY819" s="34" t="s">
        <v>86</v>
      </c>
    </row>
    <row r="820" spans="1:103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04"/>
        <v>0</v>
      </c>
      <c r="AG820" s="8"/>
      <c r="AI820" s="30"/>
      <c r="AK820" s="30"/>
      <c r="AL820" s="21"/>
      <c r="AM820" s="23" t="e">
        <f t="shared" si="505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CY820" s="34" t="s">
        <v>86</v>
      </c>
    </row>
    <row r="821" spans="1:103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04"/>
        <v>0</v>
      </c>
      <c r="AG821" s="8"/>
      <c r="AI821" s="30"/>
      <c r="AK821" s="30"/>
      <c r="AL821" s="21"/>
      <c r="AM821" s="23" t="e">
        <f t="shared" si="505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CY821" s="34" t="s">
        <v>86</v>
      </c>
    </row>
    <row r="822" spans="1:103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04"/>
        <v>0</v>
      </c>
      <c r="AG822" s="8"/>
      <c r="AI822" s="30"/>
      <c r="AK822" s="30"/>
      <c r="AL822" s="21"/>
      <c r="AM822" s="23" t="e">
        <f t="shared" si="505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CY822" s="34" t="s">
        <v>86</v>
      </c>
    </row>
    <row r="823" spans="1:103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04"/>
        <v>0</v>
      </c>
      <c r="AG823" s="8"/>
      <c r="AI823" s="30"/>
      <c r="AK823" s="30"/>
      <c r="AL823" s="21"/>
      <c r="AM823" s="23" t="e">
        <f t="shared" si="505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CY823" s="34" t="s">
        <v>86</v>
      </c>
    </row>
    <row r="824" spans="1:103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04"/>
        <v>0</v>
      </c>
      <c r="AG824" s="8"/>
      <c r="AI824" s="30"/>
      <c r="AK824" s="30"/>
      <c r="AL824" s="21"/>
      <c r="AM824" s="23" t="e">
        <f t="shared" si="505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CY824" s="34" t="s">
        <v>86</v>
      </c>
    </row>
    <row r="825" spans="1:103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04"/>
        <v>0</v>
      </c>
      <c r="AG825" s="8"/>
      <c r="AI825" s="30"/>
      <c r="AK825" s="30"/>
      <c r="AL825" s="21"/>
      <c r="AM825" s="23" t="e">
        <f t="shared" si="505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CY825" s="34" t="s">
        <v>86</v>
      </c>
    </row>
    <row r="826" spans="1:103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04"/>
        <v>0</v>
      </c>
      <c r="AG826" s="8"/>
      <c r="AI826" s="30"/>
      <c r="AK826" s="30"/>
      <c r="AL826" s="21"/>
      <c r="AM826" s="23" t="e">
        <f t="shared" si="505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CY826" s="34" t="s">
        <v>86</v>
      </c>
    </row>
    <row r="827" spans="1:103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04"/>
        <v>0</v>
      </c>
      <c r="AG827" s="8"/>
      <c r="AI827" s="30"/>
      <c r="AK827" s="30"/>
      <c r="AL827" s="21"/>
      <c r="AM827" s="23" t="e">
        <f t="shared" si="505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CY827" s="34" t="s">
        <v>86</v>
      </c>
    </row>
    <row r="828" spans="1:103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04"/>
        <v>0</v>
      </c>
      <c r="AG828" s="8"/>
      <c r="AI828" s="30"/>
      <c r="AK828" s="30"/>
      <c r="AL828" s="21"/>
      <c r="AM828" s="23" t="e">
        <f t="shared" si="505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CY828" s="34" t="s">
        <v>86</v>
      </c>
    </row>
    <row r="829" spans="1:103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04"/>
        <v>0</v>
      </c>
      <c r="AG829" s="8"/>
      <c r="AI829" s="30"/>
      <c r="AK829" s="30"/>
      <c r="AL829" s="21"/>
      <c r="AM829" s="23" t="e">
        <f t="shared" si="505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CY829" s="34" t="s">
        <v>86</v>
      </c>
    </row>
    <row r="830" spans="1:103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04"/>
        <v>0</v>
      </c>
      <c r="AG830" s="8"/>
      <c r="AI830" s="30"/>
      <c r="AK830" s="30"/>
      <c r="AL830" s="21"/>
      <c r="AM830" s="23" t="e">
        <f t="shared" si="505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CY830" s="34" t="s">
        <v>86</v>
      </c>
    </row>
    <row r="831" spans="1:103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04"/>
        <v>0</v>
      </c>
      <c r="AG831" s="8"/>
      <c r="AI831" s="30"/>
      <c r="AK831" s="30"/>
      <c r="AL831" s="21"/>
      <c r="AM831" s="23" t="e">
        <f t="shared" si="505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CY831" s="34" t="s">
        <v>86</v>
      </c>
    </row>
    <row r="832" spans="1:103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04"/>
        <v>0</v>
      </c>
      <c r="AG832" s="8"/>
      <c r="AI832" s="30"/>
      <c r="AK832" s="30"/>
      <c r="AL832" s="21"/>
      <c r="AM832" s="23" t="e">
        <f t="shared" si="505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CY832" s="34" t="s">
        <v>86</v>
      </c>
    </row>
    <row r="833" spans="1:103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04"/>
        <v>0</v>
      </c>
      <c r="AG833" s="8"/>
      <c r="AI833" s="30"/>
      <c r="AK833" s="30"/>
      <c r="AL833" s="21"/>
      <c r="AM833" s="23" t="e">
        <f t="shared" si="505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CY833" s="34" t="s">
        <v>86</v>
      </c>
    </row>
    <row r="834" spans="1:103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04"/>
        <v>0</v>
      </c>
      <c r="AG834" s="8"/>
      <c r="AI834" s="30"/>
      <c r="AK834" s="30"/>
      <c r="AL834" s="21"/>
      <c r="AM834" s="23" t="e">
        <f t="shared" si="505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CY834" s="34" t="s">
        <v>86</v>
      </c>
    </row>
    <row r="835" spans="1:103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06">COUNTIF(B:B,B835)</f>
        <v>0</v>
      </c>
      <c r="AG835" s="8"/>
      <c r="AI835" s="30"/>
      <c r="AK835" s="30"/>
      <c r="AL835" s="21"/>
      <c r="AM835" s="23" t="e">
        <f t="shared" ref="AM835:AM898" si="507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CY835" s="34" t="s">
        <v>86</v>
      </c>
    </row>
    <row r="836" spans="1:103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06"/>
        <v>0</v>
      </c>
      <c r="AG836" s="8"/>
      <c r="AI836" s="30"/>
      <c r="AK836" s="30"/>
      <c r="AL836" s="21"/>
      <c r="AM836" s="23" t="e">
        <f t="shared" si="507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CY836" s="34" t="s">
        <v>86</v>
      </c>
    </row>
    <row r="837" spans="1:103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06"/>
        <v>0</v>
      </c>
      <c r="AG837" s="8"/>
      <c r="AI837" s="30"/>
      <c r="AK837" s="30"/>
      <c r="AL837" s="21"/>
      <c r="AM837" s="23" t="e">
        <f t="shared" si="507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CY837" s="34" t="s">
        <v>86</v>
      </c>
    </row>
    <row r="838" spans="1:103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06"/>
        <v>0</v>
      </c>
      <c r="AG838" s="8"/>
      <c r="AI838" s="30"/>
      <c r="AK838" s="30"/>
      <c r="AL838" s="21"/>
      <c r="AM838" s="23" t="e">
        <f t="shared" si="507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CY838" s="34" t="s">
        <v>86</v>
      </c>
    </row>
    <row r="839" spans="1:103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06"/>
        <v>0</v>
      </c>
      <c r="AG839" s="8"/>
      <c r="AI839" s="30"/>
      <c r="AK839" s="30"/>
      <c r="AL839" s="21"/>
      <c r="AM839" s="23" t="e">
        <f t="shared" si="507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CY839" s="34" t="s">
        <v>86</v>
      </c>
    </row>
    <row r="840" spans="1:103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06"/>
        <v>0</v>
      </c>
      <c r="AG840" s="8"/>
      <c r="AI840" s="30"/>
      <c r="AK840" s="30"/>
      <c r="AL840" s="21"/>
      <c r="AM840" s="23" t="e">
        <f t="shared" si="507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CY840" s="34" t="s">
        <v>86</v>
      </c>
    </row>
    <row r="841" spans="1:103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06"/>
        <v>0</v>
      </c>
      <c r="AG841" s="8"/>
      <c r="AI841" s="30"/>
      <c r="AK841" s="30"/>
      <c r="AL841" s="21"/>
      <c r="AM841" s="23" t="e">
        <f t="shared" si="507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CY841" s="34" t="s">
        <v>86</v>
      </c>
    </row>
    <row r="842" spans="1:103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06"/>
        <v>0</v>
      </c>
      <c r="AG842" s="8"/>
      <c r="AI842" s="30"/>
      <c r="AK842" s="30"/>
      <c r="AL842" s="21"/>
      <c r="AM842" s="23" t="e">
        <f t="shared" si="507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CY842" s="34" t="s">
        <v>86</v>
      </c>
    </row>
    <row r="843" spans="1:103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06"/>
        <v>0</v>
      </c>
      <c r="AG843" s="8"/>
      <c r="AI843" s="30"/>
      <c r="AK843" s="30"/>
      <c r="AL843" s="21"/>
      <c r="AM843" s="23" t="e">
        <f t="shared" si="507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CY843" s="34" t="s">
        <v>86</v>
      </c>
    </row>
    <row r="844" spans="1:103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06"/>
        <v>0</v>
      </c>
      <c r="AG844" s="8"/>
      <c r="AI844" s="30"/>
      <c r="AK844" s="30"/>
      <c r="AL844" s="21"/>
      <c r="AM844" s="23" t="e">
        <f t="shared" si="507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CY844" s="34" t="s">
        <v>86</v>
      </c>
    </row>
    <row r="845" spans="1:103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06"/>
        <v>0</v>
      </c>
      <c r="AG845" s="8"/>
      <c r="AI845" s="30"/>
      <c r="AK845" s="30"/>
      <c r="AL845" s="21"/>
      <c r="AM845" s="23" t="e">
        <f t="shared" si="507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CY845" s="34" t="s">
        <v>86</v>
      </c>
    </row>
    <row r="846" spans="1:103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06"/>
        <v>0</v>
      </c>
      <c r="AG846" s="8"/>
      <c r="AI846" s="30"/>
      <c r="AK846" s="30"/>
      <c r="AL846" s="21"/>
      <c r="AM846" s="23" t="e">
        <f t="shared" si="507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CY846" s="34" t="s">
        <v>86</v>
      </c>
    </row>
    <row r="847" spans="1:103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06"/>
        <v>0</v>
      </c>
      <c r="AG847" s="8"/>
      <c r="AI847" s="30"/>
      <c r="AK847" s="30"/>
      <c r="AL847" s="21"/>
      <c r="AM847" s="23" t="e">
        <f t="shared" si="507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CY847" s="34" t="s">
        <v>86</v>
      </c>
    </row>
    <row r="848" spans="1:103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06"/>
        <v>0</v>
      </c>
      <c r="AG848" s="8"/>
      <c r="AI848" s="30"/>
      <c r="AK848" s="30"/>
      <c r="AL848" s="21"/>
      <c r="AM848" s="23" t="e">
        <f t="shared" si="507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CY848" s="34" t="s">
        <v>86</v>
      </c>
    </row>
    <row r="849" spans="1:103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06"/>
        <v>0</v>
      </c>
      <c r="AG849" s="8"/>
      <c r="AI849" s="30"/>
      <c r="AK849" s="30"/>
      <c r="AL849" s="21"/>
      <c r="AM849" s="23" t="e">
        <f t="shared" si="507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CY849" s="34" t="s">
        <v>86</v>
      </c>
    </row>
    <row r="850" spans="1:103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06"/>
        <v>0</v>
      </c>
      <c r="AG850" s="8"/>
      <c r="AI850" s="30"/>
      <c r="AK850" s="30"/>
      <c r="AL850" s="21"/>
      <c r="AM850" s="23" t="e">
        <f t="shared" si="507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CY850" s="34" t="s">
        <v>86</v>
      </c>
    </row>
    <row r="851" spans="1:103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06"/>
        <v>0</v>
      </c>
      <c r="AG851" s="8"/>
      <c r="AI851" s="30"/>
      <c r="AK851" s="30"/>
      <c r="AL851" s="21"/>
      <c r="AM851" s="23" t="e">
        <f t="shared" si="507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CY851" s="34" t="s">
        <v>86</v>
      </c>
    </row>
    <row r="852" spans="1:103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06"/>
        <v>0</v>
      </c>
      <c r="AG852" s="8"/>
      <c r="AI852" s="30"/>
      <c r="AK852" s="30"/>
      <c r="AL852" s="21"/>
      <c r="AM852" s="23" t="e">
        <f t="shared" si="507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CY852" s="34" t="s">
        <v>86</v>
      </c>
    </row>
    <row r="853" spans="1:103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06"/>
        <v>0</v>
      </c>
      <c r="AG853" s="8"/>
      <c r="AI853" s="30"/>
      <c r="AK853" s="30"/>
      <c r="AL853" s="21"/>
      <c r="AM853" s="23" t="e">
        <f t="shared" si="507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CY853" s="34" t="s">
        <v>86</v>
      </c>
    </row>
    <row r="854" spans="1:103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06"/>
        <v>0</v>
      </c>
      <c r="AG854" s="8"/>
      <c r="AI854" s="30"/>
      <c r="AK854" s="30"/>
      <c r="AL854" s="21"/>
      <c r="AM854" s="23" t="e">
        <f t="shared" si="507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CY854" s="34" t="s">
        <v>86</v>
      </c>
    </row>
    <row r="855" spans="1:103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06"/>
        <v>0</v>
      </c>
      <c r="AG855" s="8"/>
      <c r="AI855" s="30"/>
      <c r="AK855" s="30"/>
      <c r="AL855" s="21"/>
      <c r="AM855" s="23" t="e">
        <f t="shared" si="507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CY855" s="34" t="s">
        <v>86</v>
      </c>
    </row>
    <row r="856" spans="1:103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06"/>
        <v>0</v>
      </c>
      <c r="AG856" s="8"/>
      <c r="AI856" s="30"/>
      <c r="AK856" s="30"/>
      <c r="AL856" s="21"/>
      <c r="AM856" s="23" t="e">
        <f t="shared" si="507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CY856" s="34" t="s">
        <v>86</v>
      </c>
    </row>
    <row r="857" spans="1:103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06"/>
        <v>0</v>
      </c>
      <c r="AG857" s="8"/>
      <c r="AI857" s="30"/>
      <c r="AK857" s="30"/>
      <c r="AL857" s="21"/>
      <c r="AM857" s="23" t="e">
        <f t="shared" si="507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CY857" s="34" t="s">
        <v>86</v>
      </c>
    </row>
    <row r="858" spans="1:103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06"/>
        <v>0</v>
      </c>
      <c r="AG858" s="8"/>
      <c r="AI858" s="30"/>
      <c r="AK858" s="30"/>
      <c r="AL858" s="21"/>
      <c r="AM858" s="23" t="e">
        <f t="shared" si="507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CY858" s="34" t="s">
        <v>86</v>
      </c>
    </row>
    <row r="859" spans="1:103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06"/>
        <v>0</v>
      </c>
      <c r="AG859" s="8"/>
      <c r="AI859" s="30"/>
      <c r="AK859" s="30"/>
      <c r="AL859" s="21"/>
      <c r="AM859" s="23" t="e">
        <f t="shared" si="507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CY859" s="34" t="s">
        <v>86</v>
      </c>
    </row>
    <row r="860" spans="1:103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06"/>
        <v>0</v>
      </c>
      <c r="AG860" s="8"/>
      <c r="AI860" s="30"/>
      <c r="AK860" s="30"/>
      <c r="AL860" s="21"/>
      <c r="AM860" s="23" t="e">
        <f t="shared" si="507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CY860" s="34" t="s">
        <v>86</v>
      </c>
    </row>
    <row r="861" spans="1:103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06"/>
        <v>0</v>
      </c>
      <c r="AG861" s="8"/>
      <c r="AI861" s="30"/>
      <c r="AK861" s="30"/>
      <c r="AL861" s="21"/>
      <c r="AM861" s="23" t="e">
        <f t="shared" si="507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CY861" s="34" t="s">
        <v>86</v>
      </c>
    </row>
    <row r="862" spans="1:103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06"/>
        <v>0</v>
      </c>
      <c r="AG862" s="8"/>
      <c r="AI862" s="30"/>
      <c r="AK862" s="30"/>
      <c r="AL862" s="21"/>
      <c r="AM862" s="23" t="e">
        <f t="shared" si="507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CY862" s="34" t="s">
        <v>86</v>
      </c>
    </row>
    <row r="863" spans="1:103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06"/>
        <v>0</v>
      </c>
      <c r="AG863" s="8"/>
      <c r="AI863" s="30"/>
      <c r="AK863" s="30"/>
      <c r="AL863" s="21"/>
      <c r="AM863" s="23" t="e">
        <f t="shared" si="507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CY863" s="34" t="s">
        <v>86</v>
      </c>
    </row>
    <row r="864" spans="1:103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06"/>
        <v>0</v>
      </c>
      <c r="AG864" s="8"/>
      <c r="AI864" s="30"/>
      <c r="AK864" s="30"/>
      <c r="AL864" s="21"/>
      <c r="AM864" s="23" t="e">
        <f t="shared" si="507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CY864" s="34" t="s">
        <v>86</v>
      </c>
    </row>
    <row r="865" spans="1:103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06"/>
        <v>0</v>
      </c>
      <c r="AG865" s="8"/>
      <c r="AI865" s="30"/>
      <c r="AK865" s="30"/>
      <c r="AL865" s="21"/>
      <c r="AM865" s="23" t="e">
        <f t="shared" si="507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CY865" s="34" t="s">
        <v>86</v>
      </c>
    </row>
    <row r="866" spans="1:103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06"/>
        <v>0</v>
      </c>
      <c r="AG866" s="8"/>
      <c r="AI866" s="30"/>
      <c r="AK866" s="30"/>
      <c r="AL866" s="21"/>
      <c r="AM866" s="23" t="e">
        <f t="shared" si="507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CY866" s="34" t="s">
        <v>86</v>
      </c>
    </row>
    <row r="867" spans="1:103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06"/>
        <v>0</v>
      </c>
      <c r="AG867" s="8"/>
      <c r="AI867" s="30"/>
      <c r="AK867" s="30"/>
      <c r="AL867" s="21"/>
      <c r="AM867" s="23" t="e">
        <f t="shared" si="507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CY867" s="34" t="s">
        <v>86</v>
      </c>
    </row>
    <row r="868" spans="1:103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06"/>
        <v>0</v>
      </c>
      <c r="AG868" s="8"/>
      <c r="AI868" s="30"/>
      <c r="AK868" s="30"/>
      <c r="AL868" s="21"/>
      <c r="AM868" s="23" t="e">
        <f t="shared" si="507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CY868" s="34" t="s">
        <v>86</v>
      </c>
    </row>
    <row r="869" spans="1:103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06"/>
        <v>0</v>
      </c>
      <c r="AG869" s="8"/>
      <c r="AI869" s="30"/>
      <c r="AK869" s="30"/>
      <c r="AL869" s="21"/>
      <c r="AM869" s="23" t="e">
        <f t="shared" si="507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CY869" s="34" t="s">
        <v>86</v>
      </c>
    </row>
    <row r="870" spans="1:103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06"/>
        <v>0</v>
      </c>
      <c r="AG870" s="8"/>
      <c r="AI870" s="30"/>
      <c r="AK870" s="30"/>
      <c r="AL870" s="21"/>
      <c r="AM870" s="23" t="e">
        <f t="shared" si="507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CY870" s="34" t="s">
        <v>86</v>
      </c>
    </row>
    <row r="871" spans="1:103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06"/>
        <v>0</v>
      </c>
      <c r="AG871" s="8"/>
      <c r="AI871" s="30"/>
      <c r="AK871" s="30"/>
      <c r="AL871" s="21"/>
      <c r="AM871" s="23" t="e">
        <f t="shared" si="507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CY871" s="34" t="s">
        <v>86</v>
      </c>
    </row>
    <row r="872" spans="1:103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06"/>
        <v>0</v>
      </c>
      <c r="AG872" s="8"/>
      <c r="AI872" s="30"/>
      <c r="AK872" s="30"/>
      <c r="AL872" s="21"/>
      <c r="AM872" s="23" t="e">
        <f t="shared" si="507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CY872" s="34" t="s">
        <v>86</v>
      </c>
    </row>
    <row r="873" spans="1:103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06"/>
        <v>0</v>
      </c>
      <c r="AG873" s="8"/>
      <c r="AI873" s="30"/>
      <c r="AK873" s="30"/>
      <c r="AL873" s="21"/>
      <c r="AM873" s="23" t="e">
        <f t="shared" si="507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CY873" s="34" t="s">
        <v>86</v>
      </c>
    </row>
    <row r="874" spans="1:103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06"/>
        <v>0</v>
      </c>
      <c r="AG874" s="8"/>
      <c r="AI874" s="30"/>
      <c r="AK874" s="30"/>
      <c r="AL874" s="21"/>
      <c r="AM874" s="23" t="e">
        <f t="shared" si="507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CY874" s="34" t="s">
        <v>86</v>
      </c>
    </row>
    <row r="875" spans="1:103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06"/>
        <v>0</v>
      </c>
      <c r="AG875" s="8"/>
      <c r="AI875" s="30"/>
      <c r="AK875" s="30"/>
      <c r="AL875" s="21"/>
      <c r="AM875" s="23" t="e">
        <f t="shared" si="507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CY875" s="34" t="s">
        <v>86</v>
      </c>
    </row>
    <row r="876" spans="1:103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06"/>
        <v>0</v>
      </c>
      <c r="AG876" s="8"/>
      <c r="AI876" s="30"/>
      <c r="AK876" s="30"/>
      <c r="AL876" s="21"/>
      <c r="AM876" s="23" t="e">
        <f t="shared" si="507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CY876" s="34" t="s">
        <v>86</v>
      </c>
    </row>
    <row r="877" spans="1:103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06"/>
        <v>0</v>
      </c>
      <c r="AG877" s="8"/>
      <c r="AI877" s="30"/>
      <c r="AK877" s="30"/>
      <c r="AL877" s="21"/>
      <c r="AM877" s="23" t="e">
        <f t="shared" si="507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CY877" s="34" t="s">
        <v>86</v>
      </c>
    </row>
    <row r="878" spans="1:103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06"/>
        <v>0</v>
      </c>
      <c r="AG878" s="8"/>
      <c r="AI878" s="30"/>
      <c r="AK878" s="30"/>
      <c r="AL878" s="21"/>
      <c r="AM878" s="23" t="e">
        <f t="shared" si="507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CY878" s="34" t="s">
        <v>86</v>
      </c>
    </row>
    <row r="879" spans="1:103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06"/>
        <v>0</v>
      </c>
      <c r="AG879" s="8"/>
      <c r="AI879" s="30"/>
      <c r="AK879" s="30"/>
      <c r="AL879" s="21"/>
      <c r="AM879" s="23" t="e">
        <f t="shared" si="507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CY879" s="34" t="s">
        <v>86</v>
      </c>
    </row>
    <row r="880" spans="1:103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06"/>
        <v>0</v>
      </c>
      <c r="AG880" s="8"/>
      <c r="AI880" s="30"/>
      <c r="AK880" s="30"/>
      <c r="AL880" s="21"/>
      <c r="AM880" s="23" t="e">
        <f t="shared" si="507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CY880" s="34" t="s">
        <v>86</v>
      </c>
    </row>
    <row r="881" spans="1:103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06"/>
        <v>0</v>
      </c>
      <c r="AG881" s="8"/>
      <c r="AI881" s="30"/>
      <c r="AK881" s="30"/>
      <c r="AL881" s="21"/>
      <c r="AM881" s="23" t="e">
        <f t="shared" si="507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CY881" s="34" t="s">
        <v>86</v>
      </c>
    </row>
    <row r="882" spans="1:103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06"/>
        <v>0</v>
      </c>
      <c r="AG882" s="8"/>
      <c r="AI882" s="30"/>
      <c r="AK882" s="30"/>
      <c r="AL882" s="21"/>
      <c r="AM882" s="23" t="e">
        <f t="shared" si="507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CY882" s="34" t="s">
        <v>86</v>
      </c>
    </row>
    <row r="883" spans="1:103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06"/>
        <v>0</v>
      </c>
      <c r="AG883" s="8"/>
      <c r="AI883" s="30"/>
      <c r="AK883" s="30"/>
      <c r="AL883" s="21"/>
      <c r="AM883" s="23" t="e">
        <f t="shared" si="507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CY883" s="34" t="s">
        <v>86</v>
      </c>
    </row>
    <row r="884" spans="1:103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06"/>
        <v>0</v>
      </c>
      <c r="AG884" s="8"/>
      <c r="AI884" s="30"/>
      <c r="AK884" s="30"/>
      <c r="AL884" s="21"/>
      <c r="AM884" s="23" t="e">
        <f t="shared" si="507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CY884" s="34" t="s">
        <v>86</v>
      </c>
    </row>
    <row r="885" spans="1:103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06"/>
        <v>0</v>
      </c>
      <c r="AG885" s="8"/>
      <c r="AI885" s="30"/>
      <c r="AK885" s="30"/>
      <c r="AL885" s="21"/>
      <c r="AM885" s="23" t="e">
        <f t="shared" si="507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CY885" s="34" t="s">
        <v>86</v>
      </c>
    </row>
    <row r="886" spans="1:103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06"/>
        <v>0</v>
      </c>
      <c r="AG886" s="8"/>
      <c r="AI886" s="30"/>
      <c r="AK886" s="30"/>
      <c r="AL886" s="21"/>
      <c r="AM886" s="23" t="e">
        <f t="shared" si="507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CY886" s="34" t="s">
        <v>86</v>
      </c>
    </row>
    <row r="887" spans="1:103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06"/>
        <v>0</v>
      </c>
      <c r="AG887" s="8"/>
      <c r="AI887" s="30"/>
      <c r="AK887" s="30"/>
      <c r="AL887" s="21"/>
      <c r="AM887" s="23" t="e">
        <f t="shared" si="507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CY887" s="34" t="s">
        <v>86</v>
      </c>
    </row>
    <row r="888" spans="1:103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06"/>
        <v>0</v>
      </c>
      <c r="AG888" s="8"/>
      <c r="AI888" s="30"/>
      <c r="AK888" s="30"/>
      <c r="AL888" s="21"/>
      <c r="AM888" s="23" t="e">
        <f t="shared" si="507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CY888" s="34" t="s">
        <v>86</v>
      </c>
    </row>
    <row r="889" spans="1:103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06"/>
        <v>0</v>
      </c>
      <c r="AG889" s="8"/>
      <c r="AI889" s="30"/>
      <c r="AK889" s="30"/>
      <c r="AL889" s="21"/>
      <c r="AM889" s="23" t="e">
        <f t="shared" si="507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CY889" s="34" t="s">
        <v>86</v>
      </c>
    </row>
    <row r="890" spans="1:103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06"/>
        <v>0</v>
      </c>
      <c r="AG890" s="8"/>
      <c r="AI890" s="30"/>
      <c r="AK890" s="30"/>
      <c r="AL890" s="21"/>
      <c r="AM890" s="23" t="e">
        <f t="shared" si="507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CY890" s="34" t="s">
        <v>86</v>
      </c>
    </row>
    <row r="891" spans="1:103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06"/>
        <v>0</v>
      </c>
      <c r="AG891" s="8"/>
      <c r="AI891" s="30"/>
      <c r="AK891" s="30"/>
      <c r="AL891" s="21"/>
      <c r="AM891" s="23" t="e">
        <f t="shared" si="507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CY891" s="34" t="s">
        <v>86</v>
      </c>
    </row>
    <row r="892" spans="1:103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06"/>
        <v>0</v>
      </c>
      <c r="AG892" s="8"/>
      <c r="AI892" s="30"/>
      <c r="AK892" s="30"/>
      <c r="AL892" s="21"/>
      <c r="AM892" s="23" t="e">
        <f t="shared" si="507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CY892" s="34" t="s">
        <v>86</v>
      </c>
    </row>
    <row r="893" spans="1:103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06"/>
        <v>0</v>
      </c>
      <c r="AG893" s="8"/>
      <c r="AI893" s="30"/>
      <c r="AK893" s="30"/>
      <c r="AL893" s="21"/>
      <c r="AM893" s="23" t="e">
        <f t="shared" si="507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CY893" s="34" t="s">
        <v>86</v>
      </c>
    </row>
    <row r="894" spans="1:103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06"/>
        <v>0</v>
      </c>
      <c r="AG894" s="8"/>
      <c r="AI894" s="30"/>
      <c r="AK894" s="30"/>
      <c r="AL894" s="21"/>
      <c r="AM894" s="23" t="e">
        <f t="shared" si="507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CY894" s="34" t="s">
        <v>86</v>
      </c>
    </row>
    <row r="895" spans="1:103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06"/>
        <v>0</v>
      </c>
      <c r="AG895" s="8"/>
      <c r="AI895" s="30"/>
      <c r="AK895" s="30"/>
      <c r="AL895" s="21"/>
      <c r="AM895" s="23" t="e">
        <f t="shared" si="507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CY895" s="34" t="s">
        <v>86</v>
      </c>
    </row>
    <row r="896" spans="1:103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06"/>
        <v>0</v>
      </c>
      <c r="AG896" s="8"/>
      <c r="AI896" s="30"/>
      <c r="AK896" s="30"/>
      <c r="AL896" s="21"/>
      <c r="AM896" s="23" t="e">
        <f t="shared" si="507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CY896" s="34" t="s">
        <v>86</v>
      </c>
    </row>
    <row r="897" spans="1:103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06"/>
        <v>0</v>
      </c>
      <c r="AG897" s="8"/>
      <c r="AI897" s="30"/>
      <c r="AK897" s="30"/>
      <c r="AL897" s="21"/>
      <c r="AM897" s="23" t="e">
        <f t="shared" si="507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CY897" s="34" t="s">
        <v>86</v>
      </c>
    </row>
    <row r="898" spans="1:103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06"/>
        <v>0</v>
      </c>
      <c r="AG898" s="8"/>
      <c r="AI898" s="30"/>
      <c r="AK898" s="30"/>
      <c r="AL898" s="21"/>
      <c r="AM898" s="23" t="e">
        <f t="shared" si="507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CY898" s="34" t="s">
        <v>86</v>
      </c>
    </row>
    <row r="899" spans="1:103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08">COUNTIF(B:B,B899)</f>
        <v>0</v>
      </c>
      <c r="AG899" s="8"/>
      <c r="AI899" s="30"/>
      <c r="AK899" s="30"/>
      <c r="AL899" s="21"/>
      <c r="AM899" s="23" t="e">
        <f t="shared" ref="AM899:AM962" si="509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CY899" s="34" t="s">
        <v>86</v>
      </c>
    </row>
    <row r="900" spans="1:103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08"/>
        <v>0</v>
      </c>
      <c r="AG900" s="8"/>
      <c r="AI900" s="30"/>
      <c r="AK900" s="30"/>
      <c r="AL900" s="21"/>
      <c r="AM900" s="23" t="e">
        <f t="shared" si="509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CY900" s="34" t="s">
        <v>86</v>
      </c>
    </row>
    <row r="901" spans="1:103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08"/>
        <v>0</v>
      </c>
      <c r="AG901" s="8"/>
      <c r="AI901" s="30"/>
      <c r="AK901" s="30"/>
      <c r="AL901" s="21"/>
      <c r="AM901" s="23" t="e">
        <f t="shared" si="509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CY901" s="34" t="s">
        <v>86</v>
      </c>
    </row>
    <row r="902" spans="1:103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08"/>
        <v>0</v>
      </c>
      <c r="AG902" s="8"/>
      <c r="AI902" s="30"/>
      <c r="AK902" s="30"/>
      <c r="AL902" s="21"/>
      <c r="AM902" s="23" t="e">
        <f t="shared" si="509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CY902" s="34" t="s">
        <v>86</v>
      </c>
    </row>
    <row r="903" spans="1:103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08"/>
        <v>0</v>
      </c>
      <c r="AG903" s="8"/>
      <c r="AI903" s="30"/>
      <c r="AK903" s="30"/>
      <c r="AL903" s="21"/>
      <c r="AM903" s="23" t="e">
        <f t="shared" si="509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CY903" s="34" t="s">
        <v>86</v>
      </c>
    </row>
    <row r="904" spans="1:103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08"/>
        <v>0</v>
      </c>
      <c r="AG904" s="8"/>
      <c r="AI904" s="30"/>
      <c r="AK904" s="30"/>
      <c r="AL904" s="21"/>
      <c r="AM904" s="23" t="e">
        <f t="shared" si="509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CY904" s="34" t="s">
        <v>86</v>
      </c>
    </row>
    <row r="905" spans="1:103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08"/>
        <v>0</v>
      </c>
      <c r="AG905" s="8"/>
      <c r="AI905" s="30"/>
      <c r="AK905" s="30"/>
      <c r="AL905" s="21"/>
      <c r="AM905" s="23" t="e">
        <f t="shared" si="509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CY905" s="34" t="s">
        <v>86</v>
      </c>
    </row>
    <row r="906" spans="1:103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08"/>
        <v>0</v>
      </c>
      <c r="AG906" s="8"/>
      <c r="AI906" s="30"/>
      <c r="AK906" s="30"/>
      <c r="AL906" s="21"/>
      <c r="AM906" s="23" t="e">
        <f t="shared" si="509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CY906" s="34" t="s">
        <v>86</v>
      </c>
    </row>
    <row r="907" spans="1:103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08"/>
        <v>0</v>
      </c>
      <c r="AG907" s="8"/>
      <c r="AI907" s="30"/>
      <c r="AK907" s="30"/>
      <c r="AL907" s="21"/>
      <c r="AM907" s="23" t="e">
        <f t="shared" si="509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CY907" s="34" t="s">
        <v>86</v>
      </c>
    </row>
    <row r="908" spans="1:103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08"/>
        <v>0</v>
      </c>
      <c r="AG908" s="8"/>
      <c r="AI908" s="30"/>
      <c r="AK908" s="30"/>
      <c r="AL908" s="21"/>
      <c r="AM908" s="23" t="e">
        <f t="shared" si="509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CY908" s="34" t="s">
        <v>86</v>
      </c>
    </row>
    <row r="909" spans="1:103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08"/>
        <v>0</v>
      </c>
      <c r="AG909" s="8"/>
      <c r="AI909" s="30"/>
      <c r="AK909" s="30"/>
      <c r="AL909" s="21"/>
      <c r="AM909" s="23" t="e">
        <f t="shared" si="509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CY909" s="34" t="s">
        <v>86</v>
      </c>
    </row>
    <row r="910" spans="1:103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08"/>
        <v>0</v>
      </c>
      <c r="AG910" s="8"/>
      <c r="AI910" s="30"/>
      <c r="AK910" s="30"/>
      <c r="AL910" s="21"/>
      <c r="AM910" s="23" t="e">
        <f t="shared" si="509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CY910" s="34" t="s">
        <v>86</v>
      </c>
    </row>
    <row r="911" spans="1:103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08"/>
        <v>0</v>
      </c>
      <c r="AG911" s="8"/>
      <c r="AI911" s="30"/>
      <c r="AK911" s="30"/>
      <c r="AL911" s="21"/>
      <c r="AM911" s="23" t="e">
        <f t="shared" si="509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CY911" s="34" t="s">
        <v>86</v>
      </c>
    </row>
    <row r="912" spans="1:103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08"/>
        <v>0</v>
      </c>
      <c r="AG912" s="8"/>
      <c r="AI912" s="30"/>
      <c r="AK912" s="30"/>
      <c r="AL912" s="21"/>
      <c r="AM912" s="23" t="e">
        <f t="shared" si="509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CY912" s="34" t="s">
        <v>86</v>
      </c>
    </row>
    <row r="913" spans="1:103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08"/>
        <v>0</v>
      </c>
      <c r="AG913" s="8"/>
      <c r="AI913" s="30"/>
      <c r="AK913" s="30"/>
      <c r="AL913" s="21"/>
      <c r="AM913" s="23" t="e">
        <f t="shared" si="509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CY913" s="34" t="s">
        <v>86</v>
      </c>
    </row>
    <row r="914" spans="1:103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08"/>
        <v>0</v>
      </c>
      <c r="AG914" s="8"/>
      <c r="AI914" s="30"/>
      <c r="AK914" s="30"/>
      <c r="AL914" s="21"/>
      <c r="AM914" s="23" t="e">
        <f t="shared" si="509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CY914" s="34" t="s">
        <v>86</v>
      </c>
    </row>
    <row r="915" spans="1:103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08"/>
        <v>0</v>
      </c>
      <c r="AG915" s="8"/>
      <c r="AI915" s="30"/>
      <c r="AK915" s="30"/>
      <c r="AL915" s="21"/>
      <c r="AM915" s="23" t="e">
        <f t="shared" si="509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CY915" s="34" t="s">
        <v>86</v>
      </c>
    </row>
    <row r="916" spans="1:103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08"/>
        <v>0</v>
      </c>
      <c r="AG916" s="8"/>
      <c r="AI916" s="30"/>
      <c r="AK916" s="30"/>
      <c r="AL916" s="21"/>
      <c r="AM916" s="23" t="e">
        <f t="shared" si="509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CY916" s="34" t="s">
        <v>86</v>
      </c>
    </row>
    <row r="917" spans="1:103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08"/>
        <v>0</v>
      </c>
      <c r="AG917" s="8"/>
      <c r="AI917" s="30"/>
      <c r="AK917" s="30"/>
      <c r="AL917" s="21"/>
      <c r="AM917" s="23" t="e">
        <f t="shared" si="509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CY917" s="34" t="s">
        <v>86</v>
      </c>
    </row>
    <row r="918" spans="1:103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08"/>
        <v>0</v>
      </c>
      <c r="AG918" s="8"/>
      <c r="AI918" s="30"/>
      <c r="AK918" s="30"/>
      <c r="AL918" s="21"/>
      <c r="AM918" s="23" t="e">
        <f t="shared" si="509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CY918" s="34" t="s">
        <v>86</v>
      </c>
    </row>
    <row r="919" spans="1:103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08"/>
        <v>0</v>
      </c>
      <c r="AG919" s="8"/>
      <c r="AI919" s="30"/>
      <c r="AK919" s="30"/>
      <c r="AL919" s="21"/>
      <c r="AM919" s="23" t="e">
        <f t="shared" si="509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CY919" s="34" t="s">
        <v>86</v>
      </c>
    </row>
    <row r="920" spans="1:103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08"/>
        <v>0</v>
      </c>
      <c r="AG920" s="8"/>
      <c r="AI920" s="30"/>
      <c r="AK920" s="30"/>
      <c r="AL920" s="21"/>
      <c r="AM920" s="23" t="e">
        <f t="shared" si="509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CY920" s="34" t="s">
        <v>86</v>
      </c>
    </row>
    <row r="921" spans="1:103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08"/>
        <v>0</v>
      </c>
      <c r="AG921" s="8"/>
      <c r="AI921" s="30"/>
      <c r="AK921" s="30"/>
      <c r="AL921" s="21"/>
      <c r="AM921" s="23" t="e">
        <f t="shared" si="509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CY921" s="34" t="s">
        <v>86</v>
      </c>
    </row>
    <row r="922" spans="1:103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08"/>
        <v>0</v>
      </c>
      <c r="AG922" s="8"/>
      <c r="AI922" s="30"/>
      <c r="AK922" s="30"/>
      <c r="AL922" s="21"/>
      <c r="AM922" s="23" t="e">
        <f t="shared" si="509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CY922" s="34" t="s">
        <v>86</v>
      </c>
    </row>
    <row r="923" spans="1:103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08"/>
        <v>0</v>
      </c>
      <c r="AG923" s="8"/>
      <c r="AI923" s="30"/>
      <c r="AK923" s="30"/>
      <c r="AL923" s="21"/>
      <c r="AM923" s="23" t="e">
        <f t="shared" si="509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CY923" s="34" t="s">
        <v>86</v>
      </c>
    </row>
    <row r="924" spans="1:103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08"/>
        <v>0</v>
      </c>
      <c r="AG924" s="8"/>
      <c r="AI924" s="30"/>
      <c r="AK924" s="30"/>
      <c r="AL924" s="21"/>
      <c r="AM924" s="23" t="e">
        <f t="shared" si="509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CY924" s="34" t="s">
        <v>86</v>
      </c>
    </row>
    <row r="925" spans="1:103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08"/>
        <v>0</v>
      </c>
      <c r="AG925" s="8"/>
      <c r="AI925" s="30"/>
      <c r="AK925" s="30"/>
      <c r="AL925" s="21"/>
      <c r="AM925" s="23" t="e">
        <f t="shared" si="509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CY925" s="34" t="s">
        <v>86</v>
      </c>
    </row>
    <row r="926" spans="1:103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08"/>
        <v>0</v>
      </c>
      <c r="AG926" s="8"/>
      <c r="AI926" s="30"/>
      <c r="AK926" s="30"/>
      <c r="AL926" s="21"/>
      <c r="AM926" s="23" t="e">
        <f t="shared" si="509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CY926" s="34" t="s">
        <v>86</v>
      </c>
    </row>
    <row r="927" spans="1:103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08"/>
        <v>0</v>
      </c>
      <c r="AG927" s="8"/>
      <c r="AI927" s="30"/>
      <c r="AK927" s="30"/>
      <c r="AL927" s="21"/>
      <c r="AM927" s="23" t="e">
        <f t="shared" si="509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CY927" s="34" t="s">
        <v>86</v>
      </c>
    </row>
    <row r="928" spans="1:103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08"/>
        <v>0</v>
      </c>
      <c r="AG928" s="8"/>
      <c r="AI928" s="30"/>
      <c r="AK928" s="30"/>
      <c r="AL928" s="21"/>
      <c r="AM928" s="23" t="e">
        <f t="shared" si="509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CY928" s="34" t="s">
        <v>86</v>
      </c>
    </row>
    <row r="929" spans="1:103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08"/>
        <v>0</v>
      </c>
      <c r="AG929" s="8"/>
      <c r="AI929" s="30"/>
      <c r="AK929" s="30"/>
      <c r="AL929" s="21"/>
      <c r="AM929" s="23" t="e">
        <f t="shared" si="509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CY929" s="34" t="s">
        <v>86</v>
      </c>
    </row>
    <row r="930" spans="1:103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08"/>
        <v>0</v>
      </c>
      <c r="AG930" s="8"/>
      <c r="AI930" s="30"/>
      <c r="AK930" s="30"/>
      <c r="AL930" s="21"/>
      <c r="AM930" s="23" t="e">
        <f t="shared" si="509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CY930" s="34" t="s">
        <v>86</v>
      </c>
    </row>
    <row r="931" spans="1:103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08"/>
        <v>0</v>
      </c>
      <c r="AG931" s="8"/>
      <c r="AI931" s="30"/>
      <c r="AK931" s="30"/>
      <c r="AL931" s="21"/>
      <c r="AM931" s="23" t="e">
        <f t="shared" si="509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CY931" s="34" t="s">
        <v>86</v>
      </c>
    </row>
    <row r="932" spans="1:103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08"/>
        <v>0</v>
      </c>
      <c r="AG932" s="8"/>
      <c r="AI932" s="30"/>
      <c r="AK932" s="30"/>
      <c r="AL932" s="21"/>
      <c r="AM932" s="23" t="e">
        <f t="shared" si="509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CY932" s="34" t="s">
        <v>86</v>
      </c>
    </row>
    <row r="933" spans="1:103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08"/>
        <v>0</v>
      </c>
      <c r="AG933" s="8"/>
      <c r="AI933" s="30"/>
      <c r="AK933" s="30"/>
      <c r="AL933" s="21"/>
      <c r="AM933" s="23" t="e">
        <f t="shared" si="509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CY933" s="34" t="s">
        <v>86</v>
      </c>
    </row>
    <row r="934" spans="1:103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08"/>
        <v>0</v>
      </c>
      <c r="AG934" s="8"/>
      <c r="AI934" s="30"/>
      <c r="AK934" s="30"/>
      <c r="AL934" s="21"/>
      <c r="AM934" s="23" t="e">
        <f t="shared" si="509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CY934" s="34" t="s">
        <v>86</v>
      </c>
    </row>
    <row r="935" spans="1:103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08"/>
        <v>0</v>
      </c>
      <c r="AG935" s="8"/>
      <c r="AI935" s="30"/>
      <c r="AK935" s="30"/>
      <c r="AL935" s="21"/>
      <c r="AM935" s="23" t="e">
        <f t="shared" si="509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CY935" s="34" t="s">
        <v>86</v>
      </c>
    </row>
    <row r="936" spans="1:103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08"/>
        <v>0</v>
      </c>
      <c r="AG936" s="8"/>
      <c r="AI936" s="30"/>
      <c r="AK936" s="30"/>
      <c r="AL936" s="21"/>
      <c r="AM936" s="23" t="e">
        <f t="shared" si="509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CY936" s="34" t="s">
        <v>86</v>
      </c>
    </row>
    <row r="937" spans="1:103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08"/>
        <v>0</v>
      </c>
      <c r="AG937" s="8"/>
      <c r="AI937" s="30"/>
      <c r="AK937" s="30"/>
      <c r="AL937" s="21"/>
      <c r="AM937" s="23" t="e">
        <f t="shared" si="509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CY937" s="34" t="s">
        <v>86</v>
      </c>
    </row>
    <row r="938" spans="1:103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08"/>
        <v>0</v>
      </c>
      <c r="AG938" s="8"/>
      <c r="AI938" s="30"/>
      <c r="AK938" s="30"/>
      <c r="AL938" s="21"/>
      <c r="AM938" s="23" t="e">
        <f t="shared" si="509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CY938" s="34" t="s">
        <v>86</v>
      </c>
    </row>
    <row r="939" spans="1:103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08"/>
        <v>0</v>
      </c>
      <c r="AG939" s="8"/>
      <c r="AI939" s="30"/>
      <c r="AK939" s="30"/>
      <c r="AL939" s="21"/>
      <c r="AM939" s="23" t="e">
        <f t="shared" si="509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CY939" s="34" t="s">
        <v>86</v>
      </c>
    </row>
    <row r="940" spans="1:103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08"/>
        <v>0</v>
      </c>
      <c r="AG940" s="8"/>
      <c r="AI940" s="30"/>
      <c r="AK940" s="30"/>
      <c r="AL940" s="21"/>
      <c r="AM940" s="23" t="e">
        <f t="shared" si="509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CY940" s="34" t="s">
        <v>86</v>
      </c>
    </row>
    <row r="941" spans="1:103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08"/>
        <v>0</v>
      </c>
      <c r="AG941" s="8"/>
      <c r="AI941" s="30"/>
      <c r="AK941" s="30"/>
      <c r="AL941" s="21"/>
      <c r="AM941" s="23" t="e">
        <f t="shared" si="509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CY941" s="34" t="s">
        <v>86</v>
      </c>
    </row>
    <row r="942" spans="1:103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08"/>
        <v>0</v>
      </c>
      <c r="AG942" s="8"/>
      <c r="AI942" s="30"/>
      <c r="AK942" s="30"/>
      <c r="AL942" s="21"/>
      <c r="AM942" s="23" t="e">
        <f t="shared" si="509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CY942" s="34" t="s">
        <v>86</v>
      </c>
    </row>
    <row r="943" spans="1:103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08"/>
        <v>0</v>
      </c>
      <c r="AG943" s="8"/>
      <c r="AI943" s="30"/>
      <c r="AK943" s="30"/>
      <c r="AL943" s="21"/>
      <c r="AM943" s="23" t="e">
        <f t="shared" si="509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CY943" s="34" t="s">
        <v>86</v>
      </c>
    </row>
    <row r="944" spans="1:103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08"/>
        <v>0</v>
      </c>
      <c r="AG944" s="8"/>
      <c r="AI944" s="30"/>
      <c r="AK944" s="30"/>
      <c r="AL944" s="21"/>
      <c r="AM944" s="23" t="e">
        <f t="shared" si="509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CY944" s="34" t="s">
        <v>86</v>
      </c>
    </row>
    <row r="945" spans="1:103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08"/>
        <v>0</v>
      </c>
      <c r="AG945" s="8"/>
      <c r="AI945" s="30"/>
      <c r="AK945" s="30"/>
      <c r="AL945" s="21"/>
      <c r="AM945" s="23" t="e">
        <f t="shared" si="509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CY945" s="34" t="s">
        <v>86</v>
      </c>
    </row>
    <row r="946" spans="1:103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08"/>
        <v>0</v>
      </c>
      <c r="AG946" s="8"/>
      <c r="AI946" s="30"/>
      <c r="AK946" s="30"/>
      <c r="AL946" s="21"/>
      <c r="AM946" s="23" t="e">
        <f t="shared" si="509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CY946" s="34" t="s">
        <v>86</v>
      </c>
    </row>
    <row r="947" spans="1:103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08"/>
        <v>0</v>
      </c>
      <c r="AG947" s="8"/>
      <c r="AI947" s="30"/>
      <c r="AK947" s="30"/>
      <c r="AL947" s="21"/>
      <c r="AM947" s="23" t="e">
        <f t="shared" si="509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CY947" s="34" t="s">
        <v>86</v>
      </c>
    </row>
    <row r="948" spans="1:103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08"/>
        <v>0</v>
      </c>
      <c r="AG948" s="8"/>
      <c r="AI948" s="30"/>
      <c r="AK948" s="30"/>
      <c r="AL948" s="21"/>
      <c r="AM948" s="23" t="e">
        <f t="shared" si="509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CY948" s="34" t="s">
        <v>86</v>
      </c>
    </row>
    <row r="949" spans="1:103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08"/>
        <v>0</v>
      </c>
      <c r="AG949" s="8"/>
      <c r="AI949" s="30"/>
      <c r="AK949" s="30"/>
      <c r="AL949" s="21"/>
      <c r="AM949" s="23" t="e">
        <f t="shared" si="509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CY949" s="34" t="s">
        <v>86</v>
      </c>
    </row>
    <row r="950" spans="1:103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08"/>
        <v>0</v>
      </c>
      <c r="AG950" s="8"/>
      <c r="AI950" s="30"/>
      <c r="AK950" s="30"/>
      <c r="AL950" s="21"/>
      <c r="AM950" s="23" t="e">
        <f t="shared" si="509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CY950" s="34" t="s">
        <v>86</v>
      </c>
    </row>
    <row r="951" spans="1:103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08"/>
        <v>0</v>
      </c>
      <c r="AG951" s="8"/>
      <c r="AI951" s="30"/>
      <c r="AK951" s="30"/>
      <c r="AL951" s="21"/>
      <c r="AM951" s="23" t="e">
        <f t="shared" si="509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CY951" s="34" t="s">
        <v>86</v>
      </c>
    </row>
    <row r="952" spans="1:103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08"/>
        <v>0</v>
      </c>
      <c r="AG952" s="8"/>
      <c r="AI952" s="30"/>
      <c r="AK952" s="30"/>
      <c r="AL952" s="21"/>
      <c r="AM952" s="23" t="e">
        <f t="shared" si="509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CY952" s="34" t="s">
        <v>86</v>
      </c>
    </row>
    <row r="953" spans="1:103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08"/>
        <v>0</v>
      </c>
      <c r="AG953" s="8"/>
      <c r="AI953" s="30"/>
      <c r="AK953" s="30"/>
      <c r="AL953" s="21"/>
      <c r="AM953" s="23" t="e">
        <f t="shared" si="509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CY953" s="34" t="s">
        <v>86</v>
      </c>
    </row>
    <row r="954" spans="1:103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08"/>
        <v>0</v>
      </c>
      <c r="AG954" s="8"/>
      <c r="AI954" s="30"/>
      <c r="AK954" s="30"/>
      <c r="AL954" s="21"/>
      <c r="AM954" s="23" t="e">
        <f t="shared" si="509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CY954" s="34" t="s">
        <v>86</v>
      </c>
    </row>
    <row r="955" spans="1:103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08"/>
        <v>0</v>
      </c>
      <c r="AG955" s="8"/>
      <c r="AI955" s="30"/>
      <c r="AK955" s="30"/>
      <c r="AL955" s="21"/>
      <c r="AM955" s="23" t="e">
        <f t="shared" si="509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CY955" s="34" t="s">
        <v>86</v>
      </c>
    </row>
    <row r="956" spans="1:103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08"/>
        <v>0</v>
      </c>
      <c r="AG956" s="8"/>
      <c r="AI956" s="30"/>
      <c r="AK956" s="30"/>
      <c r="AL956" s="21"/>
      <c r="AM956" s="23" t="e">
        <f t="shared" si="509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CY956" s="34" t="s">
        <v>86</v>
      </c>
    </row>
    <row r="957" spans="1:103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08"/>
        <v>0</v>
      </c>
      <c r="AG957" s="8"/>
      <c r="AI957" s="30"/>
      <c r="AK957" s="30"/>
      <c r="AL957" s="21"/>
      <c r="AM957" s="23" t="e">
        <f t="shared" si="509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CY957" s="34" t="s">
        <v>86</v>
      </c>
    </row>
    <row r="958" spans="1:103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08"/>
        <v>0</v>
      </c>
      <c r="AG958" s="8"/>
      <c r="AI958" s="30"/>
      <c r="AK958" s="30"/>
      <c r="AL958" s="21"/>
      <c r="AM958" s="23" t="e">
        <f t="shared" si="509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CY958" s="34" t="s">
        <v>86</v>
      </c>
    </row>
    <row r="959" spans="1:103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08"/>
        <v>0</v>
      </c>
      <c r="AG959" s="8"/>
      <c r="AI959" s="30"/>
      <c r="AK959" s="30"/>
      <c r="AL959" s="21"/>
      <c r="AM959" s="23" t="e">
        <f t="shared" si="509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CY959" s="34" t="s">
        <v>86</v>
      </c>
    </row>
    <row r="960" spans="1:103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08"/>
        <v>0</v>
      </c>
      <c r="AG960" s="8"/>
      <c r="AI960" s="30"/>
      <c r="AK960" s="30"/>
      <c r="AL960" s="21"/>
      <c r="AM960" s="23" t="e">
        <f t="shared" si="509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CY960" s="34" t="s">
        <v>86</v>
      </c>
    </row>
    <row r="961" spans="1:103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08"/>
        <v>0</v>
      </c>
      <c r="AG961" s="8"/>
      <c r="AI961" s="30"/>
      <c r="AK961" s="30"/>
      <c r="AL961" s="21"/>
      <c r="AM961" s="23" t="e">
        <f t="shared" si="509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CY961" s="34" t="s">
        <v>86</v>
      </c>
    </row>
    <row r="962" spans="1:103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08"/>
        <v>0</v>
      </c>
      <c r="AG962" s="8"/>
      <c r="AI962" s="30"/>
      <c r="AK962" s="30"/>
      <c r="AL962" s="21"/>
      <c r="AM962" s="23" t="e">
        <f t="shared" si="509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CY962" s="34" t="s">
        <v>86</v>
      </c>
    </row>
    <row r="963" spans="1:103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10">COUNTIF(B:B,B963)</f>
        <v>0</v>
      </c>
      <c r="AG963" s="8"/>
      <c r="AI963" s="30"/>
      <c r="AK963" s="30"/>
      <c r="AL963" s="21"/>
      <c r="AM963" s="23" t="e">
        <f t="shared" ref="AM963:AM1026" si="511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CY963" s="34" t="s">
        <v>86</v>
      </c>
    </row>
    <row r="964" spans="1:103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10"/>
        <v>0</v>
      </c>
      <c r="AG964" s="8"/>
      <c r="AI964" s="30"/>
      <c r="AK964" s="30"/>
      <c r="AL964" s="21"/>
      <c r="AM964" s="23" t="e">
        <f t="shared" si="511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CY964" s="34" t="s">
        <v>86</v>
      </c>
    </row>
    <row r="965" spans="1:103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10"/>
        <v>0</v>
      </c>
      <c r="AG965" s="8"/>
      <c r="AI965" s="30"/>
      <c r="AK965" s="30"/>
      <c r="AL965" s="21"/>
      <c r="AM965" s="23" t="e">
        <f t="shared" si="511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CY965" s="34" t="s">
        <v>86</v>
      </c>
    </row>
    <row r="966" spans="1:103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10"/>
        <v>0</v>
      </c>
      <c r="AG966" s="8"/>
      <c r="AI966" s="30"/>
      <c r="AK966" s="30"/>
      <c r="AL966" s="21"/>
      <c r="AM966" s="23" t="e">
        <f t="shared" si="511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CY966" s="34" t="s">
        <v>86</v>
      </c>
    </row>
    <row r="967" spans="1:103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10"/>
        <v>0</v>
      </c>
      <c r="AG967" s="8"/>
      <c r="AI967" s="30"/>
      <c r="AK967" s="30"/>
      <c r="AL967" s="21"/>
      <c r="AM967" s="23" t="e">
        <f t="shared" si="511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CY967" s="34" t="s">
        <v>86</v>
      </c>
    </row>
    <row r="968" spans="1:103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10"/>
        <v>0</v>
      </c>
      <c r="AG968" s="8"/>
      <c r="AI968" s="30"/>
      <c r="AK968" s="30"/>
      <c r="AL968" s="21"/>
      <c r="AM968" s="23" t="e">
        <f t="shared" si="511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CY968" s="34" t="s">
        <v>86</v>
      </c>
    </row>
    <row r="969" spans="1:103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10"/>
        <v>0</v>
      </c>
      <c r="AG969" s="8"/>
      <c r="AI969" s="30"/>
      <c r="AK969" s="30"/>
      <c r="AL969" s="21"/>
      <c r="AM969" s="23" t="e">
        <f t="shared" si="511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CY969" s="34" t="s">
        <v>86</v>
      </c>
    </row>
    <row r="970" spans="1:103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10"/>
        <v>0</v>
      </c>
      <c r="AG970" s="8"/>
      <c r="AI970" s="30"/>
      <c r="AK970" s="30"/>
      <c r="AL970" s="21"/>
      <c r="AM970" s="23" t="e">
        <f t="shared" si="511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CY970" s="34" t="s">
        <v>86</v>
      </c>
    </row>
    <row r="971" spans="1:103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10"/>
        <v>0</v>
      </c>
      <c r="AG971" s="8"/>
      <c r="AI971" s="30"/>
      <c r="AK971" s="30"/>
      <c r="AL971" s="21"/>
      <c r="AM971" s="23" t="e">
        <f t="shared" si="511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CY971" s="34" t="s">
        <v>86</v>
      </c>
    </row>
    <row r="972" spans="1:103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10"/>
        <v>0</v>
      </c>
      <c r="AG972" s="8"/>
      <c r="AI972" s="30"/>
      <c r="AK972" s="30"/>
      <c r="AL972" s="21"/>
      <c r="AM972" s="23" t="e">
        <f t="shared" si="511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CY972" s="34" t="s">
        <v>86</v>
      </c>
    </row>
    <row r="973" spans="1:103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10"/>
        <v>0</v>
      </c>
      <c r="AG973" s="8"/>
      <c r="AI973" s="30"/>
      <c r="AK973" s="30"/>
      <c r="AL973" s="21"/>
      <c r="AM973" s="23" t="e">
        <f t="shared" si="511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CY973" s="34" t="s">
        <v>86</v>
      </c>
    </row>
    <row r="974" spans="1:103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10"/>
        <v>0</v>
      </c>
      <c r="AG974" s="8"/>
      <c r="AI974" s="30"/>
      <c r="AK974" s="30"/>
      <c r="AL974" s="21"/>
      <c r="AM974" s="23" t="e">
        <f t="shared" si="511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CY974" s="34" t="s">
        <v>86</v>
      </c>
    </row>
    <row r="975" spans="1:103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10"/>
        <v>0</v>
      </c>
      <c r="AG975" s="8"/>
      <c r="AI975" s="30"/>
      <c r="AK975" s="30"/>
      <c r="AL975" s="21"/>
      <c r="AM975" s="23" t="e">
        <f t="shared" si="511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CY975" s="34" t="s">
        <v>86</v>
      </c>
    </row>
    <row r="976" spans="1:103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10"/>
        <v>0</v>
      </c>
      <c r="AG976" s="8"/>
      <c r="AI976" s="30"/>
      <c r="AK976" s="30"/>
      <c r="AL976" s="21"/>
      <c r="AM976" s="23" t="e">
        <f t="shared" si="511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CY976" s="34" t="s">
        <v>86</v>
      </c>
    </row>
    <row r="977" spans="1:103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10"/>
        <v>0</v>
      </c>
      <c r="AG977" s="8"/>
      <c r="AI977" s="30"/>
      <c r="AK977" s="30"/>
      <c r="AL977" s="21"/>
      <c r="AM977" s="23" t="e">
        <f t="shared" si="511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CY977" s="34" t="s">
        <v>86</v>
      </c>
    </row>
    <row r="978" spans="1:103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10"/>
        <v>0</v>
      </c>
      <c r="AG978" s="8"/>
      <c r="AI978" s="30"/>
      <c r="AK978" s="30"/>
      <c r="AL978" s="21"/>
      <c r="AM978" s="23" t="e">
        <f t="shared" si="511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CY978" s="34" t="s">
        <v>86</v>
      </c>
    </row>
    <row r="979" spans="1:103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10"/>
        <v>0</v>
      </c>
      <c r="AG979" s="8"/>
      <c r="AI979" s="30"/>
      <c r="AK979" s="30"/>
      <c r="AL979" s="21"/>
      <c r="AM979" s="23" t="e">
        <f t="shared" si="511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CY979" s="34" t="s">
        <v>86</v>
      </c>
    </row>
    <row r="980" spans="1:103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10"/>
        <v>0</v>
      </c>
      <c r="AG980" s="8"/>
      <c r="AI980" s="30"/>
      <c r="AK980" s="30"/>
      <c r="AL980" s="21"/>
      <c r="AM980" s="23" t="e">
        <f t="shared" si="511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CY980" s="34" t="s">
        <v>86</v>
      </c>
    </row>
    <row r="981" spans="1:103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10"/>
        <v>0</v>
      </c>
      <c r="AG981" s="8"/>
      <c r="AI981" s="30"/>
      <c r="AK981" s="30"/>
      <c r="AL981" s="21"/>
      <c r="AM981" s="23" t="e">
        <f t="shared" si="511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CY981" s="34" t="s">
        <v>86</v>
      </c>
    </row>
    <row r="982" spans="1:103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10"/>
        <v>0</v>
      </c>
      <c r="AG982" s="8"/>
      <c r="AI982" s="30"/>
      <c r="AK982" s="30"/>
      <c r="AL982" s="21"/>
      <c r="AM982" s="23" t="e">
        <f t="shared" si="511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CY982" s="34" t="s">
        <v>86</v>
      </c>
    </row>
    <row r="983" spans="1:103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10"/>
        <v>0</v>
      </c>
      <c r="AG983" s="8"/>
      <c r="AI983" s="30"/>
      <c r="AK983" s="30"/>
      <c r="AL983" s="21"/>
      <c r="AM983" s="23" t="e">
        <f t="shared" si="511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CY983" s="34" t="s">
        <v>86</v>
      </c>
    </row>
    <row r="984" spans="1:103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10"/>
        <v>0</v>
      </c>
      <c r="AG984" s="8"/>
      <c r="AI984" s="30"/>
      <c r="AK984" s="30"/>
      <c r="AL984" s="21"/>
      <c r="AM984" s="23" t="e">
        <f t="shared" si="511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CY984" s="34" t="s">
        <v>86</v>
      </c>
    </row>
    <row r="985" spans="1:103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10"/>
        <v>0</v>
      </c>
      <c r="AG985" s="8"/>
      <c r="AI985" s="30"/>
      <c r="AK985" s="30"/>
      <c r="AL985" s="21"/>
      <c r="AM985" s="23" t="e">
        <f t="shared" si="511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CY985" s="34" t="s">
        <v>86</v>
      </c>
    </row>
    <row r="986" spans="1:103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10"/>
        <v>0</v>
      </c>
      <c r="AG986" s="8"/>
      <c r="AI986" s="30"/>
      <c r="AK986" s="30"/>
      <c r="AL986" s="21"/>
      <c r="AM986" s="23" t="e">
        <f t="shared" si="511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CY986" s="34" t="s">
        <v>86</v>
      </c>
    </row>
    <row r="987" spans="1:103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10"/>
        <v>0</v>
      </c>
      <c r="AG987" s="8"/>
      <c r="AI987" s="30"/>
      <c r="AK987" s="30"/>
      <c r="AL987" s="21"/>
      <c r="AM987" s="23" t="e">
        <f t="shared" si="511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CY987" s="34" t="s">
        <v>86</v>
      </c>
    </row>
    <row r="988" spans="1:103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10"/>
        <v>0</v>
      </c>
      <c r="AG988" s="8"/>
      <c r="AI988" s="30"/>
      <c r="AK988" s="30"/>
      <c r="AL988" s="21"/>
      <c r="AM988" s="23" t="e">
        <f t="shared" si="511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CY988" s="34" t="s">
        <v>86</v>
      </c>
    </row>
    <row r="989" spans="1:103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10"/>
        <v>0</v>
      </c>
      <c r="AG989" s="8"/>
      <c r="AI989" s="30"/>
      <c r="AK989" s="30"/>
      <c r="AL989" s="21"/>
      <c r="AM989" s="23" t="e">
        <f t="shared" si="511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CY989" s="34" t="s">
        <v>86</v>
      </c>
    </row>
    <row r="990" spans="1:103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10"/>
        <v>0</v>
      </c>
      <c r="AG990" s="8"/>
      <c r="AI990" s="30"/>
      <c r="AK990" s="30"/>
      <c r="AL990" s="21"/>
      <c r="AM990" s="23" t="e">
        <f t="shared" si="511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CY990" s="34" t="s">
        <v>86</v>
      </c>
    </row>
    <row r="991" spans="1:103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10"/>
        <v>0</v>
      </c>
      <c r="AG991" s="8"/>
      <c r="AI991" s="30"/>
      <c r="AK991" s="30"/>
      <c r="AL991" s="21"/>
      <c r="AM991" s="23" t="e">
        <f t="shared" si="511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CY991" s="34" t="s">
        <v>86</v>
      </c>
    </row>
    <row r="992" spans="1:103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10"/>
        <v>0</v>
      </c>
      <c r="AG992" s="8"/>
      <c r="AI992" s="30"/>
      <c r="AK992" s="30"/>
      <c r="AL992" s="21"/>
      <c r="AM992" s="23" t="e">
        <f t="shared" si="511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CY992" s="34" t="s">
        <v>86</v>
      </c>
    </row>
    <row r="993" spans="1:103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10"/>
        <v>0</v>
      </c>
      <c r="AG993" s="8"/>
      <c r="AI993" s="30"/>
      <c r="AK993" s="30"/>
      <c r="AL993" s="21"/>
      <c r="AM993" s="23" t="e">
        <f t="shared" si="511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CY993" s="34" t="s">
        <v>86</v>
      </c>
    </row>
    <row r="994" spans="1:103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10"/>
        <v>0</v>
      </c>
      <c r="AG994" s="8"/>
      <c r="AI994" s="30"/>
      <c r="AK994" s="30"/>
      <c r="AL994" s="21"/>
      <c r="AM994" s="23" t="e">
        <f t="shared" si="511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CY994" s="34" t="s">
        <v>86</v>
      </c>
    </row>
    <row r="995" spans="1:103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10"/>
        <v>0</v>
      </c>
      <c r="AG995" s="8"/>
      <c r="AI995" s="30"/>
      <c r="AK995" s="30"/>
      <c r="AL995" s="21"/>
      <c r="AM995" s="23" t="e">
        <f t="shared" si="511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CY995" s="34" t="s">
        <v>86</v>
      </c>
    </row>
    <row r="996" spans="1:103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10"/>
        <v>0</v>
      </c>
      <c r="AG996" s="8"/>
      <c r="AI996" s="30"/>
      <c r="AK996" s="30"/>
      <c r="AL996" s="21"/>
      <c r="AM996" s="23" t="e">
        <f t="shared" si="511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CY996" s="34" t="s">
        <v>86</v>
      </c>
    </row>
    <row r="997" spans="1:103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10"/>
        <v>0</v>
      </c>
      <c r="AG997" s="8"/>
      <c r="AI997" s="30"/>
      <c r="AK997" s="30"/>
      <c r="AL997" s="21"/>
      <c r="AM997" s="23" t="e">
        <f t="shared" si="511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CY997" s="34" t="s">
        <v>86</v>
      </c>
    </row>
    <row r="998" spans="1:103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10"/>
        <v>0</v>
      </c>
      <c r="AG998" s="8"/>
      <c r="AI998" s="30"/>
      <c r="AK998" s="30"/>
      <c r="AL998" s="21"/>
      <c r="AM998" s="23" t="e">
        <f t="shared" si="511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CY998" s="34" t="s">
        <v>86</v>
      </c>
    </row>
    <row r="999" spans="1:103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10"/>
        <v>0</v>
      </c>
      <c r="AG999" s="8"/>
      <c r="AI999" s="30"/>
      <c r="AK999" s="30"/>
      <c r="AL999" s="21"/>
      <c r="AM999" s="23" t="e">
        <f t="shared" si="511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CY999" s="34" t="s">
        <v>86</v>
      </c>
    </row>
    <row r="1000" spans="1:103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10"/>
        <v>0</v>
      </c>
      <c r="AG1000" s="8"/>
      <c r="AI1000" s="30"/>
      <c r="AK1000" s="30"/>
      <c r="AL1000" s="21"/>
      <c r="AM1000" s="23" t="e">
        <f t="shared" si="511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CY1000" s="34" t="s">
        <v>86</v>
      </c>
    </row>
    <row r="1001" spans="1:103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10"/>
        <v>0</v>
      </c>
      <c r="AG1001" s="8"/>
      <c r="AI1001" s="30"/>
      <c r="AK1001" s="30"/>
      <c r="AL1001" s="21"/>
      <c r="AM1001" s="23" t="e">
        <f t="shared" si="511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CY1001" s="34" t="s">
        <v>86</v>
      </c>
    </row>
    <row r="1002" spans="1:103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10"/>
        <v>0</v>
      </c>
      <c r="AG1002" s="8"/>
      <c r="AI1002" s="30"/>
      <c r="AK1002" s="30"/>
      <c r="AL1002" s="21"/>
      <c r="AM1002" s="23" t="e">
        <f t="shared" si="511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CY1002" s="34" t="s">
        <v>86</v>
      </c>
    </row>
    <row r="1003" spans="1:103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10"/>
        <v>0</v>
      </c>
      <c r="AG1003" s="8"/>
      <c r="AI1003" s="30"/>
      <c r="AK1003" s="30"/>
      <c r="AL1003" s="21"/>
      <c r="AM1003" s="23" t="e">
        <f t="shared" si="511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CY1003" s="34" t="s">
        <v>86</v>
      </c>
    </row>
    <row r="1004" spans="1:103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10"/>
        <v>0</v>
      </c>
      <c r="AG1004" s="8"/>
      <c r="AI1004" s="30"/>
      <c r="AK1004" s="30"/>
      <c r="AL1004" s="21"/>
      <c r="AM1004" s="23" t="e">
        <f t="shared" si="511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CY1004" s="34" t="s">
        <v>86</v>
      </c>
    </row>
    <row r="1005" spans="1:103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10"/>
        <v>0</v>
      </c>
      <c r="AG1005" s="8"/>
      <c r="AI1005" s="30"/>
      <c r="AK1005" s="30"/>
      <c r="AL1005" s="21"/>
      <c r="AM1005" s="23" t="e">
        <f t="shared" si="511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CY1005" s="34" t="s">
        <v>86</v>
      </c>
    </row>
    <row r="1006" spans="1:103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10"/>
        <v>0</v>
      </c>
      <c r="AG1006" s="8"/>
      <c r="AI1006" s="30"/>
      <c r="AK1006" s="30"/>
      <c r="AL1006" s="21"/>
      <c r="AM1006" s="23" t="e">
        <f t="shared" si="511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CY1006" s="34" t="s">
        <v>86</v>
      </c>
    </row>
    <row r="1007" spans="1:103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10"/>
        <v>0</v>
      </c>
      <c r="AG1007" s="8"/>
      <c r="AI1007" s="30"/>
      <c r="AK1007" s="30"/>
      <c r="AL1007" s="21"/>
      <c r="AM1007" s="23" t="e">
        <f t="shared" si="511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CY1007" s="34" t="s">
        <v>86</v>
      </c>
    </row>
    <row r="1008" spans="1:103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10"/>
        <v>0</v>
      </c>
      <c r="AG1008" s="8"/>
      <c r="AI1008" s="30"/>
      <c r="AK1008" s="30"/>
      <c r="AL1008" s="21"/>
      <c r="AM1008" s="23" t="e">
        <f t="shared" si="511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CY1008" s="34" t="s">
        <v>86</v>
      </c>
    </row>
    <row r="1009" spans="4:103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10"/>
        <v>0</v>
      </c>
      <c r="AG1009" s="8"/>
      <c r="AI1009" s="30"/>
      <c r="AK1009" s="30"/>
      <c r="AL1009" s="21"/>
      <c r="AM1009" s="23" t="e">
        <f t="shared" si="511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CY1009" s="34" t="s">
        <v>86</v>
      </c>
    </row>
    <row r="1010" spans="4:103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10"/>
        <v>0</v>
      </c>
      <c r="AG1010" s="8"/>
      <c r="AI1010" s="30"/>
      <c r="AK1010" s="30"/>
      <c r="AL1010" s="21"/>
      <c r="AM1010" s="23" t="e">
        <f t="shared" si="511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CY1010" s="34" t="s">
        <v>86</v>
      </c>
    </row>
    <row r="1011" spans="4:103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10"/>
        <v>0</v>
      </c>
      <c r="AG1011" s="8"/>
      <c r="AI1011" s="30"/>
      <c r="AK1011" s="30"/>
      <c r="AL1011" s="21"/>
      <c r="AM1011" s="23" t="e">
        <f t="shared" si="511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CY1011" s="34" t="s">
        <v>86</v>
      </c>
    </row>
    <row r="1012" spans="4:103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10"/>
        <v>0</v>
      </c>
      <c r="AG1012" s="8"/>
      <c r="AI1012" s="30"/>
      <c r="AK1012" s="30"/>
      <c r="AL1012" s="21"/>
      <c r="AM1012" s="23" t="e">
        <f t="shared" si="511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CY1012" s="34" t="s">
        <v>86</v>
      </c>
    </row>
    <row r="1013" spans="4:103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10"/>
        <v>0</v>
      </c>
      <c r="AG1013" s="8"/>
      <c r="AI1013" s="30"/>
      <c r="AK1013" s="30"/>
      <c r="AL1013" s="21"/>
      <c r="AM1013" s="23" t="e">
        <f t="shared" si="511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CY1013" s="34" t="s">
        <v>86</v>
      </c>
    </row>
    <row r="1014" spans="4:103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10"/>
        <v>0</v>
      </c>
      <c r="AG1014" s="8"/>
      <c r="AI1014" s="30"/>
      <c r="AK1014" s="30"/>
      <c r="AL1014" s="21"/>
      <c r="AM1014" s="23" t="e">
        <f t="shared" si="511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CY1014" s="34" t="s">
        <v>86</v>
      </c>
    </row>
    <row r="1015" spans="4:103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10"/>
        <v>0</v>
      </c>
      <c r="AG1015" s="8"/>
      <c r="AI1015" s="30"/>
      <c r="AK1015" s="30"/>
      <c r="AL1015" s="21"/>
      <c r="AM1015" s="23" t="e">
        <f t="shared" si="511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CY1015" s="34" t="s">
        <v>86</v>
      </c>
    </row>
    <row r="1016" spans="4:103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10"/>
        <v>0</v>
      </c>
      <c r="AG1016" s="8"/>
      <c r="AI1016" s="30"/>
      <c r="AK1016" s="30"/>
      <c r="AL1016" s="21"/>
      <c r="AM1016" s="23" t="e">
        <f t="shared" si="511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CY1016" s="34" t="s">
        <v>86</v>
      </c>
    </row>
    <row r="1017" spans="4:103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10"/>
        <v>0</v>
      </c>
      <c r="AG1017" s="8"/>
      <c r="AI1017" s="30"/>
      <c r="AK1017" s="30"/>
      <c r="AL1017" s="21"/>
      <c r="AM1017" s="23" t="e">
        <f t="shared" si="511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CY1017" s="34" t="s">
        <v>86</v>
      </c>
    </row>
    <row r="1018" spans="4:103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10"/>
        <v>0</v>
      </c>
      <c r="AG1018" s="8"/>
      <c r="AI1018" s="30"/>
      <c r="AK1018" s="30"/>
      <c r="AL1018" s="21"/>
      <c r="AM1018" s="23" t="e">
        <f t="shared" si="511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CY1018" s="34" t="s">
        <v>86</v>
      </c>
    </row>
    <row r="1019" spans="4:103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10"/>
        <v>0</v>
      </c>
      <c r="AG1019" s="8"/>
      <c r="AI1019" s="30"/>
      <c r="AK1019" s="30"/>
      <c r="AL1019" s="21"/>
      <c r="AM1019" s="23" t="e">
        <f t="shared" si="511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CY1019" s="34" t="s">
        <v>86</v>
      </c>
    </row>
    <row r="1020" spans="4:103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10"/>
        <v>0</v>
      </c>
      <c r="AG1020" s="8"/>
      <c r="AI1020" s="30"/>
      <c r="AK1020" s="30"/>
      <c r="AL1020" s="21"/>
      <c r="AM1020" s="23" t="e">
        <f t="shared" si="511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CY1020" s="34" t="s">
        <v>86</v>
      </c>
    </row>
    <row r="1021" spans="4:103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10"/>
        <v>0</v>
      </c>
      <c r="AG1021" s="8"/>
      <c r="AI1021" s="30"/>
      <c r="AK1021" s="30"/>
      <c r="AL1021" s="21"/>
      <c r="AM1021" s="23" t="e">
        <f t="shared" si="511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CY1021" s="34" t="s">
        <v>86</v>
      </c>
    </row>
    <row r="1022" spans="4:103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10"/>
        <v>0</v>
      </c>
      <c r="AG1022" s="8"/>
      <c r="AI1022" s="30"/>
      <c r="AK1022" s="30"/>
      <c r="AL1022" s="21"/>
      <c r="AM1022" s="23" t="e">
        <f t="shared" si="511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CY1022" s="34" t="s">
        <v>86</v>
      </c>
    </row>
    <row r="1023" spans="4:103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10"/>
        <v>0</v>
      </c>
      <c r="AG1023" s="8"/>
      <c r="AI1023" s="30"/>
      <c r="AK1023" s="30"/>
      <c r="AL1023" s="21"/>
      <c r="AM1023" s="23" t="e">
        <f t="shared" si="511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CY1023" s="34" t="s">
        <v>86</v>
      </c>
    </row>
    <row r="1024" spans="4:103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10"/>
        <v>0</v>
      </c>
      <c r="AG1024" s="8"/>
      <c r="AI1024" s="30"/>
      <c r="AK1024" s="30"/>
      <c r="AL1024" s="21"/>
      <c r="AM1024" s="23" t="e">
        <f t="shared" si="511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CY1024" s="34" t="s">
        <v>86</v>
      </c>
    </row>
    <row r="1025" spans="4:103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10"/>
        <v>0</v>
      </c>
      <c r="AG1025" s="8"/>
      <c r="AI1025" s="30"/>
      <c r="AK1025" s="30"/>
      <c r="AL1025" s="21"/>
      <c r="AM1025" s="23" t="e">
        <f t="shared" si="511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CY1025" s="34" t="s">
        <v>86</v>
      </c>
    </row>
    <row r="1026" spans="4:103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10"/>
        <v>0</v>
      </c>
      <c r="AG1026" s="8"/>
      <c r="AI1026" s="30"/>
      <c r="AK1026" s="30"/>
      <c r="AL1026" s="21"/>
      <c r="AM1026" s="23" t="e">
        <f t="shared" si="511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CY1026" s="34" t="s">
        <v>86</v>
      </c>
    </row>
    <row r="1027" spans="4:103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12">COUNTIF(B:B,B1027)</f>
        <v>0</v>
      </c>
      <c r="AG1027" s="8"/>
      <c r="AI1027" s="30"/>
      <c r="AK1027" s="30"/>
      <c r="AL1027" s="21"/>
      <c r="AM1027" s="23" t="e">
        <f t="shared" ref="AM1027:AM1090" si="513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CY1027" s="34" t="s">
        <v>86</v>
      </c>
    </row>
    <row r="1028" spans="4:103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12"/>
        <v>0</v>
      </c>
      <c r="AG1028" s="8"/>
      <c r="AI1028" s="30"/>
      <c r="AK1028" s="30"/>
      <c r="AL1028" s="21"/>
      <c r="AM1028" s="23" t="e">
        <f t="shared" si="513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CY1028" s="34" t="s">
        <v>86</v>
      </c>
    </row>
    <row r="1029" spans="4:103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12"/>
        <v>0</v>
      </c>
      <c r="AG1029" s="8"/>
      <c r="AI1029" s="30"/>
      <c r="AK1029" s="30"/>
      <c r="AL1029" s="21"/>
      <c r="AM1029" s="23" t="e">
        <f t="shared" si="513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CY1029" s="34" t="s">
        <v>86</v>
      </c>
    </row>
    <row r="1030" spans="4:103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12"/>
        <v>0</v>
      </c>
      <c r="AG1030" s="8"/>
      <c r="AI1030" s="30"/>
      <c r="AK1030" s="30"/>
      <c r="AL1030" s="21"/>
      <c r="AM1030" s="23" t="e">
        <f t="shared" si="513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CY1030" s="34" t="s">
        <v>86</v>
      </c>
    </row>
    <row r="1031" spans="4:103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12"/>
        <v>0</v>
      </c>
      <c r="AG1031" s="8"/>
      <c r="AI1031" s="30"/>
      <c r="AK1031" s="30"/>
      <c r="AL1031" s="21"/>
      <c r="AM1031" s="23" t="e">
        <f t="shared" si="513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CY1031" s="34" t="s">
        <v>86</v>
      </c>
    </row>
    <row r="1032" spans="4:103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12"/>
        <v>0</v>
      </c>
      <c r="AG1032" s="8"/>
      <c r="AI1032" s="30"/>
      <c r="AK1032" s="30"/>
      <c r="AL1032" s="21"/>
      <c r="AM1032" s="23" t="e">
        <f t="shared" si="513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CY1032" s="34" t="s">
        <v>86</v>
      </c>
    </row>
    <row r="1033" spans="4:103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12"/>
        <v>0</v>
      </c>
      <c r="AG1033" s="8"/>
      <c r="AI1033" s="30"/>
      <c r="AK1033" s="30"/>
      <c r="AL1033" s="21"/>
      <c r="AM1033" s="23" t="e">
        <f t="shared" si="513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CY1033" s="34" t="s">
        <v>86</v>
      </c>
    </row>
    <row r="1034" spans="4:103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12"/>
        <v>0</v>
      </c>
      <c r="AG1034" s="8"/>
      <c r="AI1034" s="30"/>
      <c r="AK1034" s="30"/>
      <c r="AL1034" s="21"/>
      <c r="AM1034" s="23" t="e">
        <f t="shared" si="513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CY1034" s="34" t="s">
        <v>86</v>
      </c>
    </row>
    <row r="1035" spans="4:103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13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CY1035" s="34" t="s">
        <v>86</v>
      </c>
    </row>
    <row r="1036" spans="4:103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13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CY1036" s="34" t="s">
        <v>86</v>
      </c>
    </row>
    <row r="1037" spans="4:103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13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CY1037" s="34" t="s">
        <v>86</v>
      </c>
    </row>
    <row r="1038" spans="4:103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13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CY1038" s="34" t="s">
        <v>86</v>
      </c>
    </row>
    <row r="1039" spans="4:103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13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CY1039" s="34" t="s">
        <v>86</v>
      </c>
    </row>
    <row r="1040" spans="4:103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13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CY1040" s="34" t="s">
        <v>86</v>
      </c>
    </row>
    <row r="1041" spans="4:103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13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CY1041" s="34" t="s">
        <v>86</v>
      </c>
    </row>
    <row r="1042" spans="4:103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13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CY1042" s="34" t="s">
        <v>86</v>
      </c>
    </row>
    <row r="1043" spans="4:103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13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CY1043" s="34" t="s">
        <v>86</v>
      </c>
    </row>
    <row r="1044" spans="4:103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13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CY1044" s="34" t="s">
        <v>86</v>
      </c>
    </row>
    <row r="1045" spans="4:103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13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CY1045" s="34" t="s">
        <v>86</v>
      </c>
    </row>
    <row r="1046" spans="4:103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13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CY1046" s="34" t="s">
        <v>86</v>
      </c>
    </row>
    <row r="1047" spans="4:103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13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CY1047" s="34" t="s">
        <v>86</v>
      </c>
    </row>
    <row r="1048" spans="4:103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13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CY1048" s="34" t="s">
        <v>86</v>
      </c>
    </row>
    <row r="1049" spans="4:103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13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CY1049" s="34" t="s">
        <v>86</v>
      </c>
    </row>
    <row r="1050" spans="4:103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13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CY1050" s="34" t="s">
        <v>86</v>
      </c>
    </row>
    <row r="1051" spans="4:103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13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CY1051" s="34" t="s">
        <v>86</v>
      </c>
    </row>
    <row r="1052" spans="4:103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13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CY1052" s="34" t="s">
        <v>86</v>
      </c>
    </row>
    <row r="1053" spans="4:103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13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CY1053" s="34" t="s">
        <v>86</v>
      </c>
    </row>
    <row r="1054" spans="4:103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13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CY1054" s="34" t="s">
        <v>86</v>
      </c>
    </row>
    <row r="1055" spans="4:103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13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CY1055" s="34" t="s">
        <v>86</v>
      </c>
    </row>
    <row r="1056" spans="4:103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13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CY1056" s="34" t="s">
        <v>86</v>
      </c>
    </row>
    <row r="1057" spans="4:103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13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CY1057" s="34" t="s">
        <v>86</v>
      </c>
    </row>
    <row r="1058" spans="4:103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13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CY1058" s="34" t="s">
        <v>86</v>
      </c>
    </row>
    <row r="1059" spans="4:103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13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CY1059" s="34" t="s">
        <v>86</v>
      </c>
    </row>
    <row r="1060" spans="4:103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13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CY1060" s="34" t="s">
        <v>86</v>
      </c>
    </row>
    <row r="1061" spans="4:103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13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CY1061" s="34" t="s">
        <v>86</v>
      </c>
    </row>
    <row r="1062" spans="4:103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13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CY1062" s="34" t="s">
        <v>86</v>
      </c>
    </row>
    <row r="1063" spans="4:103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13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CY1063" s="34" t="s">
        <v>86</v>
      </c>
    </row>
    <row r="1064" spans="4:103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13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CY1064" s="34" t="s">
        <v>86</v>
      </c>
    </row>
    <row r="1065" spans="4:103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13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CY1065" s="34" t="s">
        <v>86</v>
      </c>
    </row>
    <row r="1066" spans="4:103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13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CY1066" s="34" t="s">
        <v>86</v>
      </c>
    </row>
    <row r="1067" spans="4:103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13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CY1067" s="34" t="s">
        <v>86</v>
      </c>
    </row>
    <row r="1068" spans="4:103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13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CY1068" s="34" t="s">
        <v>86</v>
      </c>
    </row>
    <row r="1069" spans="4:103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13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CY1069" s="34" t="s">
        <v>86</v>
      </c>
    </row>
    <row r="1070" spans="4:103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13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CY1070" s="34" t="s">
        <v>86</v>
      </c>
    </row>
    <row r="1071" spans="4:103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13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CY1071" s="34" t="s">
        <v>86</v>
      </c>
    </row>
    <row r="1072" spans="4:103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13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CY1072" s="34" t="s">
        <v>86</v>
      </c>
    </row>
    <row r="1073" spans="4:103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13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CY1073" s="34" t="s">
        <v>86</v>
      </c>
    </row>
    <row r="1074" spans="4:103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13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CY1074" s="34" t="s">
        <v>86</v>
      </c>
    </row>
    <row r="1075" spans="4:103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13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CY1075" s="34" t="s">
        <v>86</v>
      </c>
    </row>
    <row r="1076" spans="4:103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13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CY1076" s="34" t="s">
        <v>86</v>
      </c>
    </row>
    <row r="1077" spans="4:103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13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CY1077" s="34" t="s">
        <v>86</v>
      </c>
    </row>
    <row r="1078" spans="4:103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13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CY1078" s="34" t="s">
        <v>86</v>
      </c>
    </row>
    <row r="1079" spans="4:103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13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CY1079" s="34" t="s">
        <v>86</v>
      </c>
    </row>
    <row r="1080" spans="4:103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13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CY1080" s="34" t="s">
        <v>86</v>
      </c>
    </row>
    <row r="1081" spans="4:103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13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CY1081" s="34" t="s">
        <v>86</v>
      </c>
    </row>
    <row r="1082" spans="4:103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13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CY1082" s="34" t="s">
        <v>86</v>
      </c>
    </row>
    <row r="1083" spans="4:103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13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CY1083" s="34" t="s">
        <v>86</v>
      </c>
    </row>
    <row r="1084" spans="4:103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13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CY1084" s="34" t="s">
        <v>86</v>
      </c>
    </row>
    <row r="1085" spans="4:103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13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CY1085" s="34" t="s">
        <v>86</v>
      </c>
    </row>
    <row r="1086" spans="4:103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13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CY1086" s="34" t="s">
        <v>86</v>
      </c>
    </row>
    <row r="1087" spans="4:103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13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CY1087" s="34" t="s">
        <v>86</v>
      </c>
    </row>
    <row r="1088" spans="4:103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13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CY1088" s="34" t="s">
        <v>86</v>
      </c>
    </row>
    <row r="1089" spans="4:103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13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CY1089" s="34" t="s">
        <v>86</v>
      </c>
    </row>
    <row r="1090" spans="4:103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13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CY1090" s="34" t="s">
        <v>86</v>
      </c>
    </row>
    <row r="1091" spans="4:103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14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CY1091" s="34" t="s">
        <v>86</v>
      </c>
    </row>
    <row r="1092" spans="4:103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14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CY1092" s="34" t="s">
        <v>86</v>
      </c>
    </row>
    <row r="1093" spans="4:103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14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CY1093" s="34" t="s">
        <v>86</v>
      </c>
    </row>
    <row r="1094" spans="4:103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14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CY1094" s="34" t="s">
        <v>86</v>
      </c>
    </row>
    <row r="1095" spans="4:103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14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CY1095" s="34" t="s">
        <v>86</v>
      </c>
    </row>
    <row r="1096" spans="4:103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14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CY1096" s="34" t="s">
        <v>86</v>
      </c>
    </row>
    <row r="1097" spans="4:103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14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CY1097" s="34" t="s">
        <v>86</v>
      </c>
    </row>
    <row r="1098" spans="4:103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14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CY1098" s="34" t="s">
        <v>86</v>
      </c>
    </row>
    <row r="1099" spans="4:103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14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CY1099" s="34" t="s">
        <v>86</v>
      </c>
    </row>
    <row r="1100" spans="4:103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14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CY1100" s="34" t="s">
        <v>86</v>
      </c>
    </row>
    <row r="1101" spans="4:103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14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CY1101" s="34" t="s">
        <v>86</v>
      </c>
    </row>
    <row r="1102" spans="4:103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14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CY1102" s="34" t="s">
        <v>86</v>
      </c>
    </row>
    <row r="1103" spans="4:103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14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CY1103" s="34" t="s">
        <v>86</v>
      </c>
    </row>
    <row r="1104" spans="4:103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14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CY1104" s="34" t="s">
        <v>86</v>
      </c>
    </row>
    <row r="1105" spans="4:103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14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CY1105" s="34" t="s">
        <v>86</v>
      </c>
    </row>
    <row r="1106" spans="4:103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14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CY1106" s="34" t="s">
        <v>86</v>
      </c>
    </row>
    <row r="1107" spans="4:103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14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CY1107" s="34" t="s">
        <v>86</v>
      </c>
    </row>
    <row r="1108" spans="4:103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14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CY1108" s="34" t="s">
        <v>86</v>
      </c>
    </row>
    <row r="1109" spans="4:103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14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CY1109" s="34" t="s">
        <v>86</v>
      </c>
    </row>
    <row r="1110" spans="4:103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14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CY1110" s="34" t="s">
        <v>86</v>
      </c>
    </row>
    <row r="1111" spans="4:103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14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CY1111" s="34" t="s">
        <v>86</v>
      </c>
    </row>
    <row r="1112" spans="4:103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14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CY1112" s="34" t="s">
        <v>86</v>
      </c>
    </row>
    <row r="1113" spans="4:103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14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CY1113" s="34" t="s">
        <v>86</v>
      </c>
    </row>
    <row r="1114" spans="4:103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14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CY1114" s="34" t="s">
        <v>86</v>
      </c>
    </row>
    <row r="1115" spans="4:103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14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CY1115" s="34" t="s">
        <v>86</v>
      </c>
    </row>
    <row r="1116" spans="4:103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14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CY1116" s="34" t="s">
        <v>86</v>
      </c>
    </row>
    <row r="1117" spans="4:103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14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CY1117" s="34" t="s">
        <v>86</v>
      </c>
    </row>
    <row r="1118" spans="4:103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14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CY1118" s="34" t="s">
        <v>86</v>
      </c>
    </row>
    <row r="1119" spans="4:103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14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CY1119" s="34" t="s">
        <v>86</v>
      </c>
    </row>
    <row r="1120" spans="4:103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14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CY1120" s="34" t="s">
        <v>86</v>
      </c>
    </row>
    <row r="1121" spans="4:103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14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CY1121" s="34" t="s">
        <v>86</v>
      </c>
    </row>
    <row r="1122" spans="4:103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14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CY1122" s="34" t="s">
        <v>86</v>
      </c>
    </row>
    <row r="1123" spans="4:103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14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CY1123" s="34" t="s">
        <v>86</v>
      </c>
    </row>
    <row r="1124" spans="4:103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14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CY1124" s="34" t="s">
        <v>86</v>
      </c>
    </row>
    <row r="1125" spans="4:103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14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CY1125" s="34" t="s">
        <v>86</v>
      </c>
    </row>
    <row r="1126" spans="4:103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14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CY1126" s="34" t="s">
        <v>86</v>
      </c>
    </row>
    <row r="1127" spans="4:103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14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CY1127" s="34" t="s">
        <v>86</v>
      </c>
    </row>
    <row r="1128" spans="4:103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14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CY1128" s="34" t="s">
        <v>86</v>
      </c>
    </row>
    <row r="1129" spans="4:103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14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CY1129" s="34" t="s">
        <v>86</v>
      </c>
    </row>
    <row r="1130" spans="4:103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14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CY1130" s="34" t="s">
        <v>86</v>
      </c>
    </row>
    <row r="1131" spans="4:103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14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CY1131" s="34" t="s">
        <v>86</v>
      </c>
    </row>
    <row r="1132" spans="4:103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14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CY1132" s="34" t="s">
        <v>86</v>
      </c>
    </row>
    <row r="1133" spans="4:103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14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CY1133" s="34" t="s">
        <v>86</v>
      </c>
    </row>
    <row r="1134" spans="4:103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14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CY1134" s="34" t="s">
        <v>86</v>
      </c>
    </row>
    <row r="1135" spans="4:103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14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CY1135" s="34" t="s">
        <v>86</v>
      </c>
    </row>
    <row r="1136" spans="4:103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14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CY1136" s="34" t="s">
        <v>86</v>
      </c>
    </row>
    <row r="1137" spans="4:103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14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CY1137" s="34" t="s">
        <v>86</v>
      </c>
    </row>
    <row r="1138" spans="4:103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14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CY1138" s="34" t="s">
        <v>86</v>
      </c>
    </row>
    <row r="1139" spans="4:103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14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CY1139" s="34" t="s">
        <v>86</v>
      </c>
    </row>
    <row r="1140" spans="4:103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14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CY1140" s="34" t="s">
        <v>86</v>
      </c>
    </row>
    <row r="1141" spans="4:103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14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CY1141" s="34" t="s">
        <v>86</v>
      </c>
    </row>
    <row r="1142" spans="4:103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14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CY1142" s="34" t="s">
        <v>86</v>
      </c>
    </row>
    <row r="1143" spans="4:103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14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CY1143" s="34" t="s">
        <v>86</v>
      </c>
    </row>
    <row r="1144" spans="4:103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14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CY1144" s="34" t="s">
        <v>86</v>
      </c>
    </row>
    <row r="1145" spans="4:103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14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CY1145" s="34" t="s">
        <v>86</v>
      </c>
    </row>
    <row r="1146" spans="4:103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14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CY1146" s="34" t="s">
        <v>86</v>
      </c>
    </row>
    <row r="1147" spans="4:103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14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CY1147" s="34" t="s">
        <v>86</v>
      </c>
    </row>
    <row r="1148" spans="4:103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14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CY1148" s="34" t="s">
        <v>86</v>
      </c>
    </row>
    <row r="1149" spans="4:103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14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CY1149" s="34" t="s">
        <v>86</v>
      </c>
    </row>
    <row r="1150" spans="4:103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14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CY1150" s="34" t="s">
        <v>86</v>
      </c>
    </row>
    <row r="1151" spans="4:103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14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CY1151" s="34" t="s">
        <v>86</v>
      </c>
    </row>
    <row r="1152" spans="4:103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14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CY1152" s="34" t="s">
        <v>86</v>
      </c>
    </row>
    <row r="1153" spans="4:103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14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CY1153" s="34" t="s">
        <v>86</v>
      </c>
    </row>
    <row r="1154" spans="4:103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14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CY1154" s="34" t="s">
        <v>86</v>
      </c>
    </row>
    <row r="1155" spans="4:103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15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CY1155" s="34" t="s">
        <v>86</v>
      </c>
    </row>
    <row r="1156" spans="4:103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15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CY1156" s="34" t="s">
        <v>86</v>
      </c>
    </row>
    <row r="1157" spans="4:103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15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CY1157" s="34" t="s">
        <v>86</v>
      </c>
    </row>
    <row r="1158" spans="4:103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15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CY1158" s="34" t="s">
        <v>86</v>
      </c>
    </row>
    <row r="1159" spans="4:103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15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CY1159" s="34" t="s">
        <v>86</v>
      </c>
    </row>
    <row r="1160" spans="4:103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15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CY1160" s="34" t="s">
        <v>86</v>
      </c>
    </row>
    <row r="1161" spans="4:103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15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CY1161" s="34" t="s">
        <v>86</v>
      </c>
    </row>
    <row r="1162" spans="4:103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15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CY1162" s="34" t="s">
        <v>86</v>
      </c>
    </row>
    <row r="1163" spans="4:103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15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CY1163" s="34" t="s">
        <v>86</v>
      </c>
    </row>
    <row r="1164" spans="4:103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15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CY1164" s="34" t="s">
        <v>86</v>
      </c>
    </row>
    <row r="1165" spans="4:103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15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CY1165" s="34" t="s">
        <v>86</v>
      </c>
    </row>
    <row r="1166" spans="4:103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15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CY1166" s="34" t="s">
        <v>86</v>
      </c>
    </row>
    <row r="1167" spans="4:103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15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CY1167" s="34" t="s">
        <v>86</v>
      </c>
    </row>
    <row r="1168" spans="4:103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15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CY1168" s="34" t="s">
        <v>86</v>
      </c>
    </row>
    <row r="1169" spans="4:103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15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CY1169" s="34" t="s">
        <v>86</v>
      </c>
    </row>
    <row r="1170" spans="4:103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15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CY1170" s="34" t="s">
        <v>86</v>
      </c>
    </row>
    <row r="1171" spans="4:103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15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CY1171" s="34" t="s">
        <v>86</v>
      </c>
    </row>
    <row r="1172" spans="4:103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15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CY1172" s="34" t="s">
        <v>86</v>
      </c>
    </row>
    <row r="1173" spans="4:103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15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CY1173" s="34" t="s">
        <v>86</v>
      </c>
    </row>
    <row r="1174" spans="4:103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15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CY1174" s="34" t="s">
        <v>86</v>
      </c>
    </row>
    <row r="1175" spans="4:103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15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CY1175" s="34" t="s">
        <v>86</v>
      </c>
    </row>
    <row r="1176" spans="4:103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15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CY1176" s="34" t="s">
        <v>86</v>
      </c>
    </row>
    <row r="1177" spans="4:103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15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CY1177" s="34" t="s">
        <v>86</v>
      </c>
    </row>
    <row r="1178" spans="4:103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15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CY1178" s="34" t="s">
        <v>86</v>
      </c>
    </row>
    <row r="1179" spans="4:103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15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CY1179" s="34" t="s">
        <v>86</v>
      </c>
    </row>
    <row r="1180" spans="4:103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15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CY1180" s="34" t="s">
        <v>86</v>
      </c>
    </row>
    <row r="1181" spans="4:103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15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CY1181" s="34" t="s">
        <v>86</v>
      </c>
    </row>
    <row r="1182" spans="4:103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15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CY1182" s="34" t="s">
        <v>86</v>
      </c>
    </row>
    <row r="1183" spans="4:103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15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CY1183" s="34" t="s">
        <v>86</v>
      </c>
    </row>
    <row r="1184" spans="4:103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15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CY1184" s="34" t="s">
        <v>86</v>
      </c>
    </row>
    <row r="1185" spans="4:103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15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CY1185" s="34" t="s">
        <v>86</v>
      </c>
    </row>
    <row r="1186" spans="4:103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15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CY1186" s="34" t="s">
        <v>86</v>
      </c>
    </row>
    <row r="1187" spans="4:103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15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CY1187" s="34" t="s">
        <v>86</v>
      </c>
    </row>
    <row r="1188" spans="4:103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15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CY1188" s="34" t="s">
        <v>86</v>
      </c>
    </row>
    <row r="1189" spans="4:103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15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CY1189" s="34" t="s">
        <v>86</v>
      </c>
    </row>
    <row r="1190" spans="4:103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15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CY1190" s="34" t="s">
        <v>86</v>
      </c>
    </row>
    <row r="1191" spans="4:103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15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CY1191" s="34" t="s">
        <v>86</v>
      </c>
    </row>
    <row r="1192" spans="4:103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15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CY1192" s="34" t="s">
        <v>86</v>
      </c>
    </row>
    <row r="1193" spans="4:103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15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CY1193" s="34" t="s">
        <v>86</v>
      </c>
    </row>
    <row r="1194" spans="4:103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15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CY1194" s="34" t="s">
        <v>86</v>
      </c>
    </row>
    <row r="1195" spans="4:103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15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CY1195" s="34" t="s">
        <v>86</v>
      </c>
    </row>
    <row r="1196" spans="4:103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15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CY1196" s="34" t="s">
        <v>86</v>
      </c>
    </row>
    <row r="1197" spans="4:103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15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CY1197" s="34" t="s">
        <v>86</v>
      </c>
    </row>
    <row r="1198" spans="4:103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15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CY1198" s="34" t="s">
        <v>86</v>
      </c>
    </row>
    <row r="1199" spans="4:103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15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CY1199" s="34" t="s">
        <v>86</v>
      </c>
    </row>
    <row r="1200" spans="4:103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15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CY1200" s="34" t="s">
        <v>86</v>
      </c>
    </row>
    <row r="1201" spans="4:103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15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CY1201" s="34" t="s">
        <v>86</v>
      </c>
    </row>
    <row r="1202" spans="4:103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15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CY1202" s="34" t="s">
        <v>86</v>
      </c>
    </row>
    <row r="1203" spans="4:103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15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CY1203" s="34" t="s">
        <v>86</v>
      </c>
    </row>
    <row r="1204" spans="4:103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15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CY1204" s="34" t="s">
        <v>86</v>
      </c>
    </row>
    <row r="1205" spans="4:103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15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CY1205" s="34" t="s">
        <v>86</v>
      </c>
    </row>
    <row r="1206" spans="4:103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15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CY1206" s="34" t="s">
        <v>86</v>
      </c>
    </row>
    <row r="1207" spans="4:103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15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CY1207" s="34" t="s">
        <v>86</v>
      </c>
    </row>
    <row r="1208" spans="4:103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15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CY1208" s="34" t="s">
        <v>86</v>
      </c>
    </row>
    <row r="1209" spans="4:103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15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CY1209" s="34" t="s">
        <v>86</v>
      </c>
    </row>
    <row r="1210" spans="4:103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15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CY1210" s="34" t="s">
        <v>86</v>
      </c>
    </row>
    <row r="1211" spans="4:103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15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CY1211" s="34" t="s">
        <v>86</v>
      </c>
    </row>
    <row r="1212" spans="4:103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15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CY1212" s="34" t="s">
        <v>86</v>
      </c>
    </row>
    <row r="1213" spans="4:103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15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CY1213" s="34" t="s">
        <v>86</v>
      </c>
    </row>
    <row r="1214" spans="4:103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15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CY1214" s="34" t="s">
        <v>86</v>
      </c>
    </row>
    <row r="1215" spans="4:103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15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CY1215" s="34" t="s">
        <v>86</v>
      </c>
    </row>
    <row r="1216" spans="4:103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15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CY1216" s="34" t="s">
        <v>86</v>
      </c>
    </row>
    <row r="1217" spans="4:103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15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CY1217" s="34" t="s">
        <v>86</v>
      </c>
    </row>
    <row r="1218" spans="4:103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15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CY1218" s="34" t="s">
        <v>86</v>
      </c>
    </row>
    <row r="1219" spans="4:103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16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CY1219" s="34" t="s">
        <v>86</v>
      </c>
    </row>
    <row r="1220" spans="4:103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16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CY1220" s="34" t="s">
        <v>86</v>
      </c>
    </row>
    <row r="1221" spans="4:103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16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CY1221" s="34" t="s">
        <v>86</v>
      </c>
    </row>
    <row r="1222" spans="4:103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16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CY1222" s="34" t="s">
        <v>86</v>
      </c>
    </row>
    <row r="1223" spans="4:103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16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CY1223" s="34" t="s">
        <v>86</v>
      </c>
    </row>
    <row r="1224" spans="4:103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16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CY1224" s="34" t="s">
        <v>86</v>
      </c>
    </row>
    <row r="1225" spans="4:103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16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CY1225" s="34" t="s">
        <v>86</v>
      </c>
    </row>
    <row r="1226" spans="4:103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16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CY1226" s="34" t="s">
        <v>86</v>
      </c>
    </row>
    <row r="1227" spans="4:103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16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CY1227" s="34" t="s">
        <v>86</v>
      </c>
    </row>
    <row r="1228" spans="4:103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16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CY1228" s="34" t="s">
        <v>86</v>
      </c>
    </row>
    <row r="1229" spans="4:103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16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CY1229" s="34" t="s">
        <v>86</v>
      </c>
    </row>
    <row r="1230" spans="4:103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16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CY1230" s="34" t="s">
        <v>86</v>
      </c>
    </row>
    <row r="1231" spans="4:103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16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CY1231" s="34" t="s">
        <v>86</v>
      </c>
    </row>
    <row r="1232" spans="4:103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16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CY1232" s="34" t="s">
        <v>86</v>
      </c>
    </row>
    <row r="1233" spans="4:103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16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CY1233" s="34" t="s">
        <v>86</v>
      </c>
    </row>
    <row r="1234" spans="4:103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16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CY1234" s="34" t="s">
        <v>86</v>
      </c>
    </row>
    <row r="1235" spans="4:103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16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CY1235" s="34" t="s">
        <v>86</v>
      </c>
    </row>
    <row r="1236" spans="4:103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16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CY1236" s="34" t="s">
        <v>86</v>
      </c>
    </row>
    <row r="1237" spans="4:103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16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CY1237" s="34" t="s">
        <v>86</v>
      </c>
    </row>
    <row r="1238" spans="4:103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16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CY1238" s="34" t="s">
        <v>86</v>
      </c>
    </row>
    <row r="1239" spans="4:103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16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CY1239" s="34" t="s">
        <v>86</v>
      </c>
    </row>
    <row r="1240" spans="4:103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16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CY1240" s="34" t="s">
        <v>86</v>
      </c>
    </row>
    <row r="1241" spans="4:103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16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CY1241" s="34" t="s">
        <v>86</v>
      </c>
    </row>
    <row r="1242" spans="4:103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16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CY1242" s="34" t="s">
        <v>86</v>
      </c>
    </row>
    <row r="1243" spans="4:103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16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CY1243" s="34" t="s">
        <v>86</v>
      </c>
    </row>
    <row r="1244" spans="4:103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16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CY1244" s="34" t="s">
        <v>86</v>
      </c>
    </row>
    <row r="1245" spans="4:103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16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CY1245" s="34" t="s">
        <v>86</v>
      </c>
    </row>
    <row r="1246" spans="4:103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16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CY1246" s="34" t="s">
        <v>86</v>
      </c>
    </row>
    <row r="1247" spans="4:103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16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CY1247" s="34" t="s">
        <v>86</v>
      </c>
    </row>
    <row r="1248" spans="4:103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16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CY1248" s="34" t="s">
        <v>86</v>
      </c>
    </row>
    <row r="1249" spans="4:103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16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CY1249" s="34" t="s">
        <v>86</v>
      </c>
    </row>
    <row r="1250" spans="4:103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16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CY1250" s="34" t="s">
        <v>86</v>
      </c>
    </row>
    <row r="1251" spans="4:103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16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CY1251" s="34" t="s">
        <v>86</v>
      </c>
    </row>
    <row r="1252" spans="4:103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16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CY1252" s="34" t="s">
        <v>86</v>
      </c>
    </row>
    <row r="1253" spans="4:103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16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CY1253" s="34" t="s">
        <v>86</v>
      </c>
    </row>
    <row r="1254" spans="4:103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16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CY1254" s="34" t="s">
        <v>86</v>
      </c>
    </row>
    <row r="1255" spans="4:103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16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CY1255" s="34" t="s">
        <v>86</v>
      </c>
    </row>
    <row r="1256" spans="4:103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16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CY1256" s="34" t="s">
        <v>86</v>
      </c>
    </row>
    <row r="1257" spans="4:103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16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CY1257" s="34" t="s">
        <v>86</v>
      </c>
    </row>
    <row r="1258" spans="4:103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16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CY1258" s="34" t="s">
        <v>86</v>
      </c>
    </row>
    <row r="1259" spans="4:103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16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CY1259" s="34" t="s">
        <v>86</v>
      </c>
    </row>
    <row r="1260" spans="4:103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16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CY1260" s="34" t="s">
        <v>86</v>
      </c>
    </row>
    <row r="1261" spans="4:103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16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CY1261" s="34" t="s">
        <v>86</v>
      </c>
    </row>
    <row r="1262" spans="4:103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16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CY1262" s="34" t="s">
        <v>86</v>
      </c>
    </row>
    <row r="1263" spans="4:103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16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CY1263" s="34" t="s">
        <v>86</v>
      </c>
    </row>
    <row r="1264" spans="4:103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16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CY1264" s="34" t="s">
        <v>86</v>
      </c>
    </row>
    <row r="1265" spans="4:103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16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CY1265" s="34" t="s">
        <v>86</v>
      </c>
    </row>
    <row r="1266" spans="4:103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16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CY1266" s="34" t="s">
        <v>86</v>
      </c>
    </row>
    <row r="1267" spans="4:103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16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CY1267" s="34" t="s">
        <v>86</v>
      </c>
    </row>
    <row r="1268" spans="4:103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16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CY1268" s="34" t="s">
        <v>86</v>
      </c>
    </row>
    <row r="1269" spans="4:103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CY1269" s="34" t="s">
        <v>86</v>
      </c>
    </row>
    <row r="1270" spans="4:103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CY1270" s="34" t="s">
        <v>86</v>
      </c>
    </row>
    <row r="1271" spans="4:103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CY1271" s="34" t="s">
        <v>86</v>
      </c>
    </row>
    <row r="1272" spans="4:103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CY1272" s="34" t="s">
        <v>86</v>
      </c>
    </row>
    <row r="1273" spans="4:103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CY1273" s="34" t="s">
        <v>86</v>
      </c>
    </row>
    <row r="1274" spans="4:103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CY1274" s="34" t="s">
        <v>86</v>
      </c>
    </row>
    <row r="1275" spans="4:103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CY1275" s="34" t="s">
        <v>86</v>
      </c>
    </row>
    <row r="1276" spans="4:103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CY1276" s="34" t="s">
        <v>86</v>
      </c>
    </row>
    <row r="1277" spans="4:103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CY1277" s="34" t="s">
        <v>86</v>
      </c>
    </row>
    <row r="1278" spans="4:103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CY1278" s="34" t="s">
        <v>86</v>
      </c>
    </row>
    <row r="1279" spans="4:103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CY1279" s="34" t="s">
        <v>86</v>
      </c>
    </row>
    <row r="1280" spans="4:103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CY1280" s="34" t="s">
        <v>86</v>
      </c>
    </row>
    <row r="1281" spans="4:103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CY1281" s="34" t="s">
        <v>86</v>
      </c>
    </row>
    <row r="1282" spans="4:103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CY1282" s="34" t="s">
        <v>86</v>
      </c>
    </row>
    <row r="1283" spans="4:103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CY1283" s="34" t="s">
        <v>86</v>
      </c>
    </row>
    <row r="1284" spans="4:103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CY1284" s="34" t="s">
        <v>86</v>
      </c>
    </row>
    <row r="1285" spans="4:103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CY1285" s="34" t="s">
        <v>86</v>
      </c>
    </row>
    <row r="1286" spans="4:103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CY1286" s="34" t="s">
        <v>86</v>
      </c>
    </row>
    <row r="1287" spans="4:103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CY1287" s="34" t="s">
        <v>86</v>
      </c>
    </row>
    <row r="1288" spans="4:103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CY1288" s="34" t="s">
        <v>86</v>
      </c>
    </row>
    <row r="1289" spans="4:103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CY1289" s="34" t="s">
        <v>86</v>
      </c>
    </row>
    <row r="1290" spans="4:103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CY1290" s="34" t="s">
        <v>86</v>
      </c>
    </row>
    <row r="1291" spans="4:103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CY1291" s="34" t="s">
        <v>86</v>
      </c>
    </row>
    <row r="1292" spans="4:103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CY1292" s="34" t="s">
        <v>86</v>
      </c>
    </row>
    <row r="1293" spans="4:103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CY1293" s="34" t="s">
        <v>86</v>
      </c>
    </row>
    <row r="1294" spans="4:103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CY1294" s="34" t="s">
        <v>86</v>
      </c>
    </row>
    <row r="1295" spans="4:103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CY1295" s="34" t="s">
        <v>86</v>
      </c>
    </row>
    <row r="1296" spans="4:103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CY1296" s="34" t="s">
        <v>86</v>
      </c>
    </row>
    <row r="1297" spans="4:103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CY1297" s="34" t="s">
        <v>86</v>
      </c>
    </row>
    <row r="1298" spans="4:103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CY1298" s="34" t="s">
        <v>86</v>
      </c>
    </row>
    <row r="1299" spans="4:103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CY1299" s="34" t="s">
        <v>86</v>
      </c>
    </row>
    <row r="1300" spans="4:103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CY1300" s="34" t="s">
        <v>86</v>
      </c>
    </row>
    <row r="1301" spans="4:103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CY1301" s="34" t="s">
        <v>86</v>
      </c>
    </row>
    <row r="1302" spans="4:103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CY1302" s="34" t="s">
        <v>86</v>
      </c>
    </row>
    <row r="1303" spans="4:103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CY1303" s="34" t="s">
        <v>86</v>
      </c>
    </row>
    <row r="1304" spans="4:103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CY1304" s="34" t="s">
        <v>86</v>
      </c>
    </row>
    <row r="1305" spans="4:103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CY1305" s="34" t="s">
        <v>86</v>
      </c>
    </row>
    <row r="1306" spans="4:103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CY1306" s="34" t="s">
        <v>86</v>
      </c>
    </row>
    <row r="1307" spans="4:103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CY1307" s="34" t="s">
        <v>86</v>
      </c>
    </row>
    <row r="1308" spans="4:103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CY1308" s="34" t="s">
        <v>86</v>
      </c>
    </row>
    <row r="1309" spans="4:103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CY1309" s="34" t="s">
        <v>86</v>
      </c>
    </row>
    <row r="1310" spans="4:103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CY1310" s="34" t="s">
        <v>86</v>
      </c>
    </row>
    <row r="1311" spans="4:103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CY1311" s="34" t="s">
        <v>86</v>
      </c>
    </row>
    <row r="1312" spans="4:103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CY1312" s="34" t="s">
        <v>86</v>
      </c>
    </row>
    <row r="1313" spans="4:103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CY1313" s="34" t="s">
        <v>86</v>
      </c>
    </row>
    <row r="1314" spans="4:103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CY1314" s="34" t="s">
        <v>86</v>
      </c>
    </row>
    <row r="1315" spans="4:103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CY1315" s="34" t="s">
        <v>86</v>
      </c>
    </row>
    <row r="1316" spans="4:103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CY1316" s="34" t="s">
        <v>86</v>
      </c>
    </row>
    <row r="1317" spans="4:103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CY1317" s="34" t="s">
        <v>86</v>
      </c>
    </row>
    <row r="1318" spans="4:103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CY1318" s="34" t="s">
        <v>86</v>
      </c>
    </row>
    <row r="1319" spans="4:103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CY1319" s="34" t="s">
        <v>86</v>
      </c>
    </row>
    <row r="1320" spans="4:103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CY1320" s="34" t="s">
        <v>86</v>
      </c>
    </row>
    <row r="1321" spans="4:103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CY1321" s="34" t="s">
        <v>86</v>
      </c>
    </row>
    <row r="1322" spans="4:103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CY1322" s="34" t="s">
        <v>86</v>
      </c>
    </row>
    <row r="1323" spans="4:103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CY1323" s="34" t="s">
        <v>86</v>
      </c>
    </row>
    <row r="1324" spans="4:103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CY1324" s="34" t="s">
        <v>86</v>
      </c>
    </row>
    <row r="1325" spans="4:103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CY1325" s="34" t="s">
        <v>86</v>
      </c>
    </row>
    <row r="1326" spans="4:103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CY1326" s="34" t="s">
        <v>86</v>
      </c>
    </row>
    <row r="1327" spans="4:103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CY1327" s="34" t="s">
        <v>86</v>
      </c>
    </row>
    <row r="1328" spans="4:103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CY1328" s="34" t="s">
        <v>86</v>
      </c>
    </row>
    <row r="1329" spans="4:103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CY1329" s="34" t="s">
        <v>86</v>
      </c>
    </row>
    <row r="1330" spans="4:103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CY1330" s="34" t="s">
        <v>86</v>
      </c>
    </row>
    <row r="1331" spans="4:103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CY1331" s="34" t="s">
        <v>86</v>
      </c>
    </row>
    <row r="1332" spans="4:103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CY1332" s="34" t="s">
        <v>86</v>
      </c>
    </row>
    <row r="1333" spans="4:103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CY1333" s="34" t="s">
        <v>86</v>
      </c>
    </row>
    <row r="1334" spans="4:103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CY1334" s="34" t="s">
        <v>86</v>
      </c>
    </row>
    <row r="1335" spans="4:103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CY1335" s="34" t="s">
        <v>86</v>
      </c>
    </row>
    <row r="1336" spans="4:103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CY1336" s="34" t="s">
        <v>86</v>
      </c>
    </row>
    <row r="1337" spans="4:103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CY1337" s="34" t="s">
        <v>86</v>
      </c>
    </row>
    <row r="1338" spans="4:103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CY1338" s="34" t="s">
        <v>86</v>
      </c>
    </row>
    <row r="1339" spans="4:103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CY1339" s="34" t="s">
        <v>86</v>
      </c>
    </row>
    <row r="1340" spans="4:103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CY1340" s="34" t="s">
        <v>86</v>
      </c>
    </row>
    <row r="1341" spans="4:103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CY1341" s="34" t="s">
        <v>86</v>
      </c>
    </row>
    <row r="1342" spans="4:103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CY1342" s="34" t="s">
        <v>86</v>
      </c>
    </row>
    <row r="1343" spans="4:103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CY1343" s="34" t="s">
        <v>86</v>
      </c>
    </row>
    <row r="1344" spans="4:103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CY1344" s="34" t="s">
        <v>86</v>
      </c>
    </row>
    <row r="1345" spans="4:103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CY1345" s="34" t="s">
        <v>86</v>
      </c>
    </row>
    <row r="1346" spans="4:103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CY1346" s="34" t="s">
        <v>86</v>
      </c>
    </row>
    <row r="1347" spans="4:103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CY1347" s="34" t="s">
        <v>86</v>
      </c>
    </row>
    <row r="1348" spans="4:103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CY1348" s="34" t="s">
        <v>86</v>
      </c>
    </row>
    <row r="1349" spans="4:103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CY1349" s="34" t="s">
        <v>86</v>
      </c>
    </row>
    <row r="1350" spans="4:103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CY1350" s="34" t="s">
        <v>86</v>
      </c>
    </row>
    <row r="1351" spans="4:103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CY1351" s="34" t="s">
        <v>86</v>
      </c>
    </row>
    <row r="1352" spans="4:103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CY1352" s="34" t="s">
        <v>86</v>
      </c>
    </row>
    <row r="1353" spans="4:103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CY1353" s="34" t="s">
        <v>86</v>
      </c>
    </row>
    <row r="1354" spans="4:103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CY1354" s="34" t="s">
        <v>86</v>
      </c>
    </row>
    <row r="1355" spans="4:103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CY1355" s="34" t="s">
        <v>86</v>
      </c>
    </row>
    <row r="1356" spans="4:103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CY1356" s="34" t="s">
        <v>86</v>
      </c>
    </row>
    <row r="1357" spans="4:103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CY1357" s="34" t="s">
        <v>86</v>
      </c>
    </row>
    <row r="1358" spans="4:103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CY1358" s="34" t="s">
        <v>86</v>
      </c>
    </row>
    <row r="1359" spans="4:103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CY1359" s="34" t="s">
        <v>86</v>
      </c>
    </row>
    <row r="1360" spans="4:103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CY1360" s="34" t="s">
        <v>86</v>
      </c>
    </row>
    <row r="1361" spans="4:103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CY1361" s="34" t="s">
        <v>86</v>
      </c>
    </row>
    <row r="1362" spans="4:103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CY1362" s="34" t="s">
        <v>86</v>
      </c>
    </row>
    <row r="1363" spans="4:103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CY1363" s="34" t="s">
        <v>86</v>
      </c>
    </row>
    <row r="1364" spans="4:103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CY1364" s="34" t="s">
        <v>86</v>
      </c>
    </row>
    <row r="1365" spans="4:103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CY1365" s="34" t="s">
        <v>86</v>
      </c>
    </row>
    <row r="1366" spans="4:103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CY1366" s="34" t="s">
        <v>86</v>
      </c>
    </row>
    <row r="1367" spans="4:103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CY1367" s="34" t="s">
        <v>86</v>
      </c>
    </row>
    <row r="1368" spans="4:103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CY1368" s="34" t="s">
        <v>86</v>
      </c>
    </row>
    <row r="1369" spans="4:103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CY1369" s="34" t="s">
        <v>86</v>
      </c>
    </row>
    <row r="1370" spans="4:103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CY1370" s="34" t="s">
        <v>86</v>
      </c>
    </row>
    <row r="1371" spans="4:103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CY1371" s="34" t="s">
        <v>86</v>
      </c>
    </row>
    <row r="1372" spans="4:103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CY1372" s="34" t="s">
        <v>86</v>
      </c>
    </row>
    <row r="1373" spans="4:103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CY1373" s="34" t="s">
        <v>86</v>
      </c>
    </row>
    <row r="1374" spans="4:103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CY1374" s="34" t="s">
        <v>86</v>
      </c>
    </row>
    <row r="1375" spans="4:103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CY1375" s="34" t="s">
        <v>86</v>
      </c>
    </row>
    <row r="1376" spans="4:103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CY1376" s="34" t="s">
        <v>86</v>
      </c>
    </row>
    <row r="1377" spans="4:103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CY1377" s="34" t="s">
        <v>86</v>
      </c>
    </row>
    <row r="1378" spans="4:103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CY1378" s="34" t="s">
        <v>86</v>
      </c>
    </row>
    <row r="1379" spans="4:103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CY1379" s="34" t="s">
        <v>86</v>
      </c>
    </row>
    <row r="1380" spans="4:103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CY1380" s="34" t="s">
        <v>86</v>
      </c>
    </row>
    <row r="1381" spans="4:103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CY1381" s="34" t="s">
        <v>86</v>
      </c>
    </row>
    <row r="1382" spans="4:103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CY1382" s="34" t="s">
        <v>86</v>
      </c>
    </row>
    <row r="1383" spans="4:103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CY1383" s="34" t="s">
        <v>86</v>
      </c>
    </row>
    <row r="1384" spans="4:103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CY1384" s="34" t="s">
        <v>86</v>
      </c>
    </row>
    <row r="1385" spans="4:103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CY1385" s="34" t="s">
        <v>86</v>
      </c>
    </row>
    <row r="1386" spans="4:103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CY1386" s="34" t="s">
        <v>86</v>
      </c>
    </row>
    <row r="1387" spans="4:103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CY1387" s="34" t="s">
        <v>86</v>
      </c>
    </row>
    <row r="1388" spans="4:103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CY1388" s="34" t="s">
        <v>86</v>
      </c>
    </row>
    <row r="1389" spans="4:103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CY1389" s="34" t="s">
        <v>86</v>
      </c>
    </row>
    <row r="1390" spans="4:103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CY1390" s="34" t="s">
        <v>86</v>
      </c>
    </row>
    <row r="1391" spans="4:103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CY1391" s="34" t="s">
        <v>86</v>
      </c>
    </row>
    <row r="1392" spans="4:103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CY1392" s="34" t="s">
        <v>86</v>
      </c>
    </row>
    <row r="1393" spans="4:103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CY1393" s="34" t="s">
        <v>86</v>
      </c>
    </row>
    <row r="1394" spans="4:103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CY1394" s="34" t="s">
        <v>86</v>
      </c>
    </row>
    <row r="1395" spans="4:103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CY1395" s="34" t="s">
        <v>86</v>
      </c>
    </row>
    <row r="1396" spans="4:103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CY1396" s="34" t="s">
        <v>86</v>
      </c>
    </row>
    <row r="1397" spans="4:103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CY1397" s="34" t="s">
        <v>86</v>
      </c>
    </row>
    <row r="1398" spans="4:103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CY1398" s="34" t="s">
        <v>86</v>
      </c>
    </row>
    <row r="1399" spans="4:103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CY1399" s="34" t="s">
        <v>86</v>
      </c>
    </row>
    <row r="1400" spans="4:103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CY1400" s="34" t="s">
        <v>86</v>
      </c>
    </row>
    <row r="1401" spans="4:103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CY1401" s="34" t="s">
        <v>86</v>
      </c>
    </row>
    <row r="1402" spans="4:103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CY1402" s="34" t="s">
        <v>86</v>
      </c>
    </row>
    <row r="1403" spans="4:103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CY1403" s="34" t="s">
        <v>86</v>
      </c>
    </row>
    <row r="1404" spans="4:103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CY1404" s="34" t="s">
        <v>86</v>
      </c>
    </row>
    <row r="1405" spans="4:103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CY1405" s="34" t="s">
        <v>86</v>
      </c>
    </row>
    <row r="1406" spans="4:103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CY1406" s="34" t="s">
        <v>86</v>
      </c>
    </row>
    <row r="1407" spans="4:103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CY1407" s="34" t="s">
        <v>86</v>
      </c>
    </row>
    <row r="1408" spans="4:103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CY1408" s="34" t="s">
        <v>86</v>
      </c>
    </row>
    <row r="1409" spans="4:103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CY1409" s="34" t="s">
        <v>86</v>
      </c>
    </row>
    <row r="1410" spans="4:103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CY1410" s="34" t="s">
        <v>86</v>
      </c>
    </row>
    <row r="1411" spans="4:103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CY1411" s="34" t="s">
        <v>86</v>
      </c>
    </row>
    <row r="1412" spans="4:103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CY1412" s="34" t="s">
        <v>86</v>
      </c>
    </row>
    <row r="1413" spans="4:103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CY1413" s="34" t="s">
        <v>86</v>
      </c>
    </row>
    <row r="1414" spans="4:103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CY1414" s="34" t="s">
        <v>86</v>
      </c>
    </row>
    <row r="1415" spans="4:103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CY1415" s="34" t="s">
        <v>86</v>
      </c>
    </row>
    <row r="1416" spans="4:103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CY1416" s="34" t="s">
        <v>86</v>
      </c>
    </row>
    <row r="1417" spans="4:103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CY1417" s="34" t="s">
        <v>86</v>
      </c>
    </row>
    <row r="1418" spans="4:103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CY1418" s="34" t="s">
        <v>86</v>
      </c>
    </row>
    <row r="1419" spans="4:103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CY1419" s="34" t="s">
        <v>86</v>
      </c>
    </row>
    <row r="1420" spans="4:103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CY1420" s="34" t="s">
        <v>86</v>
      </c>
    </row>
    <row r="1421" spans="4:103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CY1421" s="34" t="s">
        <v>86</v>
      </c>
    </row>
    <row r="1422" spans="4:103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CY1422" s="34" t="s">
        <v>86</v>
      </c>
    </row>
    <row r="1423" spans="4:103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CY1423" s="34" t="s">
        <v>86</v>
      </c>
    </row>
    <row r="1424" spans="4:103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CY1424" s="34" t="s">
        <v>86</v>
      </c>
    </row>
    <row r="1425" spans="4:103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CY1425" s="34" t="s">
        <v>86</v>
      </c>
    </row>
    <row r="1426" spans="4:103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CY1426" s="34" t="s">
        <v>86</v>
      </c>
    </row>
    <row r="1427" spans="4:103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CY1427" s="34" t="s">
        <v>86</v>
      </c>
    </row>
    <row r="1428" spans="4:103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CY1428" s="34" t="s">
        <v>86</v>
      </c>
    </row>
    <row r="1429" spans="4:103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CY1429" s="34" t="s">
        <v>86</v>
      </c>
    </row>
    <row r="1430" spans="4:103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CY1430" s="34" t="s">
        <v>86</v>
      </c>
    </row>
    <row r="1431" spans="4:103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CY1431" s="34" t="s">
        <v>86</v>
      </c>
    </row>
    <row r="1432" spans="4:103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CY1432" s="34" t="s">
        <v>86</v>
      </c>
    </row>
    <row r="1433" spans="4:103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CY1433" s="34" t="s">
        <v>86</v>
      </c>
    </row>
    <row r="1434" spans="4:103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CY1434" s="34" t="s">
        <v>86</v>
      </c>
    </row>
    <row r="1435" spans="4:103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CY1435" s="34" t="s">
        <v>86</v>
      </c>
    </row>
    <row r="1436" spans="4:103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CY1436" s="34" t="s">
        <v>86</v>
      </c>
    </row>
    <row r="1437" spans="4:103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CY1437" s="34" t="s">
        <v>86</v>
      </c>
    </row>
    <row r="1438" spans="4:103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CY1438" s="34" t="s">
        <v>86</v>
      </c>
    </row>
    <row r="1439" spans="4:103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CY1439" s="34" t="s">
        <v>86</v>
      </c>
    </row>
    <row r="1440" spans="4:103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CY1440" s="34" t="s">
        <v>86</v>
      </c>
    </row>
    <row r="1441" spans="4:103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CY1441" s="34" t="s">
        <v>86</v>
      </c>
    </row>
    <row r="1442" spans="4:103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CY1442" s="34" t="s">
        <v>86</v>
      </c>
    </row>
    <row r="1443" spans="4:103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CY1443" s="34" t="s">
        <v>86</v>
      </c>
    </row>
    <row r="1444" spans="4:103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CY1444" s="34" t="s">
        <v>86</v>
      </c>
    </row>
    <row r="1445" spans="4:103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CY1445" s="34" t="s">
        <v>86</v>
      </c>
    </row>
    <row r="1446" spans="4:103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CY1446" s="34" t="s">
        <v>86</v>
      </c>
    </row>
    <row r="1447" spans="4:103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CY1447" s="34" t="s">
        <v>86</v>
      </c>
    </row>
    <row r="1448" spans="4:103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CY1448" s="34" t="s">
        <v>86</v>
      </c>
    </row>
    <row r="1449" spans="4:103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CY1449" s="34" t="s">
        <v>86</v>
      </c>
    </row>
    <row r="1450" spans="4:103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CY1450" s="34" t="s">
        <v>86</v>
      </c>
    </row>
    <row r="1451" spans="4:103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CY1451" s="34" t="s">
        <v>86</v>
      </c>
    </row>
    <row r="1452" spans="4:103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CY1452" s="34" t="s">
        <v>86</v>
      </c>
    </row>
    <row r="1453" spans="4:103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CY1453" s="34" t="s">
        <v>86</v>
      </c>
    </row>
    <row r="1454" spans="4:103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CY1454" s="34" t="s">
        <v>86</v>
      </c>
    </row>
    <row r="1455" spans="4:103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CY1455" s="34" t="s">
        <v>86</v>
      </c>
    </row>
    <row r="1456" spans="4:103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CY1456" s="34" t="s">
        <v>86</v>
      </c>
    </row>
    <row r="1457" spans="4:103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CY1457" s="34" t="s">
        <v>86</v>
      </c>
    </row>
    <row r="1458" spans="4:103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CY1458" s="34" t="s">
        <v>86</v>
      </c>
    </row>
    <row r="1459" spans="4:103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CY1459" s="34" t="s">
        <v>86</v>
      </c>
    </row>
    <row r="1460" spans="4:103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CY1460" s="34" t="s">
        <v>86</v>
      </c>
    </row>
    <row r="1461" spans="4:103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CY1461" s="34" t="s">
        <v>86</v>
      </c>
    </row>
    <row r="1462" spans="4:103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CY1462" s="34" t="s">
        <v>86</v>
      </c>
    </row>
    <row r="1463" spans="4:103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CY1463" s="34" t="s">
        <v>86</v>
      </c>
    </row>
    <row r="1464" spans="4:103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CY1464" s="34" t="s">
        <v>86</v>
      </c>
    </row>
    <row r="1465" spans="4:103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CY1465" s="34" t="s">
        <v>86</v>
      </c>
    </row>
    <row r="1466" spans="4:103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CY1466" s="34" t="s">
        <v>86</v>
      </c>
    </row>
    <row r="1467" spans="4:103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CY1467" s="34" t="s">
        <v>86</v>
      </c>
    </row>
    <row r="1468" spans="4:103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CY1468" s="34" t="s">
        <v>86</v>
      </c>
    </row>
    <row r="1469" spans="4:103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CY1469" s="34" t="s">
        <v>86</v>
      </c>
    </row>
    <row r="1470" spans="4:103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CY1470" s="34" t="s">
        <v>86</v>
      </c>
    </row>
    <row r="1471" spans="4:103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CY1471" s="34" t="s">
        <v>86</v>
      </c>
    </row>
    <row r="1472" spans="4:103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CY1472" s="34" t="s">
        <v>86</v>
      </c>
    </row>
    <row r="1473" spans="4:103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CY1473" s="34" t="s">
        <v>86</v>
      </c>
    </row>
    <row r="1474" spans="4:103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CY1474" s="34" t="s">
        <v>86</v>
      </c>
    </row>
    <row r="1475" spans="4:103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CY1475" s="34" t="s">
        <v>86</v>
      </c>
    </row>
    <row r="1476" spans="4:103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CY1476" s="34" t="s">
        <v>86</v>
      </c>
    </row>
    <row r="1477" spans="4:103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CY1477" s="34" t="s">
        <v>86</v>
      </c>
    </row>
    <row r="1478" spans="4:103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CY1478" s="34" t="s">
        <v>86</v>
      </c>
    </row>
    <row r="1479" spans="4:103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CY1479" s="34" t="s">
        <v>86</v>
      </c>
    </row>
    <row r="1480" spans="4:103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CY1480" s="34" t="s">
        <v>86</v>
      </c>
    </row>
    <row r="1481" spans="4:103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CY1481" s="34" t="s">
        <v>86</v>
      </c>
    </row>
    <row r="1482" spans="4:103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CY1482" s="34" t="s">
        <v>86</v>
      </c>
    </row>
    <row r="1483" spans="4:103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CY1483" s="34" t="s">
        <v>86</v>
      </c>
    </row>
    <row r="1484" spans="4:103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CY1484" s="34" t="s">
        <v>86</v>
      </c>
    </row>
    <row r="1485" spans="4:103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CY1485" s="34" t="s">
        <v>86</v>
      </c>
    </row>
    <row r="1486" spans="4:103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CY1486" s="34" t="s">
        <v>86</v>
      </c>
    </row>
    <row r="1487" spans="4:103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CY1487" s="34" t="s">
        <v>86</v>
      </c>
    </row>
    <row r="1488" spans="4:103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CY1488" s="34" t="s">
        <v>86</v>
      </c>
    </row>
    <row r="1489" spans="4:103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CY1489" s="34" t="s">
        <v>86</v>
      </c>
    </row>
    <row r="1490" spans="4:103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CY1490" s="34" t="s">
        <v>86</v>
      </c>
    </row>
    <row r="1491" spans="4:103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CY1491" s="34" t="s">
        <v>86</v>
      </c>
    </row>
    <row r="1492" spans="4:103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CY1492" s="34" t="s">
        <v>86</v>
      </c>
    </row>
    <row r="1493" spans="4:103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CY1493" s="34" t="s">
        <v>86</v>
      </c>
    </row>
    <row r="1494" spans="4:103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CY1494" s="34" t="s">
        <v>86</v>
      </c>
    </row>
    <row r="1495" spans="4:103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CY1495" s="34" t="s">
        <v>86</v>
      </c>
    </row>
    <row r="1496" spans="4:103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CY1496" s="34" t="s">
        <v>86</v>
      </c>
    </row>
    <row r="1497" spans="4:103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CY1497" s="34" t="s">
        <v>86</v>
      </c>
    </row>
    <row r="1498" spans="4:103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CY1498" s="34" t="s">
        <v>86</v>
      </c>
    </row>
    <row r="1499" spans="4:103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CY1499" s="34" t="s">
        <v>86</v>
      </c>
    </row>
    <row r="1500" spans="4:103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CY1500" s="34" t="s">
        <v>86</v>
      </c>
    </row>
    <row r="1501" spans="4:103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CY1501" s="34" t="s">
        <v>86</v>
      </c>
    </row>
    <row r="1502" spans="4:103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CY1502" s="34" t="s">
        <v>86</v>
      </c>
    </row>
    <row r="1503" spans="4:103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CY1503" s="34" t="s">
        <v>86</v>
      </c>
    </row>
    <row r="1504" spans="4:103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CY1504" s="34" t="s">
        <v>86</v>
      </c>
    </row>
    <row r="1505" spans="4:103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CY1505" s="34" t="s">
        <v>86</v>
      </c>
    </row>
    <row r="1506" spans="4:103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CY1506" s="34" t="s">
        <v>86</v>
      </c>
    </row>
    <row r="1507" spans="4:103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CY1507" s="34" t="s">
        <v>86</v>
      </c>
    </row>
    <row r="1508" spans="4:103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CY1508" s="34" t="s">
        <v>86</v>
      </c>
    </row>
    <row r="1509" spans="4:103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CY1509" s="34" t="s">
        <v>86</v>
      </c>
    </row>
    <row r="1510" spans="4:103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CY1510" s="34" t="s">
        <v>86</v>
      </c>
    </row>
    <row r="1511" spans="4:103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CY1511" s="34" t="s">
        <v>86</v>
      </c>
    </row>
    <row r="1512" spans="4:103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CY1512" s="34" t="s">
        <v>86</v>
      </c>
    </row>
    <row r="1513" spans="4:103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CY1513" s="34" t="s">
        <v>86</v>
      </c>
    </row>
    <row r="1514" spans="4:103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CY1514" s="34" t="s">
        <v>86</v>
      </c>
    </row>
    <row r="1515" spans="4:103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CY1515" s="34" t="s">
        <v>86</v>
      </c>
    </row>
    <row r="1516" spans="4:103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CY1516" s="34" t="s">
        <v>86</v>
      </c>
    </row>
    <row r="1517" spans="4:103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CY1517" s="34" t="s">
        <v>86</v>
      </c>
    </row>
    <row r="1518" spans="4:103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CY1518" s="34" t="s">
        <v>86</v>
      </c>
    </row>
    <row r="1519" spans="4:103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CY1519" s="34" t="s">
        <v>86</v>
      </c>
    </row>
    <row r="1520" spans="4:103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CY1520" s="34" t="s">
        <v>86</v>
      </c>
    </row>
    <row r="1521" spans="4:103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CY1521" s="34" t="s">
        <v>86</v>
      </c>
    </row>
    <row r="1522" spans="4:103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CY1522" s="34" t="s">
        <v>86</v>
      </c>
    </row>
    <row r="1523" spans="4:103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CY1523" s="34" t="s">
        <v>86</v>
      </c>
    </row>
    <row r="1524" spans="4:103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CY1524" s="34" t="s">
        <v>86</v>
      </c>
    </row>
    <row r="1525" spans="4:103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CY1525" s="34" t="s">
        <v>86</v>
      </c>
    </row>
    <row r="1526" spans="4:103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CY1526" s="34" t="s">
        <v>86</v>
      </c>
    </row>
    <row r="1527" spans="4:103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CY1527" s="34" t="s">
        <v>86</v>
      </c>
    </row>
    <row r="1528" spans="4:103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CY1528" s="34" t="s">
        <v>86</v>
      </c>
    </row>
    <row r="1529" spans="4:103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CY1529" s="34" t="s">
        <v>86</v>
      </c>
    </row>
    <row r="1530" spans="4:103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CY1530" s="34" t="s">
        <v>86</v>
      </c>
    </row>
    <row r="1531" spans="4:103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CY1531" s="34" t="s">
        <v>86</v>
      </c>
    </row>
    <row r="1532" spans="4:103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CY1532" s="34" t="s">
        <v>86</v>
      </c>
    </row>
    <row r="1533" spans="4:103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CY1533" s="34" t="s">
        <v>86</v>
      </c>
    </row>
    <row r="1534" spans="4:103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CY1534" s="34" t="s">
        <v>86</v>
      </c>
    </row>
    <row r="1535" spans="4:103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CY1535" s="34" t="s">
        <v>86</v>
      </c>
    </row>
    <row r="1536" spans="4:103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CY1536" s="34" t="s">
        <v>86</v>
      </c>
    </row>
    <row r="1537" spans="4:103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CY1537" s="34" t="s">
        <v>86</v>
      </c>
    </row>
    <row r="1538" spans="4:103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CY1538" s="34" t="s">
        <v>86</v>
      </c>
    </row>
    <row r="1539" spans="4:103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CY1539" s="34" t="s">
        <v>86</v>
      </c>
    </row>
    <row r="1540" spans="4:103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CY1540" s="34" t="s">
        <v>86</v>
      </c>
    </row>
    <row r="1541" spans="4:103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CY1541" s="34" t="s">
        <v>86</v>
      </c>
    </row>
    <row r="1542" spans="4:103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CY1542" s="34" t="s">
        <v>86</v>
      </c>
    </row>
    <row r="1543" spans="4:103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CY1543" s="34" t="s">
        <v>86</v>
      </c>
    </row>
    <row r="1544" spans="4:103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CY1544" s="34" t="s">
        <v>86</v>
      </c>
    </row>
    <row r="1545" spans="4:103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CY1545" s="34" t="s">
        <v>86</v>
      </c>
    </row>
    <row r="1546" spans="4:103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CY1546" s="34" t="s">
        <v>86</v>
      </c>
    </row>
    <row r="1547" spans="4:103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CY1547" s="34" t="s">
        <v>86</v>
      </c>
    </row>
    <row r="1548" spans="4:103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CY1548" s="34" t="s">
        <v>86</v>
      </c>
    </row>
    <row r="1549" spans="4:103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CY1549" s="34" t="s">
        <v>86</v>
      </c>
    </row>
    <row r="1550" spans="4:103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CY1550" s="34" t="s">
        <v>86</v>
      </c>
    </row>
    <row r="1551" spans="4:103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CY1551" s="34" t="s">
        <v>86</v>
      </c>
    </row>
    <row r="1552" spans="4:103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CY1552" s="34" t="s">
        <v>86</v>
      </c>
    </row>
    <row r="1553" spans="4:103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CY1553" s="34" t="s">
        <v>86</v>
      </c>
    </row>
    <row r="1554" spans="4:103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CY1554" s="34" t="s">
        <v>86</v>
      </c>
    </row>
    <row r="1555" spans="4:103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CY1555" s="34" t="s">
        <v>86</v>
      </c>
    </row>
    <row r="1556" spans="4:103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CY1556" s="34" t="s">
        <v>86</v>
      </c>
    </row>
    <row r="1557" spans="4:103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CY1557" s="34" t="s">
        <v>86</v>
      </c>
    </row>
    <row r="1558" spans="4:103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CY1558" s="34" t="s">
        <v>86</v>
      </c>
    </row>
    <row r="1559" spans="4:103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CY1559" s="34" t="s">
        <v>86</v>
      </c>
    </row>
    <row r="1560" spans="4:103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CY1560" s="34" t="s">
        <v>86</v>
      </c>
    </row>
    <row r="1561" spans="4:103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CY1561" s="34" t="s">
        <v>86</v>
      </c>
    </row>
    <row r="1562" spans="4:103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CY1562" s="34" t="s">
        <v>86</v>
      </c>
    </row>
    <row r="1563" spans="4:103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CY1563" s="34" t="s">
        <v>86</v>
      </c>
    </row>
    <row r="1564" spans="4:103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CY1564" s="34" t="s">
        <v>86</v>
      </c>
    </row>
    <row r="1565" spans="4:103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CY1565" s="34" t="s">
        <v>86</v>
      </c>
    </row>
    <row r="1566" spans="4:103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CY1566" s="34" t="s">
        <v>86</v>
      </c>
    </row>
    <row r="1567" spans="4:103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CY1567" s="34" t="s">
        <v>86</v>
      </c>
    </row>
    <row r="1568" spans="4:103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CY1568" s="34" t="s">
        <v>86</v>
      </c>
    </row>
    <row r="1569" spans="4:103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CY1569" s="34" t="s">
        <v>86</v>
      </c>
    </row>
    <row r="1570" spans="4:103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CY1570" s="34" t="s">
        <v>86</v>
      </c>
    </row>
    <row r="1571" spans="4:103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CY1571" s="34" t="s">
        <v>86</v>
      </c>
    </row>
    <row r="1572" spans="4:103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CY1572" s="34" t="s">
        <v>86</v>
      </c>
    </row>
    <row r="1573" spans="4:103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CY1573" s="34" t="s">
        <v>86</v>
      </c>
    </row>
    <row r="1574" spans="4:103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CY1574" s="34" t="s">
        <v>86</v>
      </c>
    </row>
    <row r="1575" spans="4:103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CY1575" s="34" t="s">
        <v>86</v>
      </c>
    </row>
    <row r="1576" spans="4:103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CY1576" s="34" t="s">
        <v>86</v>
      </c>
    </row>
    <row r="1577" spans="4:103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CY1577" s="34" t="s">
        <v>86</v>
      </c>
    </row>
    <row r="1578" spans="4:103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CY1578" s="34" t="s">
        <v>86</v>
      </c>
    </row>
    <row r="1579" spans="4:103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CY1579" s="34" t="s">
        <v>86</v>
      </c>
    </row>
    <row r="1580" spans="4:103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CY1580" s="34" t="s">
        <v>86</v>
      </c>
    </row>
    <row r="1581" spans="4:103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CY1581" s="34" t="s">
        <v>86</v>
      </c>
    </row>
    <row r="1582" spans="4:103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CY1582" s="34" t="s">
        <v>86</v>
      </c>
    </row>
    <row r="1583" spans="4:103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CY1583" s="34" t="s">
        <v>86</v>
      </c>
    </row>
    <row r="1584" spans="4:103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CY1584" s="34" t="s">
        <v>86</v>
      </c>
    </row>
    <row r="1585" spans="4:103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CY1585" s="34" t="s">
        <v>86</v>
      </c>
    </row>
    <row r="1586" spans="4:103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CY1586" s="34" t="s">
        <v>86</v>
      </c>
    </row>
    <row r="1587" spans="4:103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CY1587" s="34" t="s">
        <v>86</v>
      </c>
    </row>
    <row r="1588" spans="4:103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CY1588" s="34" t="s">
        <v>86</v>
      </c>
    </row>
    <row r="1589" spans="4:103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CY1589" s="34" t="s">
        <v>86</v>
      </c>
    </row>
    <row r="1590" spans="4:103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CY1590" s="34" t="s">
        <v>86</v>
      </c>
    </row>
    <row r="1591" spans="4:103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CY1591" s="34" t="s">
        <v>86</v>
      </c>
    </row>
    <row r="1592" spans="4:103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CY1592" s="34" t="s">
        <v>86</v>
      </c>
    </row>
    <row r="1593" spans="4:103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CY1593" s="34" t="s">
        <v>86</v>
      </c>
    </row>
    <row r="1594" spans="4:103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CY1594" s="34" t="s">
        <v>86</v>
      </c>
    </row>
    <row r="1595" spans="4:103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CY1595" s="34" t="s">
        <v>86</v>
      </c>
    </row>
    <row r="1596" spans="4:103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CY1596" s="34" t="s">
        <v>86</v>
      </c>
    </row>
    <row r="1597" spans="4:103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CY1597" s="34" t="s">
        <v>86</v>
      </c>
    </row>
    <row r="1598" spans="4:103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CY1598" s="34" t="s">
        <v>86</v>
      </c>
    </row>
    <row r="1599" spans="4:103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CY1599" s="34" t="s">
        <v>86</v>
      </c>
    </row>
    <row r="1600" spans="4:103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CY1600" s="34" t="s">
        <v>86</v>
      </c>
    </row>
    <row r="1601" spans="4:103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CY1601" s="34" t="s">
        <v>86</v>
      </c>
    </row>
    <row r="1602" spans="4:103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CY1602" s="34" t="s">
        <v>86</v>
      </c>
    </row>
    <row r="1603" spans="4:103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CY1603" s="34" t="s">
        <v>86</v>
      </c>
    </row>
    <row r="1604" spans="4:103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CY1604" s="34" t="s">
        <v>86</v>
      </c>
    </row>
    <row r="1605" spans="4:103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CY1605" s="34" t="s">
        <v>86</v>
      </c>
    </row>
    <row r="1606" spans="4:103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CY1606" s="34" t="s">
        <v>86</v>
      </c>
    </row>
    <row r="1607" spans="4:103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CY1607" s="34" t="s">
        <v>86</v>
      </c>
    </row>
    <row r="1608" spans="4:103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CY1608" s="34" t="s">
        <v>86</v>
      </c>
    </row>
    <row r="1609" spans="4:103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CY1609" s="34" t="s">
        <v>86</v>
      </c>
    </row>
    <row r="1610" spans="4:103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CY1610" s="34" t="s">
        <v>86</v>
      </c>
    </row>
    <row r="1611" spans="4:103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CY1611" s="34" t="s">
        <v>86</v>
      </c>
    </row>
    <row r="1612" spans="4:103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CY1612" s="34" t="s">
        <v>86</v>
      </c>
    </row>
    <row r="1613" spans="4:103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CY1613" s="34" t="s">
        <v>86</v>
      </c>
    </row>
    <row r="1614" spans="4:103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CY1614" s="34" t="s">
        <v>86</v>
      </c>
    </row>
    <row r="1615" spans="4:103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CY1615" s="34" t="s">
        <v>86</v>
      </c>
    </row>
    <row r="1616" spans="4:103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CY1616" s="34" t="s">
        <v>86</v>
      </c>
    </row>
    <row r="1617" spans="4:103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CY1617" s="34" t="s">
        <v>86</v>
      </c>
    </row>
    <row r="1618" spans="4:103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CY1618" s="34" t="s">
        <v>86</v>
      </c>
    </row>
    <row r="1619" spans="4:103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CY1619" s="34" t="s">
        <v>86</v>
      </c>
    </row>
    <row r="1620" spans="4:103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CY1620" s="34" t="s">
        <v>86</v>
      </c>
    </row>
    <row r="1621" spans="4:103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CY1621" s="34" t="s">
        <v>86</v>
      </c>
    </row>
    <row r="1622" spans="4:103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CY1622" s="34" t="s">
        <v>86</v>
      </c>
    </row>
    <row r="1623" spans="4:103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CY1623" s="34" t="s">
        <v>86</v>
      </c>
    </row>
    <row r="1624" spans="4:103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CY1624" s="34" t="s">
        <v>86</v>
      </c>
    </row>
    <row r="1625" spans="4:103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CY1625" s="34" t="s">
        <v>86</v>
      </c>
    </row>
    <row r="1626" spans="4:103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CY1626" s="34" t="s">
        <v>86</v>
      </c>
    </row>
    <row r="1627" spans="4:103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CY1627" s="34" t="s">
        <v>86</v>
      </c>
    </row>
    <row r="1628" spans="4:103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CY1628" s="34" t="s">
        <v>86</v>
      </c>
    </row>
    <row r="1629" spans="4:103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CY1629" s="34" t="s">
        <v>86</v>
      </c>
    </row>
    <row r="1630" spans="4:103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CY1630" s="34" t="s">
        <v>86</v>
      </c>
    </row>
    <row r="1631" spans="4:103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CY1631" s="34" t="s">
        <v>86</v>
      </c>
    </row>
    <row r="1632" spans="4:103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CY1632" s="34" t="s">
        <v>86</v>
      </c>
    </row>
    <row r="1633" spans="4:103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CY1633" s="34" t="s">
        <v>86</v>
      </c>
    </row>
    <row r="1634" spans="4:103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CY1634" s="34" t="s">
        <v>86</v>
      </c>
    </row>
    <row r="1635" spans="4:103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CY1635" s="34" t="s">
        <v>86</v>
      </c>
    </row>
    <row r="1636" spans="4:103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CY1636" s="34" t="s">
        <v>86</v>
      </c>
    </row>
    <row r="1637" spans="4:103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CY1637" s="34" t="s">
        <v>86</v>
      </c>
    </row>
    <row r="1638" spans="4:103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CY1638" s="34" t="s">
        <v>86</v>
      </c>
    </row>
    <row r="1639" spans="4:103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CY1639" s="34" t="s">
        <v>86</v>
      </c>
    </row>
    <row r="1640" spans="4:103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CY1640" s="34" t="s">
        <v>86</v>
      </c>
    </row>
    <row r="1641" spans="4:103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CY1641" s="34" t="s">
        <v>86</v>
      </c>
    </row>
    <row r="1642" spans="4:103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CY1642" s="34" t="s">
        <v>86</v>
      </c>
    </row>
    <row r="1643" spans="4:103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CY1643" s="34" t="s">
        <v>86</v>
      </c>
    </row>
    <row r="1644" spans="4:103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CY1644" s="34" t="s">
        <v>86</v>
      </c>
    </row>
    <row r="1645" spans="4:103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CY1645" s="34" t="s">
        <v>86</v>
      </c>
    </row>
    <row r="1646" spans="4:103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CY1646" s="34" t="s">
        <v>86</v>
      </c>
    </row>
    <row r="1647" spans="4:103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CY1647" s="34" t="s">
        <v>86</v>
      </c>
    </row>
    <row r="1648" spans="4:103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CY1648" s="34" t="s">
        <v>86</v>
      </c>
    </row>
    <row r="1649" spans="4:103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CY1649" s="34" t="s">
        <v>86</v>
      </c>
    </row>
    <row r="1650" spans="4:103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CY1650" s="34" t="s">
        <v>86</v>
      </c>
    </row>
    <row r="1651" spans="4:103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CY1651" s="34" t="s">
        <v>86</v>
      </c>
    </row>
    <row r="1652" spans="4:103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CY1652" s="34" t="s">
        <v>86</v>
      </c>
    </row>
    <row r="1653" spans="4:103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CY1653" s="34" t="s">
        <v>86</v>
      </c>
    </row>
    <row r="1654" spans="4:103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CY1654" s="34" t="s">
        <v>86</v>
      </c>
    </row>
    <row r="1655" spans="4:103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CY1655" s="34" t="s">
        <v>86</v>
      </c>
    </row>
    <row r="1656" spans="4:103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CY1656" s="34" t="s">
        <v>86</v>
      </c>
    </row>
    <row r="1657" spans="4:103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CY1657" s="34" t="s">
        <v>86</v>
      </c>
    </row>
    <row r="1658" spans="4:103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CY1658" s="34" t="s">
        <v>86</v>
      </c>
    </row>
    <row r="1659" spans="4:103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CY1659" s="34" t="s">
        <v>86</v>
      </c>
    </row>
    <row r="1660" spans="4:103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CY1660" s="34" t="s">
        <v>86</v>
      </c>
    </row>
    <row r="1661" spans="4:103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CY1661" s="34" t="s">
        <v>86</v>
      </c>
    </row>
    <row r="1662" spans="4:103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CY1662" s="34" t="s">
        <v>86</v>
      </c>
    </row>
    <row r="1663" spans="4:103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CY1663" s="34" t="s">
        <v>86</v>
      </c>
    </row>
    <row r="1664" spans="4:103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CY1664" s="34" t="s">
        <v>86</v>
      </c>
    </row>
    <row r="1665" spans="4:103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CY1665" s="34" t="s">
        <v>86</v>
      </c>
    </row>
    <row r="1666" spans="4:103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CY1666" s="34" t="s">
        <v>86</v>
      </c>
    </row>
    <row r="1667" spans="4:103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CY1667" s="34" t="s">
        <v>86</v>
      </c>
    </row>
    <row r="1668" spans="4:103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CY1668" s="34" t="s">
        <v>86</v>
      </c>
    </row>
    <row r="1669" spans="4:103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CY1669" s="34" t="s">
        <v>86</v>
      </c>
    </row>
    <row r="1670" spans="4:103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CY1670" s="34" t="s">
        <v>86</v>
      </c>
    </row>
    <row r="1671" spans="4:103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CY1671" s="34" t="s">
        <v>86</v>
      </c>
    </row>
    <row r="1672" spans="4:103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CY1672" s="34" t="s">
        <v>86</v>
      </c>
    </row>
    <row r="1673" spans="4:103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CY1673" s="34" t="s">
        <v>86</v>
      </c>
    </row>
    <row r="1674" spans="4:103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CY1674" s="34" t="s">
        <v>86</v>
      </c>
    </row>
    <row r="1675" spans="4:103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CY1675" s="34" t="s">
        <v>86</v>
      </c>
    </row>
    <row r="1676" spans="4:103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CY1676" s="34" t="s">
        <v>86</v>
      </c>
    </row>
    <row r="1677" spans="4:103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CY1677" s="34" t="s">
        <v>86</v>
      </c>
    </row>
    <row r="1678" spans="4:103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CY1678" s="34" t="s">
        <v>86</v>
      </c>
    </row>
    <row r="1679" spans="4:103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CY1679" s="34" t="s">
        <v>86</v>
      </c>
    </row>
    <row r="1680" spans="4:103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CY1680" s="34" t="s">
        <v>86</v>
      </c>
    </row>
    <row r="1681" spans="4:103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CY1681" s="34" t="s">
        <v>86</v>
      </c>
    </row>
    <row r="1682" spans="4:103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CY1682" s="34" t="s">
        <v>86</v>
      </c>
    </row>
    <row r="1683" spans="4:103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CY1683" s="34" t="s">
        <v>86</v>
      </c>
    </row>
    <row r="1684" spans="4:103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CY1684" s="34" t="s">
        <v>86</v>
      </c>
    </row>
    <row r="1685" spans="4:103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CY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CD1:XFD346 CI502:XFD504 BR505:XFD517 S122:AY135 S121:BP121 S136:CC346 N503:BQ517 A502:CH502 S347:XFD479 A480:XFD501 A518:XFD1048576 S1:CC120">
    <cfRule type="containsBlanks" dxfId="0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3"/>
  <sheetViews>
    <sheetView tabSelected="1" workbookViewId="0">
      <selection activeCell="B8" sqref="B8"/>
    </sheetView>
  </sheetViews>
  <sheetFormatPr defaultRowHeight="15" x14ac:dyDescent="0.25"/>
  <cols>
    <col min="1" max="1" width="19.7109375" style="188" customWidth="1"/>
    <col min="2" max="2" width="34.85546875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182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9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9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9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3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9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9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9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9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3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1</v>
      </c>
    </row>
    <row r="11" spans="1:10" x14ac:dyDescent="0.25">
      <c r="A11" s="28" t="s">
        <v>93</v>
      </c>
      <c r="B11" s="189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1</v>
      </c>
    </row>
    <row r="12" spans="1:10" x14ac:dyDescent="0.25">
      <c r="A12" s="28" t="s">
        <v>94</v>
      </c>
      <c r="B12" s="189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9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9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184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184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184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184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184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184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184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184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184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184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185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185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185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185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185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185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185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185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185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185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185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185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185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185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185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185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90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90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90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90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90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90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90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90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90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90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90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90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90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90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90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90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90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90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90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90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90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90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90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90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90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90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90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90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90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90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186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186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186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186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186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186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186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186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186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186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186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186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186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186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186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186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186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186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186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186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186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186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186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186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186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186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186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186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186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187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187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187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187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</sheetData>
  <conditionalFormatting sqref="A2:B4 A11:B14 A25:B40 A6:B9">
    <cfRule type="containsBlanks" dxfId="19" priority="8">
      <formula>LEN(TRIM(A2))=0</formula>
    </cfRule>
  </conditionalFormatting>
  <conditionalFormatting sqref="A10:B10">
    <cfRule type="containsBlanks" dxfId="18" priority="7">
      <formula>LEN(TRIM(A10))=0</formula>
    </cfRule>
  </conditionalFormatting>
  <conditionalFormatting sqref="A5:B5">
    <cfRule type="containsBlanks" dxfId="17" priority="6">
      <formula>LEN(TRIM(A5))=0</formula>
    </cfRule>
  </conditionalFormatting>
  <conditionalFormatting sqref="A15:B24">
    <cfRule type="containsBlanks" dxfId="16" priority="5">
      <formula>LEN(TRIM(A15))=0</formula>
    </cfRule>
  </conditionalFormatting>
  <conditionalFormatting sqref="A41:B70">
    <cfRule type="containsBlanks" dxfId="15" priority="3">
      <formula>LEN(TRIM(A41))=0</formula>
    </cfRule>
  </conditionalFormatting>
  <conditionalFormatting sqref="A71:B99">
    <cfRule type="containsBlanks" dxfId="14" priority="2">
      <formula>LEN(TRIM(A71))=0</formula>
    </cfRule>
  </conditionalFormatting>
  <conditionalFormatting sqref="A100:B103">
    <cfRule type="containsBlanks" dxfId="13" priority="1">
      <formula>LEN(TRIM(A100))=0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8"/>
  <sheetViews>
    <sheetView workbookViewId="0"/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2:20" x14ac:dyDescent="0.25">
      <c r="R417" s="70"/>
      <c r="S417" s="70"/>
      <c r="T417" s="70"/>
    </row>
    <row r="418" spans="2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2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2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2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2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2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2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2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2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2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2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2:20" x14ac:dyDescent="0.25">
      <c r="S429" s="70"/>
      <c r="T429" s="70"/>
    </row>
    <row r="432" spans="2:20" x14ac:dyDescent="0.25">
      <c r="C432" s="70"/>
    </row>
    <row r="433" spans="3:3" x14ac:dyDescent="0.25">
      <c r="C433" s="70"/>
    </row>
    <row r="434" spans="3:3" x14ac:dyDescent="0.25">
      <c r="C434" s="70"/>
    </row>
    <row r="435" spans="3:3" x14ac:dyDescent="0.25">
      <c r="C435" s="70"/>
    </row>
    <row r="436" spans="3:3" x14ac:dyDescent="0.25">
      <c r="C436" s="70"/>
    </row>
    <row r="437" spans="3:3" x14ac:dyDescent="0.25">
      <c r="C437" s="70"/>
    </row>
    <row r="438" spans="3:3" x14ac:dyDescent="0.25">
      <c r="C438" s="70"/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2023-03-19T13:13:11Z</dcterms:modified>
</cp:coreProperties>
</file>